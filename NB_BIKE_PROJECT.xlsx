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drawings/drawing1.xml" ContentType="application/vnd.openxmlformats-officedocument.drawing+xml"/>
  <Override PartName="/xl/tables/table6.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slicers/slicer2.xml" ContentType="application/vnd.ms-excel.slicer+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C:\Users\hp\Documents\"/>
    </mc:Choice>
  </mc:AlternateContent>
  <xr:revisionPtr revIDLastSave="0" documentId="13_ncr:1_{5193FD08-D151-44DF-9EB2-036A12FC92D6}" xr6:coauthVersionLast="47" xr6:coauthVersionMax="47" xr10:uidLastSave="{00000000-0000-0000-0000-000000000000}"/>
  <bookViews>
    <workbookView xWindow="-120" yWindow="-120" windowWidth="20730" windowHeight="11040" firstSheet="6" activeTab="7" xr2:uid="{8D7A6ACE-FEA5-45C8-8822-3776DD90E646}"/>
  </bookViews>
  <sheets>
    <sheet name="dataset_1" sheetId="1" r:id="rId1"/>
    <sheet name="dataset_2" sheetId="2" r:id="rId2"/>
    <sheet name="dataset_3" sheetId="3" r:id="rId3"/>
    <sheet name="dataset_a" sheetId="4" r:id="rId4"/>
    <sheet name="dataset_b" sheetId="5" r:id="rId5"/>
    <sheet name="FORECAST_SHEET" sheetId="10" r:id="rId6"/>
    <sheet name="KPI_AND_PIVOT_TABLE" sheetId="6" r:id="rId7"/>
    <sheet name="DASHBOARD" sheetId="9" r:id="rId8"/>
  </sheets>
  <definedNames>
    <definedName name="ExternalData_1" localSheetId="0" hidden="1">dataset_1!$A$2:$J$612</definedName>
    <definedName name="ExternalData_1" localSheetId="1" hidden="1">dataset_2!$A$2:$G$612</definedName>
    <definedName name="ExternalData_1" localSheetId="2" hidden="1">dataset_3!$A$2:$P$392</definedName>
    <definedName name="ExternalData_1" localSheetId="3" hidden="1">dataset_a!$A$2:$P$612</definedName>
    <definedName name="ExternalData_1" localSheetId="4" hidden="1">dataset_b!$A$2:$U$1002</definedName>
    <definedName name="Slicer_hr">#N/A</definedName>
    <definedName name="Slicer_Month_lookup">#N/A</definedName>
    <definedName name="Slicer_Weathersit_lookup">#N/A</definedName>
    <definedName name="Slicer_Weekday_lookup">#N/A</definedName>
    <definedName name="Slicer_weekday_weedend_lookup">#N/A</definedName>
  </definedNames>
  <calcPr calcId="191029"/>
  <pivotCaches>
    <pivotCache cacheId="1" r:id="rId9"/>
  </pivotCaches>
  <extLst>
    <ext xmlns:x14="http://schemas.microsoft.com/office/spreadsheetml/2009/9/main" uri="{BBE1A952-AA13-448e-AADC-164F8A28A991}">
      <x14:slicerCaches>
        <x14:slicerCache r:id="rId10"/>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N7" i="9" l="1"/>
  <c r="N9" i="9" s="1"/>
  <c r="W1002" i="5"/>
  <c r="V1002" i="5"/>
  <c r="W1001" i="5"/>
  <c r="V1001" i="5"/>
  <c r="W1000" i="5"/>
  <c r="V1000" i="5"/>
  <c r="W999" i="5"/>
  <c r="V999" i="5"/>
  <c r="W998" i="5"/>
  <c r="V998" i="5"/>
  <c r="W997" i="5"/>
  <c r="V997" i="5"/>
  <c r="W996" i="5"/>
  <c r="V996" i="5"/>
  <c r="W995" i="5"/>
  <c r="V995" i="5"/>
  <c r="W994" i="5"/>
  <c r="V994" i="5"/>
  <c r="W993" i="5"/>
  <c r="V993" i="5"/>
  <c r="W992" i="5"/>
  <c r="V992" i="5"/>
  <c r="W991" i="5"/>
  <c r="V991" i="5"/>
  <c r="W990" i="5"/>
  <c r="V990" i="5"/>
  <c r="W989" i="5"/>
  <c r="V989" i="5"/>
  <c r="W988" i="5"/>
  <c r="V988" i="5"/>
  <c r="W987" i="5"/>
  <c r="V987" i="5"/>
  <c r="W986" i="5"/>
  <c r="V986" i="5"/>
  <c r="W985" i="5"/>
  <c r="V985" i="5"/>
  <c r="W984" i="5"/>
  <c r="V984" i="5"/>
  <c r="W983" i="5"/>
  <c r="V983" i="5"/>
  <c r="W982" i="5"/>
  <c r="V982" i="5"/>
  <c r="W981" i="5"/>
  <c r="V981" i="5"/>
  <c r="W980" i="5"/>
  <c r="V980" i="5"/>
  <c r="W979" i="5"/>
  <c r="V979" i="5"/>
  <c r="W978" i="5"/>
  <c r="V978" i="5"/>
  <c r="W977" i="5"/>
  <c r="V977" i="5"/>
  <c r="W976" i="5"/>
  <c r="V976" i="5"/>
  <c r="W975" i="5"/>
  <c r="V975" i="5"/>
  <c r="W974" i="5"/>
  <c r="V974" i="5"/>
  <c r="W973" i="5"/>
  <c r="V973" i="5"/>
  <c r="W972" i="5"/>
  <c r="V972" i="5"/>
  <c r="W971" i="5"/>
  <c r="V971" i="5"/>
  <c r="W970" i="5"/>
  <c r="V970" i="5"/>
  <c r="W969" i="5"/>
  <c r="V969" i="5"/>
  <c r="W968" i="5"/>
  <c r="V968" i="5"/>
  <c r="W967" i="5"/>
  <c r="V967" i="5"/>
  <c r="W966" i="5"/>
  <c r="V966" i="5"/>
  <c r="W965" i="5"/>
  <c r="V965" i="5"/>
  <c r="W964" i="5"/>
  <c r="V964" i="5"/>
  <c r="W963" i="5"/>
  <c r="V963" i="5"/>
  <c r="W962" i="5"/>
  <c r="V962" i="5"/>
  <c r="W961" i="5"/>
  <c r="V961" i="5"/>
  <c r="W960" i="5"/>
  <c r="V960" i="5"/>
  <c r="W959" i="5"/>
  <c r="V959" i="5"/>
  <c r="W958" i="5"/>
  <c r="V958" i="5"/>
  <c r="W957" i="5"/>
  <c r="V957" i="5"/>
  <c r="W956" i="5"/>
  <c r="V956" i="5"/>
  <c r="W955" i="5"/>
  <c r="V955" i="5"/>
  <c r="W954" i="5"/>
  <c r="V954" i="5"/>
  <c r="W953" i="5"/>
  <c r="V953" i="5"/>
  <c r="W952" i="5"/>
  <c r="V952" i="5"/>
  <c r="W951" i="5"/>
  <c r="V951" i="5"/>
  <c r="W950" i="5"/>
  <c r="V950" i="5"/>
  <c r="W949" i="5"/>
  <c r="V949" i="5"/>
  <c r="W948" i="5"/>
  <c r="V948" i="5"/>
  <c r="W947" i="5"/>
  <c r="V947" i="5"/>
  <c r="W946" i="5"/>
  <c r="V946" i="5"/>
  <c r="W945" i="5"/>
  <c r="V945" i="5"/>
  <c r="W944" i="5"/>
  <c r="V944" i="5"/>
  <c r="W943" i="5"/>
  <c r="V943" i="5"/>
  <c r="W942" i="5"/>
  <c r="V942" i="5"/>
  <c r="W941" i="5"/>
  <c r="V941" i="5"/>
  <c r="W940" i="5"/>
  <c r="V940" i="5"/>
  <c r="W939" i="5"/>
  <c r="V939" i="5"/>
  <c r="W938" i="5"/>
  <c r="V938" i="5"/>
  <c r="W937" i="5"/>
  <c r="V937" i="5"/>
  <c r="W936" i="5"/>
  <c r="V936" i="5"/>
  <c r="W935" i="5"/>
  <c r="V935" i="5"/>
  <c r="W934" i="5"/>
  <c r="V934" i="5"/>
  <c r="W933" i="5"/>
  <c r="V933" i="5"/>
  <c r="W932" i="5"/>
  <c r="V932" i="5"/>
  <c r="W931" i="5"/>
  <c r="V931" i="5"/>
  <c r="W930" i="5"/>
  <c r="V930" i="5"/>
  <c r="W929" i="5"/>
  <c r="V929" i="5"/>
  <c r="W928" i="5"/>
  <c r="V928" i="5"/>
  <c r="W927" i="5"/>
  <c r="V927" i="5"/>
  <c r="W926" i="5"/>
  <c r="V926" i="5"/>
  <c r="W925" i="5"/>
  <c r="V925" i="5"/>
  <c r="W924" i="5"/>
  <c r="V924" i="5"/>
  <c r="W923" i="5"/>
  <c r="V923" i="5"/>
  <c r="W922" i="5"/>
  <c r="V922" i="5"/>
  <c r="W921" i="5"/>
  <c r="V921" i="5"/>
  <c r="W920" i="5"/>
  <c r="V920" i="5"/>
  <c r="W919" i="5"/>
  <c r="V919" i="5"/>
  <c r="W918" i="5"/>
  <c r="V918" i="5"/>
  <c r="W917" i="5"/>
  <c r="V917" i="5"/>
  <c r="W916" i="5"/>
  <c r="V916" i="5"/>
  <c r="W915" i="5"/>
  <c r="V915" i="5"/>
  <c r="W914" i="5"/>
  <c r="V914" i="5"/>
  <c r="W913" i="5"/>
  <c r="V913" i="5"/>
  <c r="W912" i="5"/>
  <c r="V912" i="5"/>
  <c r="W911" i="5"/>
  <c r="V911" i="5"/>
  <c r="W910" i="5"/>
  <c r="V910" i="5"/>
  <c r="W909" i="5"/>
  <c r="V909" i="5"/>
  <c r="W908" i="5"/>
  <c r="V908" i="5"/>
  <c r="W907" i="5"/>
  <c r="V907" i="5"/>
  <c r="W906" i="5"/>
  <c r="V906" i="5"/>
  <c r="W905" i="5"/>
  <c r="V905" i="5"/>
  <c r="W904" i="5"/>
  <c r="V904" i="5"/>
  <c r="W903" i="5"/>
  <c r="V903" i="5"/>
  <c r="W902" i="5"/>
  <c r="V902" i="5"/>
  <c r="W901" i="5"/>
  <c r="V901" i="5"/>
  <c r="W900" i="5"/>
  <c r="V900" i="5"/>
  <c r="W899" i="5"/>
  <c r="V899" i="5"/>
  <c r="W898" i="5"/>
  <c r="V898" i="5"/>
  <c r="W897" i="5"/>
  <c r="V897" i="5"/>
  <c r="W896" i="5"/>
  <c r="V896" i="5"/>
  <c r="W895" i="5"/>
  <c r="V895" i="5"/>
  <c r="W894" i="5"/>
  <c r="V894" i="5"/>
  <c r="W893" i="5"/>
  <c r="V893" i="5"/>
  <c r="W892" i="5"/>
  <c r="V892" i="5"/>
  <c r="W891" i="5"/>
  <c r="V891" i="5"/>
  <c r="W890" i="5"/>
  <c r="V890" i="5"/>
  <c r="W889" i="5"/>
  <c r="V889" i="5"/>
  <c r="W888" i="5"/>
  <c r="V888" i="5"/>
  <c r="W887" i="5"/>
  <c r="V887" i="5"/>
  <c r="W886" i="5"/>
  <c r="V886" i="5"/>
  <c r="W885" i="5"/>
  <c r="V885" i="5"/>
  <c r="W884" i="5"/>
  <c r="V884" i="5"/>
  <c r="W883" i="5"/>
  <c r="V883" i="5"/>
  <c r="W882" i="5"/>
  <c r="V882" i="5"/>
  <c r="W881" i="5"/>
  <c r="V881" i="5"/>
  <c r="W880" i="5"/>
  <c r="V880" i="5"/>
  <c r="W879" i="5"/>
  <c r="V879" i="5"/>
  <c r="W878" i="5"/>
  <c r="V878" i="5"/>
  <c r="W877" i="5"/>
  <c r="V877" i="5"/>
  <c r="W876" i="5"/>
  <c r="V876" i="5"/>
  <c r="W875" i="5"/>
  <c r="V875" i="5"/>
  <c r="W874" i="5"/>
  <c r="V874" i="5"/>
  <c r="W873" i="5"/>
  <c r="V873" i="5"/>
  <c r="W872" i="5"/>
  <c r="V872" i="5"/>
  <c r="W871" i="5"/>
  <c r="V871" i="5"/>
  <c r="W870" i="5"/>
  <c r="V870" i="5"/>
  <c r="W869" i="5"/>
  <c r="V869" i="5"/>
  <c r="W868" i="5"/>
  <c r="V868" i="5"/>
  <c r="W867" i="5"/>
  <c r="V867" i="5"/>
  <c r="W866" i="5"/>
  <c r="V866" i="5"/>
  <c r="W865" i="5"/>
  <c r="V865" i="5"/>
  <c r="W864" i="5"/>
  <c r="V864" i="5"/>
  <c r="W863" i="5"/>
  <c r="V863" i="5"/>
  <c r="W862" i="5"/>
  <c r="V862" i="5"/>
  <c r="W861" i="5"/>
  <c r="V861" i="5"/>
  <c r="W860" i="5"/>
  <c r="V860" i="5"/>
  <c r="W859" i="5"/>
  <c r="V859" i="5"/>
  <c r="W858" i="5"/>
  <c r="V858" i="5"/>
  <c r="W857" i="5"/>
  <c r="V857" i="5"/>
  <c r="W856" i="5"/>
  <c r="V856" i="5"/>
  <c r="W855" i="5"/>
  <c r="V855" i="5"/>
  <c r="W854" i="5"/>
  <c r="V854" i="5"/>
  <c r="W853" i="5"/>
  <c r="V853" i="5"/>
  <c r="W852" i="5"/>
  <c r="V852" i="5"/>
  <c r="W851" i="5"/>
  <c r="V851" i="5"/>
  <c r="W850" i="5"/>
  <c r="V850" i="5"/>
  <c r="W849" i="5"/>
  <c r="V849" i="5"/>
  <c r="W848" i="5"/>
  <c r="V848" i="5"/>
  <c r="W847" i="5"/>
  <c r="V847" i="5"/>
  <c r="W846" i="5"/>
  <c r="V846" i="5"/>
  <c r="W845" i="5"/>
  <c r="V845" i="5"/>
  <c r="W844" i="5"/>
  <c r="V844" i="5"/>
  <c r="W843" i="5"/>
  <c r="V843" i="5"/>
  <c r="W842" i="5"/>
  <c r="V842" i="5"/>
  <c r="W841" i="5"/>
  <c r="V841" i="5"/>
  <c r="W840" i="5"/>
  <c r="V840" i="5"/>
  <c r="W839" i="5"/>
  <c r="V839" i="5"/>
  <c r="W838" i="5"/>
  <c r="V838" i="5"/>
  <c r="W837" i="5"/>
  <c r="V837" i="5"/>
  <c r="W836" i="5"/>
  <c r="V836" i="5"/>
  <c r="W835" i="5"/>
  <c r="V835" i="5"/>
  <c r="W834" i="5"/>
  <c r="V834" i="5"/>
  <c r="W833" i="5"/>
  <c r="V833" i="5"/>
  <c r="W832" i="5"/>
  <c r="V832" i="5"/>
  <c r="W831" i="5"/>
  <c r="V831" i="5"/>
  <c r="W830" i="5"/>
  <c r="V830" i="5"/>
  <c r="W829" i="5"/>
  <c r="V829" i="5"/>
  <c r="W828" i="5"/>
  <c r="V828" i="5"/>
  <c r="W827" i="5"/>
  <c r="V827" i="5"/>
  <c r="W826" i="5"/>
  <c r="V826" i="5"/>
  <c r="W825" i="5"/>
  <c r="V825" i="5"/>
  <c r="W824" i="5"/>
  <c r="V824" i="5"/>
  <c r="W823" i="5"/>
  <c r="V823" i="5"/>
  <c r="W822" i="5"/>
  <c r="V822" i="5"/>
  <c r="W821" i="5"/>
  <c r="V821" i="5"/>
  <c r="W820" i="5"/>
  <c r="V820" i="5"/>
  <c r="W819" i="5"/>
  <c r="V819" i="5"/>
  <c r="W818" i="5"/>
  <c r="V818" i="5"/>
  <c r="W817" i="5"/>
  <c r="V817" i="5"/>
  <c r="W816" i="5"/>
  <c r="V816" i="5"/>
  <c r="W815" i="5"/>
  <c r="V815" i="5"/>
  <c r="W814" i="5"/>
  <c r="V814" i="5"/>
  <c r="W813" i="5"/>
  <c r="V813" i="5"/>
  <c r="W812" i="5"/>
  <c r="V812" i="5"/>
  <c r="W811" i="5"/>
  <c r="V811" i="5"/>
  <c r="W810" i="5"/>
  <c r="V810" i="5"/>
  <c r="W809" i="5"/>
  <c r="V809" i="5"/>
  <c r="W808" i="5"/>
  <c r="V808" i="5"/>
  <c r="W807" i="5"/>
  <c r="V807" i="5"/>
  <c r="W806" i="5"/>
  <c r="V806" i="5"/>
  <c r="W805" i="5"/>
  <c r="V805" i="5"/>
  <c r="W804" i="5"/>
  <c r="V804" i="5"/>
  <c r="W803" i="5"/>
  <c r="V803" i="5"/>
  <c r="W802" i="5"/>
  <c r="V802" i="5"/>
  <c r="W801" i="5"/>
  <c r="V801" i="5"/>
  <c r="W800" i="5"/>
  <c r="V800" i="5"/>
  <c r="W799" i="5"/>
  <c r="V799" i="5"/>
  <c r="W798" i="5"/>
  <c r="V798" i="5"/>
  <c r="W797" i="5"/>
  <c r="V797" i="5"/>
  <c r="W796" i="5"/>
  <c r="V796" i="5"/>
  <c r="W795" i="5"/>
  <c r="V795" i="5"/>
  <c r="W794" i="5"/>
  <c r="V794" i="5"/>
  <c r="W793" i="5"/>
  <c r="V793" i="5"/>
  <c r="W792" i="5"/>
  <c r="V792" i="5"/>
  <c r="W791" i="5"/>
  <c r="V791" i="5"/>
  <c r="W790" i="5"/>
  <c r="V790" i="5"/>
  <c r="W789" i="5"/>
  <c r="V789" i="5"/>
  <c r="W788" i="5"/>
  <c r="V788" i="5"/>
  <c r="W787" i="5"/>
  <c r="V787" i="5"/>
  <c r="W786" i="5"/>
  <c r="V786" i="5"/>
  <c r="W785" i="5"/>
  <c r="V785" i="5"/>
  <c r="W784" i="5"/>
  <c r="V784" i="5"/>
  <c r="W783" i="5"/>
  <c r="V783" i="5"/>
  <c r="W782" i="5"/>
  <c r="V782" i="5"/>
  <c r="W781" i="5"/>
  <c r="V781" i="5"/>
  <c r="W780" i="5"/>
  <c r="V780" i="5"/>
  <c r="W779" i="5"/>
  <c r="V779" i="5"/>
  <c r="W778" i="5"/>
  <c r="V778" i="5"/>
  <c r="W777" i="5"/>
  <c r="V777" i="5"/>
  <c r="W776" i="5"/>
  <c r="V776" i="5"/>
  <c r="W775" i="5"/>
  <c r="V775" i="5"/>
  <c r="W774" i="5"/>
  <c r="V774" i="5"/>
  <c r="W773" i="5"/>
  <c r="V773" i="5"/>
  <c r="W772" i="5"/>
  <c r="V772" i="5"/>
  <c r="W771" i="5"/>
  <c r="V771" i="5"/>
  <c r="W770" i="5"/>
  <c r="V770" i="5"/>
  <c r="W769" i="5"/>
  <c r="V769" i="5"/>
  <c r="W768" i="5"/>
  <c r="V768" i="5"/>
  <c r="W767" i="5"/>
  <c r="V767" i="5"/>
  <c r="W766" i="5"/>
  <c r="V766" i="5"/>
  <c r="W765" i="5"/>
  <c r="V765" i="5"/>
  <c r="W764" i="5"/>
  <c r="V764" i="5"/>
  <c r="W763" i="5"/>
  <c r="V763" i="5"/>
  <c r="W762" i="5"/>
  <c r="V762" i="5"/>
  <c r="W761" i="5"/>
  <c r="V761" i="5"/>
  <c r="W760" i="5"/>
  <c r="V760" i="5"/>
  <c r="W759" i="5"/>
  <c r="V759" i="5"/>
  <c r="W758" i="5"/>
  <c r="V758" i="5"/>
  <c r="W757" i="5"/>
  <c r="V757" i="5"/>
  <c r="W756" i="5"/>
  <c r="V756" i="5"/>
  <c r="W755" i="5"/>
  <c r="V755" i="5"/>
  <c r="W754" i="5"/>
  <c r="V754" i="5"/>
  <c r="W753" i="5"/>
  <c r="V753" i="5"/>
  <c r="W752" i="5"/>
  <c r="V752" i="5"/>
  <c r="W751" i="5"/>
  <c r="V751" i="5"/>
  <c r="W750" i="5"/>
  <c r="V750" i="5"/>
  <c r="W749" i="5"/>
  <c r="V749" i="5"/>
  <c r="W748" i="5"/>
  <c r="V748" i="5"/>
  <c r="W747" i="5"/>
  <c r="V747" i="5"/>
  <c r="W746" i="5"/>
  <c r="V746" i="5"/>
  <c r="W745" i="5"/>
  <c r="V745" i="5"/>
  <c r="W744" i="5"/>
  <c r="V744" i="5"/>
  <c r="W743" i="5"/>
  <c r="V743" i="5"/>
  <c r="W742" i="5"/>
  <c r="V742" i="5"/>
  <c r="W741" i="5"/>
  <c r="V741" i="5"/>
  <c r="W740" i="5"/>
  <c r="V740" i="5"/>
  <c r="W739" i="5"/>
  <c r="V739" i="5"/>
  <c r="W738" i="5"/>
  <c r="V738" i="5"/>
  <c r="W737" i="5"/>
  <c r="V737" i="5"/>
  <c r="W736" i="5"/>
  <c r="V736" i="5"/>
  <c r="W735" i="5"/>
  <c r="V735" i="5"/>
  <c r="W734" i="5"/>
  <c r="V734" i="5"/>
  <c r="W733" i="5"/>
  <c r="V733" i="5"/>
  <c r="W732" i="5"/>
  <c r="V732" i="5"/>
  <c r="W731" i="5"/>
  <c r="V731" i="5"/>
  <c r="W730" i="5"/>
  <c r="V730" i="5"/>
  <c r="W729" i="5"/>
  <c r="V729" i="5"/>
  <c r="W728" i="5"/>
  <c r="V728" i="5"/>
  <c r="W727" i="5"/>
  <c r="V727" i="5"/>
  <c r="W726" i="5"/>
  <c r="V726" i="5"/>
  <c r="W725" i="5"/>
  <c r="V725" i="5"/>
  <c r="W724" i="5"/>
  <c r="V724" i="5"/>
  <c r="W723" i="5"/>
  <c r="V723" i="5"/>
  <c r="W722" i="5"/>
  <c r="V722" i="5"/>
  <c r="W721" i="5"/>
  <c r="V721" i="5"/>
  <c r="W720" i="5"/>
  <c r="V720" i="5"/>
  <c r="W719" i="5"/>
  <c r="V719" i="5"/>
  <c r="W718" i="5"/>
  <c r="V718" i="5"/>
  <c r="W717" i="5"/>
  <c r="V717" i="5"/>
  <c r="W716" i="5"/>
  <c r="V716" i="5"/>
  <c r="W715" i="5"/>
  <c r="V715" i="5"/>
  <c r="W714" i="5"/>
  <c r="V714" i="5"/>
  <c r="W713" i="5"/>
  <c r="V713" i="5"/>
  <c r="W712" i="5"/>
  <c r="V712" i="5"/>
  <c r="W711" i="5"/>
  <c r="V711" i="5"/>
  <c r="W710" i="5"/>
  <c r="V710" i="5"/>
  <c r="W709" i="5"/>
  <c r="V709" i="5"/>
  <c r="W708" i="5"/>
  <c r="V708" i="5"/>
  <c r="W707" i="5"/>
  <c r="V707" i="5"/>
  <c r="W706" i="5"/>
  <c r="V706" i="5"/>
  <c r="W705" i="5"/>
  <c r="V705" i="5"/>
  <c r="W704" i="5"/>
  <c r="V704" i="5"/>
  <c r="W703" i="5"/>
  <c r="V703" i="5"/>
  <c r="W702" i="5"/>
  <c r="V702" i="5"/>
  <c r="W701" i="5"/>
  <c r="V701" i="5"/>
  <c r="W700" i="5"/>
  <c r="V700" i="5"/>
  <c r="W699" i="5"/>
  <c r="V699" i="5"/>
  <c r="W698" i="5"/>
  <c r="V698" i="5"/>
  <c r="W697" i="5"/>
  <c r="V697" i="5"/>
  <c r="W696" i="5"/>
  <c r="V696" i="5"/>
  <c r="W695" i="5"/>
  <c r="V695" i="5"/>
  <c r="W694" i="5"/>
  <c r="V694" i="5"/>
  <c r="W693" i="5"/>
  <c r="V693" i="5"/>
  <c r="W692" i="5"/>
  <c r="V692" i="5"/>
  <c r="W691" i="5"/>
  <c r="V691" i="5"/>
  <c r="W690" i="5"/>
  <c r="V690" i="5"/>
  <c r="W689" i="5"/>
  <c r="V689" i="5"/>
  <c r="W688" i="5"/>
  <c r="V688" i="5"/>
  <c r="W687" i="5"/>
  <c r="V687" i="5"/>
  <c r="W686" i="5"/>
  <c r="V686" i="5"/>
  <c r="W685" i="5"/>
  <c r="V685" i="5"/>
  <c r="W684" i="5"/>
  <c r="V684" i="5"/>
  <c r="W683" i="5"/>
  <c r="V683" i="5"/>
  <c r="W682" i="5"/>
  <c r="V682" i="5"/>
  <c r="W681" i="5"/>
  <c r="V681" i="5"/>
  <c r="W680" i="5"/>
  <c r="V680" i="5"/>
  <c r="W679" i="5"/>
  <c r="V679" i="5"/>
  <c r="W678" i="5"/>
  <c r="V678" i="5"/>
  <c r="W677" i="5"/>
  <c r="V677" i="5"/>
  <c r="W676" i="5"/>
  <c r="V676" i="5"/>
  <c r="W675" i="5"/>
  <c r="V675" i="5"/>
  <c r="W674" i="5"/>
  <c r="V674" i="5"/>
  <c r="W673" i="5"/>
  <c r="V673" i="5"/>
  <c r="W672" i="5"/>
  <c r="V672" i="5"/>
  <c r="W671" i="5"/>
  <c r="V671" i="5"/>
  <c r="W670" i="5"/>
  <c r="V670" i="5"/>
  <c r="W669" i="5"/>
  <c r="V669" i="5"/>
  <c r="W668" i="5"/>
  <c r="V668" i="5"/>
  <c r="W667" i="5"/>
  <c r="V667" i="5"/>
  <c r="W666" i="5"/>
  <c r="V666" i="5"/>
  <c r="W665" i="5"/>
  <c r="V665" i="5"/>
  <c r="W664" i="5"/>
  <c r="V664" i="5"/>
  <c r="W663" i="5"/>
  <c r="V663" i="5"/>
  <c r="W662" i="5"/>
  <c r="V662" i="5"/>
  <c r="W661" i="5"/>
  <c r="V661" i="5"/>
  <c r="W660" i="5"/>
  <c r="V660" i="5"/>
  <c r="W659" i="5"/>
  <c r="V659" i="5"/>
  <c r="W658" i="5"/>
  <c r="V658" i="5"/>
  <c r="W657" i="5"/>
  <c r="V657" i="5"/>
  <c r="W656" i="5"/>
  <c r="V656" i="5"/>
  <c r="W655" i="5"/>
  <c r="V655" i="5"/>
  <c r="W654" i="5"/>
  <c r="V654" i="5"/>
  <c r="W653" i="5"/>
  <c r="V653" i="5"/>
  <c r="W652" i="5"/>
  <c r="V652" i="5"/>
  <c r="W651" i="5"/>
  <c r="V651" i="5"/>
  <c r="W650" i="5"/>
  <c r="V650" i="5"/>
  <c r="W649" i="5"/>
  <c r="V649" i="5"/>
  <c r="W648" i="5"/>
  <c r="V648" i="5"/>
  <c r="W647" i="5"/>
  <c r="V647" i="5"/>
  <c r="W646" i="5"/>
  <c r="V646" i="5"/>
  <c r="W645" i="5"/>
  <c r="V645" i="5"/>
  <c r="W644" i="5"/>
  <c r="V644" i="5"/>
  <c r="W643" i="5"/>
  <c r="V643" i="5"/>
  <c r="W642" i="5"/>
  <c r="V642" i="5"/>
  <c r="W641" i="5"/>
  <c r="V641" i="5"/>
  <c r="W640" i="5"/>
  <c r="V640" i="5"/>
  <c r="W639" i="5"/>
  <c r="V639" i="5"/>
  <c r="W638" i="5"/>
  <c r="V638" i="5"/>
  <c r="W637" i="5"/>
  <c r="V637" i="5"/>
  <c r="W636" i="5"/>
  <c r="V636" i="5"/>
  <c r="W635" i="5"/>
  <c r="V635" i="5"/>
  <c r="W634" i="5"/>
  <c r="V634" i="5"/>
  <c r="W633" i="5"/>
  <c r="V633" i="5"/>
  <c r="W632" i="5"/>
  <c r="V632" i="5"/>
  <c r="W631" i="5"/>
  <c r="V631" i="5"/>
  <c r="W630" i="5"/>
  <c r="V630" i="5"/>
  <c r="W629" i="5"/>
  <c r="V629" i="5"/>
  <c r="W628" i="5"/>
  <c r="V628" i="5"/>
  <c r="W627" i="5"/>
  <c r="V627" i="5"/>
  <c r="W626" i="5"/>
  <c r="V626" i="5"/>
  <c r="W625" i="5"/>
  <c r="V625" i="5"/>
  <c r="W624" i="5"/>
  <c r="V624" i="5"/>
  <c r="W623" i="5"/>
  <c r="V623" i="5"/>
  <c r="W622" i="5"/>
  <c r="V622" i="5"/>
  <c r="W621" i="5"/>
  <c r="V621" i="5"/>
  <c r="W620" i="5"/>
  <c r="V620" i="5"/>
  <c r="W619" i="5"/>
  <c r="V619" i="5"/>
  <c r="W618" i="5"/>
  <c r="V618" i="5"/>
  <c r="W617" i="5"/>
  <c r="V617" i="5"/>
  <c r="W616" i="5"/>
  <c r="V616" i="5"/>
  <c r="W615" i="5"/>
  <c r="V615" i="5"/>
  <c r="W614" i="5"/>
  <c r="V614" i="5"/>
  <c r="W613" i="5"/>
  <c r="V613" i="5"/>
  <c r="W612" i="5"/>
  <c r="V612" i="5"/>
  <c r="W611" i="5"/>
  <c r="V611" i="5"/>
  <c r="W610" i="5"/>
  <c r="V610" i="5"/>
  <c r="W609" i="5"/>
  <c r="V609" i="5"/>
  <c r="W608" i="5"/>
  <c r="V608" i="5"/>
  <c r="W607" i="5"/>
  <c r="V607" i="5"/>
  <c r="W606" i="5"/>
  <c r="V606" i="5"/>
  <c r="W605" i="5"/>
  <c r="V605" i="5"/>
  <c r="W604" i="5"/>
  <c r="V604" i="5"/>
  <c r="W603" i="5"/>
  <c r="V603" i="5"/>
  <c r="W602" i="5"/>
  <c r="V602" i="5"/>
  <c r="W601" i="5"/>
  <c r="V601" i="5"/>
  <c r="W600" i="5"/>
  <c r="V600" i="5"/>
  <c r="W599" i="5"/>
  <c r="V599" i="5"/>
  <c r="W598" i="5"/>
  <c r="V598" i="5"/>
  <c r="W597" i="5"/>
  <c r="V597" i="5"/>
  <c r="W596" i="5"/>
  <c r="V596" i="5"/>
  <c r="W595" i="5"/>
  <c r="V595" i="5"/>
  <c r="W594" i="5"/>
  <c r="V594" i="5"/>
  <c r="W593" i="5"/>
  <c r="V593" i="5"/>
  <c r="W592" i="5"/>
  <c r="V592" i="5"/>
  <c r="W591" i="5"/>
  <c r="V591" i="5"/>
  <c r="W590" i="5"/>
  <c r="V590" i="5"/>
  <c r="W589" i="5"/>
  <c r="V589" i="5"/>
  <c r="W588" i="5"/>
  <c r="V588" i="5"/>
  <c r="W587" i="5"/>
  <c r="V587" i="5"/>
  <c r="W586" i="5"/>
  <c r="V586" i="5"/>
  <c r="W585" i="5"/>
  <c r="V585" i="5"/>
  <c r="W584" i="5"/>
  <c r="V584" i="5"/>
  <c r="W583" i="5"/>
  <c r="V583" i="5"/>
  <c r="W582" i="5"/>
  <c r="V582" i="5"/>
  <c r="W581" i="5"/>
  <c r="V581" i="5"/>
  <c r="W580" i="5"/>
  <c r="V580" i="5"/>
  <c r="W579" i="5"/>
  <c r="V579" i="5"/>
  <c r="W578" i="5"/>
  <c r="V578" i="5"/>
  <c r="W577" i="5"/>
  <c r="V577" i="5"/>
  <c r="W576" i="5"/>
  <c r="V576" i="5"/>
  <c r="W575" i="5"/>
  <c r="V575" i="5"/>
  <c r="W574" i="5"/>
  <c r="V574" i="5"/>
  <c r="W573" i="5"/>
  <c r="V573" i="5"/>
  <c r="W572" i="5"/>
  <c r="V572" i="5"/>
  <c r="W571" i="5"/>
  <c r="V571" i="5"/>
  <c r="W570" i="5"/>
  <c r="V570" i="5"/>
  <c r="W569" i="5"/>
  <c r="V569" i="5"/>
  <c r="W568" i="5"/>
  <c r="V568" i="5"/>
  <c r="W567" i="5"/>
  <c r="V567" i="5"/>
  <c r="W566" i="5"/>
  <c r="V566" i="5"/>
  <c r="W565" i="5"/>
  <c r="V565" i="5"/>
  <c r="W564" i="5"/>
  <c r="V564" i="5"/>
  <c r="W563" i="5"/>
  <c r="V563" i="5"/>
  <c r="W562" i="5"/>
  <c r="V562" i="5"/>
  <c r="W561" i="5"/>
  <c r="V561" i="5"/>
  <c r="W560" i="5"/>
  <c r="V560" i="5"/>
  <c r="W559" i="5"/>
  <c r="V559" i="5"/>
  <c r="W558" i="5"/>
  <c r="V558" i="5"/>
  <c r="W557" i="5"/>
  <c r="V557" i="5"/>
  <c r="W556" i="5"/>
  <c r="V556" i="5"/>
  <c r="W555" i="5"/>
  <c r="V555" i="5"/>
  <c r="W554" i="5"/>
  <c r="V554" i="5"/>
  <c r="W553" i="5"/>
  <c r="V553" i="5"/>
  <c r="W552" i="5"/>
  <c r="V552" i="5"/>
  <c r="W551" i="5"/>
  <c r="V551" i="5"/>
  <c r="W550" i="5"/>
  <c r="V550" i="5"/>
  <c r="W549" i="5"/>
  <c r="V549" i="5"/>
  <c r="W548" i="5"/>
  <c r="V548" i="5"/>
  <c r="W547" i="5"/>
  <c r="V547" i="5"/>
  <c r="W546" i="5"/>
  <c r="V546" i="5"/>
  <c r="W545" i="5"/>
  <c r="V545" i="5"/>
  <c r="W544" i="5"/>
  <c r="V544" i="5"/>
  <c r="W543" i="5"/>
  <c r="V543" i="5"/>
  <c r="W542" i="5"/>
  <c r="V542" i="5"/>
  <c r="W541" i="5"/>
  <c r="V541" i="5"/>
  <c r="W540" i="5"/>
  <c r="V540" i="5"/>
  <c r="W539" i="5"/>
  <c r="V539" i="5"/>
  <c r="W538" i="5"/>
  <c r="V538" i="5"/>
  <c r="W537" i="5"/>
  <c r="V537" i="5"/>
  <c r="W536" i="5"/>
  <c r="V536" i="5"/>
  <c r="W535" i="5"/>
  <c r="V535" i="5"/>
  <c r="W534" i="5"/>
  <c r="V534" i="5"/>
  <c r="W533" i="5"/>
  <c r="V533" i="5"/>
  <c r="W532" i="5"/>
  <c r="V532" i="5"/>
  <c r="W531" i="5"/>
  <c r="V531" i="5"/>
  <c r="W530" i="5"/>
  <c r="V530" i="5"/>
  <c r="W529" i="5"/>
  <c r="V529" i="5"/>
  <c r="W528" i="5"/>
  <c r="V528" i="5"/>
  <c r="W527" i="5"/>
  <c r="V527" i="5"/>
  <c r="W526" i="5"/>
  <c r="V526" i="5"/>
  <c r="W525" i="5"/>
  <c r="V525" i="5"/>
  <c r="W524" i="5"/>
  <c r="V524" i="5"/>
  <c r="W523" i="5"/>
  <c r="V523" i="5"/>
  <c r="W522" i="5"/>
  <c r="V522" i="5"/>
  <c r="W521" i="5"/>
  <c r="V521" i="5"/>
  <c r="W520" i="5"/>
  <c r="V520" i="5"/>
  <c r="W519" i="5"/>
  <c r="V519" i="5"/>
  <c r="W518" i="5"/>
  <c r="V518" i="5"/>
  <c r="W517" i="5"/>
  <c r="V517" i="5"/>
  <c r="W516" i="5"/>
  <c r="V516" i="5"/>
  <c r="W515" i="5"/>
  <c r="V515" i="5"/>
  <c r="W514" i="5"/>
  <c r="V514" i="5"/>
  <c r="W513" i="5"/>
  <c r="V513" i="5"/>
  <c r="W512" i="5"/>
  <c r="V512" i="5"/>
  <c r="W511" i="5"/>
  <c r="V511" i="5"/>
  <c r="W510" i="5"/>
  <c r="V510" i="5"/>
  <c r="W509" i="5"/>
  <c r="V509" i="5"/>
  <c r="W508" i="5"/>
  <c r="V508" i="5"/>
  <c r="W507" i="5"/>
  <c r="V507" i="5"/>
  <c r="W506" i="5"/>
  <c r="V506" i="5"/>
  <c r="W505" i="5"/>
  <c r="V505" i="5"/>
  <c r="W504" i="5"/>
  <c r="V504" i="5"/>
  <c r="W503" i="5"/>
  <c r="V503" i="5"/>
  <c r="W502" i="5"/>
  <c r="V502" i="5"/>
  <c r="W501" i="5"/>
  <c r="V501" i="5"/>
  <c r="W500" i="5"/>
  <c r="V500" i="5"/>
  <c r="W499" i="5"/>
  <c r="V499" i="5"/>
  <c r="W498" i="5"/>
  <c r="V498" i="5"/>
  <c r="W497" i="5"/>
  <c r="V497" i="5"/>
  <c r="W496" i="5"/>
  <c r="V496" i="5"/>
  <c r="W495" i="5"/>
  <c r="V495" i="5"/>
  <c r="W494" i="5"/>
  <c r="V494" i="5"/>
  <c r="W493" i="5"/>
  <c r="V493" i="5"/>
  <c r="W492" i="5"/>
  <c r="V492" i="5"/>
  <c r="W491" i="5"/>
  <c r="V491" i="5"/>
  <c r="W490" i="5"/>
  <c r="V490" i="5"/>
  <c r="W489" i="5"/>
  <c r="V489" i="5"/>
  <c r="W488" i="5"/>
  <c r="V488" i="5"/>
  <c r="W487" i="5"/>
  <c r="V487" i="5"/>
  <c r="W486" i="5"/>
  <c r="V486" i="5"/>
  <c r="W485" i="5"/>
  <c r="V485" i="5"/>
  <c r="W484" i="5"/>
  <c r="V484" i="5"/>
  <c r="W483" i="5"/>
  <c r="V483" i="5"/>
  <c r="W482" i="5"/>
  <c r="V482" i="5"/>
  <c r="W481" i="5"/>
  <c r="V481" i="5"/>
  <c r="W480" i="5"/>
  <c r="V480" i="5"/>
  <c r="W479" i="5"/>
  <c r="V479" i="5"/>
  <c r="W478" i="5"/>
  <c r="V478" i="5"/>
  <c r="W477" i="5"/>
  <c r="V477" i="5"/>
  <c r="W476" i="5"/>
  <c r="V476" i="5"/>
  <c r="W475" i="5"/>
  <c r="V475" i="5"/>
  <c r="W474" i="5"/>
  <c r="V474" i="5"/>
  <c r="W473" i="5"/>
  <c r="V473" i="5"/>
  <c r="W472" i="5"/>
  <c r="V472" i="5"/>
  <c r="W471" i="5"/>
  <c r="V471" i="5"/>
  <c r="W470" i="5"/>
  <c r="V470" i="5"/>
  <c r="W469" i="5"/>
  <c r="V469" i="5"/>
  <c r="W468" i="5"/>
  <c r="V468" i="5"/>
  <c r="W467" i="5"/>
  <c r="V467" i="5"/>
  <c r="W466" i="5"/>
  <c r="V466" i="5"/>
  <c r="W465" i="5"/>
  <c r="V465" i="5"/>
  <c r="W464" i="5"/>
  <c r="V464" i="5"/>
  <c r="W463" i="5"/>
  <c r="V463" i="5"/>
  <c r="W462" i="5"/>
  <c r="V462" i="5"/>
  <c r="W461" i="5"/>
  <c r="V461" i="5"/>
  <c r="W460" i="5"/>
  <c r="V460" i="5"/>
  <c r="W459" i="5"/>
  <c r="V459" i="5"/>
  <c r="W458" i="5"/>
  <c r="V458" i="5"/>
  <c r="W457" i="5"/>
  <c r="V457" i="5"/>
  <c r="W456" i="5"/>
  <c r="V456" i="5"/>
  <c r="W455" i="5"/>
  <c r="V455" i="5"/>
  <c r="W454" i="5"/>
  <c r="V454" i="5"/>
  <c r="W453" i="5"/>
  <c r="V453" i="5"/>
  <c r="W452" i="5"/>
  <c r="V452" i="5"/>
  <c r="W451" i="5"/>
  <c r="V451" i="5"/>
  <c r="W450" i="5"/>
  <c r="V450" i="5"/>
  <c r="W449" i="5"/>
  <c r="V449" i="5"/>
  <c r="W448" i="5"/>
  <c r="V448" i="5"/>
  <c r="W447" i="5"/>
  <c r="V447" i="5"/>
  <c r="W446" i="5"/>
  <c r="V446" i="5"/>
  <c r="W445" i="5"/>
  <c r="V445" i="5"/>
  <c r="W444" i="5"/>
  <c r="V444" i="5"/>
  <c r="W443" i="5"/>
  <c r="V443" i="5"/>
  <c r="W442" i="5"/>
  <c r="V442" i="5"/>
  <c r="W441" i="5"/>
  <c r="V441" i="5"/>
  <c r="W440" i="5"/>
  <c r="V440" i="5"/>
  <c r="W439" i="5"/>
  <c r="V439" i="5"/>
  <c r="W438" i="5"/>
  <c r="V438" i="5"/>
  <c r="W437" i="5"/>
  <c r="V437" i="5"/>
  <c r="W436" i="5"/>
  <c r="V436" i="5"/>
  <c r="W435" i="5"/>
  <c r="V435" i="5"/>
  <c r="W434" i="5"/>
  <c r="V434" i="5"/>
  <c r="W433" i="5"/>
  <c r="V433" i="5"/>
  <c r="W432" i="5"/>
  <c r="V432" i="5"/>
  <c r="W431" i="5"/>
  <c r="V431" i="5"/>
  <c r="W430" i="5"/>
  <c r="V430" i="5"/>
  <c r="W429" i="5"/>
  <c r="V429" i="5"/>
  <c r="W428" i="5"/>
  <c r="V428" i="5"/>
  <c r="W427" i="5"/>
  <c r="V427" i="5"/>
  <c r="W426" i="5"/>
  <c r="V426" i="5"/>
  <c r="W425" i="5"/>
  <c r="V425" i="5"/>
  <c r="W424" i="5"/>
  <c r="V424" i="5"/>
  <c r="W423" i="5"/>
  <c r="V423" i="5"/>
  <c r="W422" i="5"/>
  <c r="V422" i="5"/>
  <c r="W421" i="5"/>
  <c r="V421" i="5"/>
  <c r="W420" i="5"/>
  <c r="V420" i="5"/>
  <c r="W419" i="5"/>
  <c r="V419" i="5"/>
  <c r="W418" i="5"/>
  <c r="V418" i="5"/>
  <c r="W417" i="5"/>
  <c r="V417" i="5"/>
  <c r="W416" i="5"/>
  <c r="V416" i="5"/>
  <c r="W415" i="5"/>
  <c r="V415" i="5"/>
  <c r="W414" i="5"/>
  <c r="V414" i="5"/>
  <c r="W413" i="5"/>
  <c r="V413" i="5"/>
  <c r="W412" i="5"/>
  <c r="V412" i="5"/>
  <c r="W411" i="5"/>
  <c r="V411" i="5"/>
  <c r="W410" i="5"/>
  <c r="V410" i="5"/>
  <c r="W409" i="5"/>
  <c r="V409" i="5"/>
  <c r="W408" i="5"/>
  <c r="V408" i="5"/>
  <c r="W407" i="5"/>
  <c r="V407" i="5"/>
  <c r="W406" i="5"/>
  <c r="V406" i="5"/>
  <c r="W405" i="5"/>
  <c r="V405" i="5"/>
  <c r="W404" i="5"/>
  <c r="V404" i="5"/>
  <c r="W403" i="5"/>
  <c r="V403" i="5"/>
  <c r="W402" i="5"/>
  <c r="V402" i="5"/>
  <c r="W401" i="5"/>
  <c r="V401" i="5"/>
  <c r="W400" i="5"/>
  <c r="V400" i="5"/>
  <c r="W399" i="5"/>
  <c r="V399" i="5"/>
  <c r="W398" i="5"/>
  <c r="V398" i="5"/>
  <c r="W397" i="5"/>
  <c r="V397" i="5"/>
  <c r="W396" i="5"/>
  <c r="V396" i="5"/>
  <c r="W395" i="5"/>
  <c r="V395" i="5"/>
  <c r="W394" i="5"/>
  <c r="V394" i="5"/>
  <c r="W393" i="5"/>
  <c r="V393" i="5"/>
  <c r="W392" i="5"/>
  <c r="V392" i="5"/>
  <c r="W391" i="5"/>
  <c r="V391" i="5"/>
  <c r="W390" i="5"/>
  <c r="V390" i="5"/>
  <c r="W389" i="5"/>
  <c r="V389" i="5"/>
  <c r="W388" i="5"/>
  <c r="V388" i="5"/>
  <c r="W387" i="5"/>
  <c r="V387" i="5"/>
  <c r="W386" i="5"/>
  <c r="V386" i="5"/>
  <c r="W385" i="5"/>
  <c r="V385" i="5"/>
  <c r="W384" i="5"/>
  <c r="V384" i="5"/>
  <c r="W383" i="5"/>
  <c r="V383" i="5"/>
  <c r="W382" i="5"/>
  <c r="V382" i="5"/>
  <c r="W381" i="5"/>
  <c r="V381" i="5"/>
  <c r="W380" i="5"/>
  <c r="V380" i="5"/>
  <c r="W379" i="5"/>
  <c r="V379" i="5"/>
  <c r="W378" i="5"/>
  <c r="V378" i="5"/>
  <c r="W377" i="5"/>
  <c r="V377" i="5"/>
  <c r="W376" i="5"/>
  <c r="V376" i="5"/>
  <c r="W375" i="5"/>
  <c r="V375" i="5"/>
  <c r="W374" i="5"/>
  <c r="V374" i="5"/>
  <c r="W373" i="5"/>
  <c r="V373" i="5"/>
  <c r="W372" i="5"/>
  <c r="V372" i="5"/>
  <c r="W371" i="5"/>
  <c r="V371" i="5"/>
  <c r="W370" i="5"/>
  <c r="V370" i="5"/>
  <c r="W369" i="5"/>
  <c r="V369" i="5"/>
  <c r="W368" i="5"/>
  <c r="V368" i="5"/>
  <c r="W367" i="5"/>
  <c r="V367" i="5"/>
  <c r="W366" i="5"/>
  <c r="V366" i="5"/>
  <c r="W365" i="5"/>
  <c r="V365" i="5"/>
  <c r="W364" i="5"/>
  <c r="V364" i="5"/>
  <c r="W363" i="5"/>
  <c r="V363" i="5"/>
  <c r="W362" i="5"/>
  <c r="V362" i="5"/>
  <c r="W361" i="5"/>
  <c r="V361" i="5"/>
  <c r="W360" i="5"/>
  <c r="V360" i="5"/>
  <c r="W359" i="5"/>
  <c r="V359" i="5"/>
  <c r="W358" i="5"/>
  <c r="V358" i="5"/>
  <c r="W357" i="5"/>
  <c r="V357" i="5"/>
  <c r="W356" i="5"/>
  <c r="V356" i="5"/>
  <c r="W355" i="5"/>
  <c r="V355" i="5"/>
  <c r="W354" i="5"/>
  <c r="V354" i="5"/>
  <c r="W353" i="5"/>
  <c r="V353" i="5"/>
  <c r="W352" i="5"/>
  <c r="V352" i="5"/>
  <c r="W351" i="5"/>
  <c r="V351" i="5"/>
  <c r="W350" i="5"/>
  <c r="V350" i="5"/>
  <c r="W349" i="5"/>
  <c r="V349" i="5"/>
  <c r="W348" i="5"/>
  <c r="V348" i="5"/>
  <c r="W347" i="5"/>
  <c r="V347" i="5"/>
  <c r="W346" i="5"/>
  <c r="V346" i="5"/>
  <c r="W345" i="5"/>
  <c r="V345" i="5"/>
  <c r="W344" i="5"/>
  <c r="V344" i="5"/>
  <c r="W343" i="5"/>
  <c r="V343" i="5"/>
  <c r="W342" i="5"/>
  <c r="V342" i="5"/>
  <c r="W341" i="5"/>
  <c r="V341" i="5"/>
  <c r="W340" i="5"/>
  <c r="V340" i="5"/>
  <c r="W339" i="5"/>
  <c r="V339" i="5"/>
  <c r="W338" i="5"/>
  <c r="V338" i="5"/>
  <c r="W337" i="5"/>
  <c r="V337" i="5"/>
  <c r="W336" i="5"/>
  <c r="V336" i="5"/>
  <c r="W335" i="5"/>
  <c r="V335" i="5"/>
  <c r="W334" i="5"/>
  <c r="V334" i="5"/>
  <c r="W333" i="5"/>
  <c r="V333" i="5"/>
  <c r="W332" i="5"/>
  <c r="V332" i="5"/>
  <c r="W331" i="5"/>
  <c r="V331" i="5"/>
  <c r="W330" i="5"/>
  <c r="V330" i="5"/>
  <c r="W329" i="5"/>
  <c r="V329" i="5"/>
  <c r="W328" i="5"/>
  <c r="V328" i="5"/>
  <c r="W327" i="5"/>
  <c r="V327" i="5"/>
  <c r="W326" i="5"/>
  <c r="V326" i="5"/>
  <c r="W325" i="5"/>
  <c r="V325" i="5"/>
  <c r="W324" i="5"/>
  <c r="V324" i="5"/>
  <c r="W323" i="5"/>
  <c r="V323" i="5"/>
  <c r="W322" i="5"/>
  <c r="V322" i="5"/>
  <c r="W321" i="5"/>
  <c r="V321" i="5"/>
  <c r="W320" i="5"/>
  <c r="V320" i="5"/>
  <c r="W319" i="5"/>
  <c r="V319" i="5"/>
  <c r="W318" i="5"/>
  <c r="V318" i="5"/>
  <c r="W317" i="5"/>
  <c r="V317" i="5"/>
  <c r="W316" i="5"/>
  <c r="V316" i="5"/>
  <c r="W315" i="5"/>
  <c r="V315" i="5"/>
  <c r="W314" i="5"/>
  <c r="V314" i="5"/>
  <c r="W313" i="5"/>
  <c r="V313" i="5"/>
  <c r="W312" i="5"/>
  <c r="V312" i="5"/>
  <c r="W311" i="5"/>
  <c r="V311" i="5"/>
  <c r="W310" i="5"/>
  <c r="V310" i="5"/>
  <c r="W309" i="5"/>
  <c r="V309" i="5"/>
  <c r="W308" i="5"/>
  <c r="V308" i="5"/>
  <c r="W307" i="5"/>
  <c r="V307" i="5"/>
  <c r="W306" i="5"/>
  <c r="V306" i="5"/>
  <c r="W305" i="5"/>
  <c r="V305" i="5"/>
  <c r="W304" i="5"/>
  <c r="V304" i="5"/>
  <c r="W303" i="5"/>
  <c r="V303" i="5"/>
  <c r="W302" i="5"/>
  <c r="V302" i="5"/>
  <c r="W301" i="5"/>
  <c r="V301" i="5"/>
  <c r="W300" i="5"/>
  <c r="V300" i="5"/>
  <c r="W299" i="5"/>
  <c r="V299" i="5"/>
  <c r="W298" i="5"/>
  <c r="V298" i="5"/>
  <c r="W297" i="5"/>
  <c r="V297" i="5"/>
  <c r="W296" i="5"/>
  <c r="V296" i="5"/>
  <c r="W295" i="5"/>
  <c r="V295" i="5"/>
  <c r="W294" i="5"/>
  <c r="V294" i="5"/>
  <c r="W293" i="5"/>
  <c r="V293" i="5"/>
  <c r="W292" i="5"/>
  <c r="V292" i="5"/>
  <c r="W291" i="5"/>
  <c r="V291" i="5"/>
  <c r="W290" i="5"/>
  <c r="V290" i="5"/>
  <c r="W289" i="5"/>
  <c r="V289" i="5"/>
  <c r="W288" i="5"/>
  <c r="V288" i="5"/>
  <c r="W287" i="5"/>
  <c r="V287" i="5"/>
  <c r="W286" i="5"/>
  <c r="V286" i="5"/>
  <c r="W285" i="5"/>
  <c r="V285" i="5"/>
  <c r="W284" i="5"/>
  <c r="V284" i="5"/>
  <c r="W283" i="5"/>
  <c r="V283" i="5"/>
  <c r="W282" i="5"/>
  <c r="V282" i="5"/>
  <c r="W281" i="5"/>
  <c r="V281" i="5"/>
  <c r="W280" i="5"/>
  <c r="V280" i="5"/>
  <c r="W279" i="5"/>
  <c r="V279" i="5"/>
  <c r="W278" i="5"/>
  <c r="V278" i="5"/>
  <c r="W277" i="5"/>
  <c r="V277" i="5"/>
  <c r="W276" i="5"/>
  <c r="V276" i="5"/>
  <c r="W275" i="5"/>
  <c r="V275" i="5"/>
  <c r="W274" i="5"/>
  <c r="V274" i="5"/>
  <c r="W273" i="5"/>
  <c r="V273" i="5"/>
  <c r="W272" i="5"/>
  <c r="V272" i="5"/>
  <c r="W271" i="5"/>
  <c r="V271" i="5"/>
  <c r="W270" i="5"/>
  <c r="V270" i="5"/>
  <c r="W269" i="5"/>
  <c r="V269" i="5"/>
  <c r="W268" i="5"/>
  <c r="V268" i="5"/>
  <c r="W267" i="5"/>
  <c r="V267" i="5"/>
  <c r="W266" i="5"/>
  <c r="V266" i="5"/>
  <c r="W265" i="5"/>
  <c r="V265" i="5"/>
  <c r="W264" i="5"/>
  <c r="V264" i="5"/>
  <c r="W263" i="5"/>
  <c r="V263" i="5"/>
  <c r="W262" i="5"/>
  <c r="V262" i="5"/>
  <c r="W261" i="5"/>
  <c r="V261" i="5"/>
  <c r="W260" i="5"/>
  <c r="V260" i="5"/>
  <c r="W259" i="5"/>
  <c r="V259" i="5"/>
  <c r="W258" i="5"/>
  <c r="V258" i="5"/>
  <c r="W257" i="5"/>
  <c r="V257" i="5"/>
  <c r="W256" i="5"/>
  <c r="V256" i="5"/>
  <c r="W255" i="5"/>
  <c r="V255" i="5"/>
  <c r="W254" i="5"/>
  <c r="V254" i="5"/>
  <c r="W253" i="5"/>
  <c r="V253" i="5"/>
  <c r="W252" i="5"/>
  <c r="V252" i="5"/>
  <c r="W251" i="5"/>
  <c r="V251" i="5"/>
  <c r="W250" i="5"/>
  <c r="V250" i="5"/>
  <c r="W249" i="5"/>
  <c r="V249" i="5"/>
  <c r="W248" i="5"/>
  <c r="V248" i="5"/>
  <c r="W247" i="5"/>
  <c r="V247" i="5"/>
  <c r="W246" i="5"/>
  <c r="V246" i="5"/>
  <c r="W245" i="5"/>
  <c r="V245" i="5"/>
  <c r="W244" i="5"/>
  <c r="V244" i="5"/>
  <c r="W243" i="5"/>
  <c r="V243" i="5"/>
  <c r="W242" i="5"/>
  <c r="V242" i="5"/>
  <c r="W241" i="5"/>
  <c r="V241" i="5"/>
  <c r="W240" i="5"/>
  <c r="V240" i="5"/>
  <c r="W239" i="5"/>
  <c r="V239" i="5"/>
  <c r="W238" i="5"/>
  <c r="V238" i="5"/>
  <c r="W237" i="5"/>
  <c r="V237" i="5"/>
  <c r="W236" i="5"/>
  <c r="V236" i="5"/>
  <c r="W235" i="5"/>
  <c r="V235" i="5"/>
  <c r="W234" i="5"/>
  <c r="V234" i="5"/>
  <c r="W233" i="5"/>
  <c r="V233" i="5"/>
  <c r="W232" i="5"/>
  <c r="V232" i="5"/>
  <c r="W231" i="5"/>
  <c r="V231" i="5"/>
  <c r="W230" i="5"/>
  <c r="V230" i="5"/>
  <c r="W229" i="5"/>
  <c r="V229" i="5"/>
  <c r="W228" i="5"/>
  <c r="V228" i="5"/>
  <c r="W227" i="5"/>
  <c r="V227" i="5"/>
  <c r="W226" i="5"/>
  <c r="V226" i="5"/>
  <c r="W225" i="5"/>
  <c r="V225" i="5"/>
  <c r="W224" i="5"/>
  <c r="V224" i="5"/>
  <c r="W223" i="5"/>
  <c r="V223" i="5"/>
  <c r="W222" i="5"/>
  <c r="V222" i="5"/>
  <c r="W221" i="5"/>
  <c r="V221" i="5"/>
  <c r="W220" i="5"/>
  <c r="V220" i="5"/>
  <c r="W219" i="5"/>
  <c r="V219" i="5"/>
  <c r="W218" i="5"/>
  <c r="V218" i="5"/>
  <c r="W217" i="5"/>
  <c r="V217" i="5"/>
  <c r="W216" i="5"/>
  <c r="V216" i="5"/>
  <c r="W215" i="5"/>
  <c r="V215" i="5"/>
  <c r="W214" i="5"/>
  <c r="V214" i="5"/>
  <c r="W213" i="5"/>
  <c r="V213" i="5"/>
  <c r="W212" i="5"/>
  <c r="V212" i="5"/>
  <c r="W211" i="5"/>
  <c r="V211" i="5"/>
  <c r="W210" i="5"/>
  <c r="V210" i="5"/>
  <c r="W209" i="5"/>
  <c r="V209" i="5"/>
  <c r="W208" i="5"/>
  <c r="V208" i="5"/>
  <c r="W207" i="5"/>
  <c r="V207" i="5"/>
  <c r="W206" i="5"/>
  <c r="V206" i="5"/>
  <c r="W205" i="5"/>
  <c r="V205" i="5"/>
  <c r="W204" i="5"/>
  <c r="V204" i="5"/>
  <c r="W203" i="5"/>
  <c r="V203" i="5"/>
  <c r="W202" i="5"/>
  <c r="V202" i="5"/>
  <c r="W201" i="5"/>
  <c r="V201" i="5"/>
  <c r="W200" i="5"/>
  <c r="V200" i="5"/>
  <c r="W199" i="5"/>
  <c r="V199" i="5"/>
  <c r="W198" i="5"/>
  <c r="V198" i="5"/>
  <c r="W197" i="5"/>
  <c r="V197" i="5"/>
  <c r="W196" i="5"/>
  <c r="V196" i="5"/>
  <c r="W195" i="5"/>
  <c r="V195" i="5"/>
  <c r="W194" i="5"/>
  <c r="V194" i="5"/>
  <c r="W193" i="5"/>
  <c r="V193" i="5"/>
  <c r="W192" i="5"/>
  <c r="V192" i="5"/>
  <c r="W191" i="5"/>
  <c r="V191" i="5"/>
  <c r="W190" i="5"/>
  <c r="V190" i="5"/>
  <c r="W189" i="5"/>
  <c r="V189" i="5"/>
  <c r="W188" i="5"/>
  <c r="V188" i="5"/>
  <c r="W187" i="5"/>
  <c r="V187" i="5"/>
  <c r="W186" i="5"/>
  <c r="V186" i="5"/>
  <c r="W185" i="5"/>
  <c r="V185" i="5"/>
  <c r="W184" i="5"/>
  <c r="V184" i="5"/>
  <c r="W183" i="5"/>
  <c r="V183" i="5"/>
  <c r="W182" i="5"/>
  <c r="V182" i="5"/>
  <c r="W181" i="5"/>
  <c r="V181" i="5"/>
  <c r="W180" i="5"/>
  <c r="V180" i="5"/>
  <c r="W179" i="5"/>
  <c r="V179" i="5"/>
  <c r="W178" i="5"/>
  <c r="V178" i="5"/>
  <c r="W177" i="5"/>
  <c r="V177" i="5"/>
  <c r="W176" i="5"/>
  <c r="V176" i="5"/>
  <c r="W175" i="5"/>
  <c r="V175" i="5"/>
  <c r="W174" i="5"/>
  <c r="V174" i="5"/>
  <c r="W173" i="5"/>
  <c r="V173" i="5"/>
  <c r="W172" i="5"/>
  <c r="V172" i="5"/>
  <c r="W171" i="5"/>
  <c r="V171" i="5"/>
  <c r="W170" i="5"/>
  <c r="V170" i="5"/>
  <c r="W169" i="5"/>
  <c r="V169" i="5"/>
  <c r="W168" i="5"/>
  <c r="V168" i="5"/>
  <c r="W167" i="5"/>
  <c r="V167" i="5"/>
  <c r="W166" i="5"/>
  <c r="V166" i="5"/>
  <c r="W165" i="5"/>
  <c r="V165" i="5"/>
  <c r="W164" i="5"/>
  <c r="V164" i="5"/>
  <c r="W163" i="5"/>
  <c r="V163" i="5"/>
  <c r="W162" i="5"/>
  <c r="V162" i="5"/>
  <c r="W161" i="5"/>
  <c r="V161" i="5"/>
  <c r="W160" i="5"/>
  <c r="V160" i="5"/>
  <c r="W159" i="5"/>
  <c r="V159" i="5"/>
  <c r="W158" i="5"/>
  <c r="V158" i="5"/>
  <c r="W157" i="5"/>
  <c r="V157" i="5"/>
  <c r="W156" i="5"/>
  <c r="V156" i="5"/>
  <c r="W155" i="5"/>
  <c r="V155" i="5"/>
  <c r="W154" i="5"/>
  <c r="V154" i="5"/>
  <c r="W153" i="5"/>
  <c r="V153" i="5"/>
  <c r="W152" i="5"/>
  <c r="V152" i="5"/>
  <c r="W151" i="5"/>
  <c r="V151" i="5"/>
  <c r="W150" i="5"/>
  <c r="V150" i="5"/>
  <c r="W149" i="5"/>
  <c r="V149" i="5"/>
  <c r="W148" i="5"/>
  <c r="V148" i="5"/>
  <c r="W147" i="5"/>
  <c r="V147" i="5"/>
  <c r="W146" i="5"/>
  <c r="V146" i="5"/>
  <c r="W145" i="5"/>
  <c r="V145" i="5"/>
  <c r="W144" i="5"/>
  <c r="V144" i="5"/>
  <c r="W143" i="5"/>
  <c r="V143" i="5"/>
  <c r="W142" i="5"/>
  <c r="V142" i="5"/>
  <c r="W141" i="5"/>
  <c r="V141" i="5"/>
  <c r="W140" i="5"/>
  <c r="V140" i="5"/>
  <c r="W139" i="5"/>
  <c r="V139" i="5"/>
  <c r="W138" i="5"/>
  <c r="V138" i="5"/>
  <c r="W137" i="5"/>
  <c r="V137" i="5"/>
  <c r="W136" i="5"/>
  <c r="V136" i="5"/>
  <c r="W135" i="5"/>
  <c r="V135" i="5"/>
  <c r="W134" i="5"/>
  <c r="V134" i="5"/>
  <c r="W133" i="5"/>
  <c r="V133" i="5"/>
  <c r="W132" i="5"/>
  <c r="V132" i="5"/>
  <c r="W131" i="5"/>
  <c r="V131" i="5"/>
  <c r="W130" i="5"/>
  <c r="V130" i="5"/>
  <c r="W129" i="5"/>
  <c r="V129" i="5"/>
  <c r="W128" i="5"/>
  <c r="V128" i="5"/>
  <c r="W127" i="5"/>
  <c r="V127" i="5"/>
  <c r="W126" i="5"/>
  <c r="V126" i="5"/>
  <c r="W125" i="5"/>
  <c r="V125" i="5"/>
  <c r="W124" i="5"/>
  <c r="V124" i="5"/>
  <c r="W123" i="5"/>
  <c r="V123" i="5"/>
  <c r="W122" i="5"/>
  <c r="V122" i="5"/>
  <c r="W121" i="5"/>
  <c r="V121" i="5"/>
  <c r="W120" i="5"/>
  <c r="V120" i="5"/>
  <c r="W119" i="5"/>
  <c r="V119" i="5"/>
  <c r="W118" i="5"/>
  <c r="V118" i="5"/>
  <c r="W117" i="5"/>
  <c r="V117" i="5"/>
  <c r="W116" i="5"/>
  <c r="V116" i="5"/>
  <c r="W115" i="5"/>
  <c r="V115" i="5"/>
  <c r="W114" i="5"/>
  <c r="V114" i="5"/>
  <c r="W113" i="5"/>
  <c r="V113" i="5"/>
  <c r="W112" i="5"/>
  <c r="V112" i="5"/>
  <c r="W111" i="5"/>
  <c r="V111" i="5"/>
  <c r="W110" i="5"/>
  <c r="V110" i="5"/>
  <c r="W109" i="5"/>
  <c r="V109" i="5"/>
  <c r="W108" i="5"/>
  <c r="V108" i="5"/>
  <c r="W107" i="5"/>
  <c r="V107" i="5"/>
  <c r="W106" i="5"/>
  <c r="V106" i="5"/>
  <c r="W105" i="5"/>
  <c r="V105" i="5"/>
  <c r="W104" i="5"/>
  <c r="V104" i="5"/>
  <c r="W103" i="5"/>
  <c r="V103" i="5"/>
  <c r="W102" i="5"/>
  <c r="V102" i="5"/>
  <c r="W101" i="5"/>
  <c r="V101" i="5"/>
  <c r="W100" i="5"/>
  <c r="V100" i="5"/>
  <c r="W99" i="5"/>
  <c r="V99" i="5"/>
  <c r="W98" i="5"/>
  <c r="V98" i="5"/>
  <c r="W97" i="5"/>
  <c r="V97" i="5"/>
  <c r="W96" i="5"/>
  <c r="V96" i="5"/>
  <c r="W95" i="5"/>
  <c r="V95" i="5"/>
  <c r="W94" i="5"/>
  <c r="V94" i="5"/>
  <c r="W93" i="5"/>
  <c r="V93" i="5"/>
  <c r="W92" i="5"/>
  <c r="V92" i="5"/>
  <c r="W91" i="5"/>
  <c r="V91" i="5"/>
  <c r="W90" i="5"/>
  <c r="V90" i="5"/>
  <c r="W89" i="5"/>
  <c r="V89" i="5"/>
  <c r="W88" i="5"/>
  <c r="V88" i="5"/>
  <c r="W87" i="5"/>
  <c r="V87" i="5"/>
  <c r="W86" i="5"/>
  <c r="V86" i="5"/>
  <c r="W85" i="5"/>
  <c r="V85" i="5"/>
  <c r="W84" i="5"/>
  <c r="V84" i="5"/>
  <c r="W83" i="5"/>
  <c r="V83" i="5"/>
  <c r="W82" i="5"/>
  <c r="V82" i="5"/>
  <c r="W81" i="5"/>
  <c r="V81" i="5"/>
  <c r="W80" i="5"/>
  <c r="V80" i="5"/>
  <c r="W79" i="5"/>
  <c r="V79" i="5"/>
  <c r="W78" i="5"/>
  <c r="V78" i="5"/>
  <c r="W77" i="5"/>
  <c r="V77" i="5"/>
  <c r="W76" i="5"/>
  <c r="V76" i="5"/>
  <c r="W75" i="5"/>
  <c r="V75" i="5"/>
  <c r="W74" i="5"/>
  <c r="V74" i="5"/>
  <c r="W73" i="5"/>
  <c r="V73" i="5"/>
  <c r="W72" i="5"/>
  <c r="V72" i="5"/>
  <c r="W71" i="5"/>
  <c r="V71" i="5"/>
  <c r="W70" i="5"/>
  <c r="V70" i="5"/>
  <c r="W69" i="5"/>
  <c r="V69" i="5"/>
  <c r="W68" i="5"/>
  <c r="V68" i="5"/>
  <c r="W67" i="5"/>
  <c r="V67" i="5"/>
  <c r="W66" i="5"/>
  <c r="V66" i="5"/>
  <c r="W65" i="5"/>
  <c r="V65" i="5"/>
  <c r="W64" i="5"/>
  <c r="V64" i="5"/>
  <c r="W63" i="5"/>
  <c r="V63" i="5"/>
  <c r="W62" i="5"/>
  <c r="V62" i="5"/>
  <c r="W61" i="5"/>
  <c r="V61" i="5"/>
  <c r="W60" i="5"/>
  <c r="V60" i="5"/>
  <c r="W59" i="5"/>
  <c r="V59" i="5"/>
  <c r="W58" i="5"/>
  <c r="V58" i="5"/>
  <c r="W57" i="5"/>
  <c r="V57" i="5"/>
  <c r="W56" i="5"/>
  <c r="V56" i="5"/>
  <c r="W55" i="5"/>
  <c r="V55" i="5"/>
  <c r="W54" i="5"/>
  <c r="V54" i="5"/>
  <c r="W53" i="5"/>
  <c r="V53" i="5"/>
  <c r="W52" i="5"/>
  <c r="V52" i="5"/>
  <c r="W51" i="5"/>
  <c r="V51" i="5"/>
  <c r="W50" i="5"/>
  <c r="V50" i="5"/>
  <c r="W49" i="5"/>
  <c r="V49" i="5"/>
  <c r="W48" i="5"/>
  <c r="V48" i="5"/>
  <c r="W47" i="5"/>
  <c r="V47" i="5"/>
  <c r="W46" i="5"/>
  <c r="V46" i="5"/>
  <c r="W45" i="5"/>
  <c r="V45" i="5"/>
  <c r="W44" i="5"/>
  <c r="V44" i="5"/>
  <c r="W43" i="5"/>
  <c r="V43" i="5"/>
  <c r="W42" i="5"/>
  <c r="V42" i="5"/>
  <c r="W41" i="5"/>
  <c r="V41" i="5"/>
  <c r="W40" i="5"/>
  <c r="V40" i="5"/>
  <c r="W39" i="5"/>
  <c r="V39" i="5"/>
  <c r="W38" i="5"/>
  <c r="V38" i="5"/>
  <c r="W37" i="5"/>
  <c r="V37" i="5"/>
  <c r="W36" i="5"/>
  <c r="V36" i="5"/>
  <c r="W35" i="5"/>
  <c r="V35" i="5"/>
  <c r="W34" i="5"/>
  <c r="V34" i="5"/>
  <c r="W33" i="5"/>
  <c r="V33" i="5"/>
  <c r="W32" i="5"/>
  <c r="V32" i="5"/>
  <c r="W31" i="5"/>
  <c r="V31" i="5"/>
  <c r="W30" i="5"/>
  <c r="V30" i="5"/>
  <c r="W29" i="5"/>
  <c r="V29" i="5"/>
  <c r="W28" i="5"/>
  <c r="V28" i="5"/>
  <c r="W27" i="5"/>
  <c r="V27" i="5"/>
  <c r="W26" i="5"/>
  <c r="V26" i="5"/>
  <c r="W25" i="5"/>
  <c r="V25" i="5"/>
  <c r="W24" i="5"/>
  <c r="V24" i="5"/>
  <c r="W23" i="5"/>
  <c r="V23" i="5"/>
  <c r="W22" i="5"/>
  <c r="V22" i="5"/>
  <c r="W21" i="5"/>
  <c r="V21" i="5"/>
  <c r="W20" i="5"/>
  <c r="V20" i="5"/>
  <c r="W19" i="5"/>
  <c r="V19" i="5"/>
  <c r="W18" i="5"/>
  <c r="V18" i="5"/>
  <c r="W17" i="5"/>
  <c r="V17" i="5"/>
  <c r="W16" i="5"/>
  <c r="V16" i="5"/>
  <c r="W15" i="5"/>
  <c r="V15" i="5"/>
  <c r="W14" i="5"/>
  <c r="V14" i="5"/>
  <c r="W13" i="5"/>
  <c r="V13" i="5"/>
  <c r="W12" i="5"/>
  <c r="V12" i="5"/>
  <c r="W11" i="5"/>
  <c r="V11" i="5"/>
  <c r="W10" i="5"/>
  <c r="V10" i="5"/>
  <c r="W9" i="5"/>
  <c r="V9" i="5"/>
  <c r="W8" i="5"/>
  <c r="V8" i="5"/>
  <c r="W7" i="5"/>
  <c r="V7" i="5"/>
  <c r="W6" i="5"/>
  <c r="V6" i="5"/>
  <c r="W5" i="5"/>
  <c r="V5" i="5"/>
  <c r="W4" i="5"/>
  <c r="V4" i="5"/>
  <c r="W3" i="5"/>
  <c r="V3" i="5"/>
  <c r="O612" i="1"/>
  <c r="N612" i="1"/>
  <c r="M612" i="1"/>
  <c r="L612" i="1"/>
  <c r="K612" i="1"/>
  <c r="D612" i="1"/>
  <c r="O611" i="1"/>
  <c r="N611" i="1"/>
  <c r="M611" i="1"/>
  <c r="L611" i="1"/>
  <c r="K611" i="1"/>
  <c r="D611" i="1"/>
  <c r="O610" i="1"/>
  <c r="N610" i="1"/>
  <c r="M610" i="1"/>
  <c r="L610" i="1"/>
  <c r="K610" i="1"/>
  <c r="D610" i="1"/>
  <c r="O609" i="1"/>
  <c r="N609" i="1"/>
  <c r="M609" i="1"/>
  <c r="L609" i="1"/>
  <c r="K609" i="1"/>
  <c r="D609" i="1"/>
  <c r="O608" i="1"/>
  <c r="N608" i="1"/>
  <c r="M608" i="1"/>
  <c r="L608" i="1"/>
  <c r="K608" i="1"/>
  <c r="D608" i="1"/>
  <c r="O607" i="1"/>
  <c r="N607" i="1"/>
  <c r="M607" i="1"/>
  <c r="L607" i="1"/>
  <c r="K607" i="1"/>
  <c r="D607" i="1"/>
  <c r="O606" i="1"/>
  <c r="N606" i="1"/>
  <c r="M606" i="1"/>
  <c r="L606" i="1"/>
  <c r="K606" i="1"/>
  <c r="D606" i="1"/>
  <c r="O605" i="1"/>
  <c r="N605" i="1"/>
  <c r="M605" i="1"/>
  <c r="L605" i="1"/>
  <c r="K605" i="1"/>
  <c r="D605" i="1"/>
  <c r="O604" i="1"/>
  <c r="N604" i="1"/>
  <c r="M604" i="1"/>
  <c r="L604" i="1"/>
  <c r="K604" i="1"/>
  <c r="D604" i="1"/>
  <c r="O603" i="1"/>
  <c r="N603" i="1"/>
  <c r="M603" i="1"/>
  <c r="L603" i="1"/>
  <c r="K603" i="1"/>
  <c r="D603" i="1"/>
  <c r="O602" i="1"/>
  <c r="N602" i="1"/>
  <c r="M602" i="1"/>
  <c r="L602" i="1"/>
  <c r="K602" i="1"/>
  <c r="D602" i="1"/>
  <c r="O601" i="1"/>
  <c r="N601" i="1"/>
  <c r="M601" i="1"/>
  <c r="L601" i="1"/>
  <c r="K601" i="1"/>
  <c r="D601" i="1"/>
  <c r="O600" i="1"/>
  <c r="N600" i="1"/>
  <c r="M600" i="1"/>
  <c r="L600" i="1"/>
  <c r="K600" i="1"/>
  <c r="D600" i="1"/>
  <c r="O599" i="1"/>
  <c r="N599" i="1"/>
  <c r="M599" i="1"/>
  <c r="L599" i="1"/>
  <c r="K599" i="1"/>
  <c r="D599" i="1"/>
  <c r="O598" i="1"/>
  <c r="N598" i="1"/>
  <c r="M598" i="1"/>
  <c r="L598" i="1"/>
  <c r="K598" i="1"/>
  <c r="D598" i="1"/>
  <c r="O597" i="1"/>
  <c r="N597" i="1"/>
  <c r="M597" i="1"/>
  <c r="L597" i="1"/>
  <c r="K597" i="1"/>
  <c r="D597" i="1"/>
  <c r="O596" i="1"/>
  <c r="N596" i="1"/>
  <c r="M596" i="1"/>
  <c r="L596" i="1"/>
  <c r="K596" i="1"/>
  <c r="D596" i="1"/>
  <c r="O595" i="1"/>
  <c r="N595" i="1"/>
  <c r="M595" i="1"/>
  <c r="L595" i="1"/>
  <c r="K595" i="1"/>
  <c r="D595" i="1"/>
  <c r="O594" i="1"/>
  <c r="N594" i="1"/>
  <c r="M594" i="1"/>
  <c r="L594" i="1"/>
  <c r="K594" i="1"/>
  <c r="D594" i="1"/>
  <c r="O593" i="1"/>
  <c r="N593" i="1"/>
  <c r="M593" i="1"/>
  <c r="L593" i="1"/>
  <c r="K593" i="1"/>
  <c r="D593" i="1"/>
  <c r="O592" i="1"/>
  <c r="N592" i="1"/>
  <c r="M592" i="1"/>
  <c r="L592" i="1"/>
  <c r="K592" i="1"/>
  <c r="D592" i="1"/>
  <c r="O591" i="1"/>
  <c r="N591" i="1"/>
  <c r="M591" i="1"/>
  <c r="L591" i="1"/>
  <c r="K591" i="1"/>
  <c r="D591" i="1"/>
  <c r="O590" i="1"/>
  <c r="N590" i="1"/>
  <c r="M590" i="1"/>
  <c r="L590" i="1"/>
  <c r="K590" i="1"/>
  <c r="D590" i="1"/>
  <c r="O589" i="1"/>
  <c r="N589" i="1"/>
  <c r="M589" i="1"/>
  <c r="L589" i="1"/>
  <c r="K589" i="1"/>
  <c r="D589" i="1"/>
  <c r="O588" i="1"/>
  <c r="N588" i="1"/>
  <c r="M588" i="1"/>
  <c r="L588" i="1"/>
  <c r="K588" i="1"/>
  <c r="D588" i="1"/>
  <c r="O587" i="1"/>
  <c r="N587" i="1"/>
  <c r="M587" i="1"/>
  <c r="L587" i="1"/>
  <c r="K587" i="1"/>
  <c r="D587" i="1"/>
  <c r="O586" i="1"/>
  <c r="N586" i="1"/>
  <c r="M586" i="1"/>
  <c r="L586" i="1"/>
  <c r="K586" i="1"/>
  <c r="D586" i="1"/>
  <c r="O585" i="1"/>
  <c r="N585" i="1"/>
  <c r="M585" i="1"/>
  <c r="L585" i="1"/>
  <c r="K585" i="1"/>
  <c r="D585" i="1"/>
  <c r="O584" i="1"/>
  <c r="N584" i="1"/>
  <c r="M584" i="1"/>
  <c r="L584" i="1"/>
  <c r="K584" i="1"/>
  <c r="D584" i="1"/>
  <c r="O583" i="1"/>
  <c r="N583" i="1"/>
  <c r="M583" i="1"/>
  <c r="L583" i="1"/>
  <c r="K583" i="1"/>
  <c r="D583" i="1"/>
  <c r="O582" i="1"/>
  <c r="N582" i="1"/>
  <c r="M582" i="1"/>
  <c r="L582" i="1"/>
  <c r="K582" i="1"/>
  <c r="D582" i="1"/>
  <c r="O581" i="1"/>
  <c r="N581" i="1"/>
  <c r="M581" i="1"/>
  <c r="L581" i="1"/>
  <c r="K581" i="1"/>
  <c r="D581" i="1"/>
  <c r="O580" i="1"/>
  <c r="N580" i="1"/>
  <c r="M580" i="1"/>
  <c r="L580" i="1"/>
  <c r="K580" i="1"/>
  <c r="D580" i="1"/>
  <c r="O579" i="1"/>
  <c r="N579" i="1"/>
  <c r="M579" i="1"/>
  <c r="L579" i="1"/>
  <c r="K579" i="1"/>
  <c r="D579" i="1"/>
  <c r="O578" i="1"/>
  <c r="N578" i="1"/>
  <c r="M578" i="1"/>
  <c r="L578" i="1"/>
  <c r="K578" i="1"/>
  <c r="D578" i="1"/>
  <c r="O577" i="1"/>
  <c r="N577" i="1"/>
  <c r="M577" i="1"/>
  <c r="L577" i="1"/>
  <c r="K577" i="1"/>
  <c r="D577" i="1"/>
  <c r="O576" i="1"/>
  <c r="N576" i="1"/>
  <c r="M576" i="1"/>
  <c r="L576" i="1"/>
  <c r="K576" i="1"/>
  <c r="D576" i="1"/>
  <c r="O575" i="1"/>
  <c r="N575" i="1"/>
  <c r="M575" i="1"/>
  <c r="L575" i="1"/>
  <c r="K575" i="1"/>
  <c r="D575" i="1"/>
  <c r="O574" i="1"/>
  <c r="N574" i="1"/>
  <c r="M574" i="1"/>
  <c r="L574" i="1"/>
  <c r="K574" i="1"/>
  <c r="D574" i="1"/>
  <c r="O573" i="1"/>
  <c r="N573" i="1"/>
  <c r="M573" i="1"/>
  <c r="L573" i="1"/>
  <c r="K573" i="1"/>
  <c r="D573" i="1"/>
  <c r="O572" i="1"/>
  <c r="N572" i="1"/>
  <c r="M572" i="1"/>
  <c r="L572" i="1"/>
  <c r="K572" i="1"/>
  <c r="D572" i="1"/>
  <c r="O571" i="1"/>
  <c r="N571" i="1"/>
  <c r="M571" i="1"/>
  <c r="L571" i="1"/>
  <c r="K571" i="1"/>
  <c r="D571" i="1"/>
  <c r="O570" i="1"/>
  <c r="N570" i="1"/>
  <c r="M570" i="1"/>
  <c r="L570" i="1"/>
  <c r="K570" i="1"/>
  <c r="D570" i="1"/>
  <c r="O569" i="1"/>
  <c r="N569" i="1"/>
  <c r="M569" i="1"/>
  <c r="L569" i="1"/>
  <c r="K569" i="1"/>
  <c r="D569" i="1"/>
  <c r="O568" i="1"/>
  <c r="N568" i="1"/>
  <c r="M568" i="1"/>
  <c r="L568" i="1"/>
  <c r="K568" i="1"/>
  <c r="D568" i="1"/>
  <c r="O567" i="1"/>
  <c r="N567" i="1"/>
  <c r="M567" i="1"/>
  <c r="L567" i="1"/>
  <c r="K567" i="1"/>
  <c r="D567" i="1"/>
  <c r="O566" i="1"/>
  <c r="N566" i="1"/>
  <c r="M566" i="1"/>
  <c r="L566" i="1"/>
  <c r="K566" i="1"/>
  <c r="D566" i="1"/>
  <c r="O565" i="1"/>
  <c r="N565" i="1"/>
  <c r="M565" i="1"/>
  <c r="L565" i="1"/>
  <c r="K565" i="1"/>
  <c r="D565" i="1"/>
  <c r="O564" i="1"/>
  <c r="N564" i="1"/>
  <c r="M564" i="1"/>
  <c r="L564" i="1"/>
  <c r="K564" i="1"/>
  <c r="D564" i="1"/>
  <c r="O563" i="1"/>
  <c r="N563" i="1"/>
  <c r="M563" i="1"/>
  <c r="L563" i="1"/>
  <c r="K563" i="1"/>
  <c r="D563" i="1"/>
  <c r="O562" i="1"/>
  <c r="N562" i="1"/>
  <c r="M562" i="1"/>
  <c r="L562" i="1"/>
  <c r="K562" i="1"/>
  <c r="D562" i="1"/>
  <c r="O561" i="1"/>
  <c r="N561" i="1"/>
  <c r="M561" i="1"/>
  <c r="L561" i="1"/>
  <c r="K561" i="1"/>
  <c r="D561" i="1"/>
  <c r="O560" i="1"/>
  <c r="N560" i="1"/>
  <c r="M560" i="1"/>
  <c r="L560" i="1"/>
  <c r="K560" i="1"/>
  <c r="D560" i="1"/>
  <c r="O559" i="1"/>
  <c r="N559" i="1"/>
  <c r="M559" i="1"/>
  <c r="L559" i="1"/>
  <c r="K559" i="1"/>
  <c r="D559" i="1"/>
  <c r="O558" i="1"/>
  <c r="N558" i="1"/>
  <c r="M558" i="1"/>
  <c r="L558" i="1"/>
  <c r="K558" i="1"/>
  <c r="D558" i="1"/>
  <c r="O557" i="1"/>
  <c r="N557" i="1"/>
  <c r="M557" i="1"/>
  <c r="L557" i="1"/>
  <c r="K557" i="1"/>
  <c r="D557" i="1"/>
  <c r="O556" i="1"/>
  <c r="N556" i="1"/>
  <c r="M556" i="1"/>
  <c r="L556" i="1"/>
  <c r="K556" i="1"/>
  <c r="D556" i="1"/>
  <c r="O555" i="1"/>
  <c r="N555" i="1"/>
  <c r="M555" i="1"/>
  <c r="L555" i="1"/>
  <c r="K555" i="1"/>
  <c r="D555" i="1"/>
  <c r="O554" i="1"/>
  <c r="N554" i="1"/>
  <c r="M554" i="1"/>
  <c r="L554" i="1"/>
  <c r="K554" i="1"/>
  <c r="D554" i="1"/>
  <c r="O553" i="1"/>
  <c r="N553" i="1"/>
  <c r="M553" i="1"/>
  <c r="L553" i="1"/>
  <c r="K553" i="1"/>
  <c r="D553" i="1"/>
  <c r="O552" i="1"/>
  <c r="N552" i="1"/>
  <c r="M552" i="1"/>
  <c r="L552" i="1"/>
  <c r="K552" i="1"/>
  <c r="D552" i="1"/>
  <c r="O551" i="1"/>
  <c r="N551" i="1"/>
  <c r="M551" i="1"/>
  <c r="L551" i="1"/>
  <c r="K551" i="1"/>
  <c r="D551" i="1"/>
  <c r="O550" i="1"/>
  <c r="N550" i="1"/>
  <c r="M550" i="1"/>
  <c r="L550" i="1"/>
  <c r="K550" i="1"/>
  <c r="D550" i="1"/>
  <c r="O549" i="1"/>
  <c r="N549" i="1"/>
  <c r="M549" i="1"/>
  <c r="L549" i="1"/>
  <c r="K549" i="1"/>
  <c r="D549" i="1"/>
  <c r="O548" i="1"/>
  <c r="N548" i="1"/>
  <c r="M548" i="1"/>
  <c r="L548" i="1"/>
  <c r="K548" i="1"/>
  <c r="D548" i="1"/>
  <c r="O547" i="1"/>
  <c r="N547" i="1"/>
  <c r="M547" i="1"/>
  <c r="L547" i="1"/>
  <c r="K547" i="1"/>
  <c r="D547" i="1"/>
  <c r="O546" i="1"/>
  <c r="N546" i="1"/>
  <c r="M546" i="1"/>
  <c r="L546" i="1"/>
  <c r="K546" i="1"/>
  <c r="D546" i="1"/>
  <c r="O545" i="1"/>
  <c r="N545" i="1"/>
  <c r="M545" i="1"/>
  <c r="L545" i="1"/>
  <c r="K545" i="1"/>
  <c r="D545" i="1"/>
  <c r="O544" i="1"/>
  <c r="N544" i="1"/>
  <c r="M544" i="1"/>
  <c r="L544" i="1"/>
  <c r="K544" i="1"/>
  <c r="D544" i="1"/>
  <c r="O543" i="1"/>
  <c r="N543" i="1"/>
  <c r="M543" i="1"/>
  <c r="L543" i="1"/>
  <c r="K543" i="1"/>
  <c r="D543" i="1"/>
  <c r="O542" i="1"/>
  <c r="N542" i="1"/>
  <c r="M542" i="1"/>
  <c r="L542" i="1"/>
  <c r="K542" i="1"/>
  <c r="D542" i="1"/>
  <c r="O541" i="1"/>
  <c r="N541" i="1"/>
  <c r="M541" i="1"/>
  <c r="L541" i="1"/>
  <c r="K541" i="1"/>
  <c r="D541" i="1"/>
  <c r="O540" i="1"/>
  <c r="N540" i="1"/>
  <c r="M540" i="1"/>
  <c r="L540" i="1"/>
  <c r="K540" i="1"/>
  <c r="D540" i="1"/>
  <c r="O539" i="1"/>
  <c r="N539" i="1"/>
  <c r="M539" i="1"/>
  <c r="L539" i="1"/>
  <c r="K539" i="1"/>
  <c r="D539" i="1"/>
  <c r="O538" i="1"/>
  <c r="N538" i="1"/>
  <c r="M538" i="1"/>
  <c r="L538" i="1"/>
  <c r="K538" i="1"/>
  <c r="D538" i="1"/>
  <c r="O537" i="1"/>
  <c r="N537" i="1"/>
  <c r="M537" i="1"/>
  <c r="L537" i="1"/>
  <c r="K537" i="1"/>
  <c r="D537" i="1"/>
  <c r="O536" i="1"/>
  <c r="N536" i="1"/>
  <c r="M536" i="1"/>
  <c r="L536" i="1"/>
  <c r="K536" i="1"/>
  <c r="D536" i="1"/>
  <c r="O535" i="1"/>
  <c r="N535" i="1"/>
  <c r="M535" i="1"/>
  <c r="L535" i="1"/>
  <c r="K535" i="1"/>
  <c r="D535" i="1"/>
  <c r="O534" i="1"/>
  <c r="N534" i="1"/>
  <c r="M534" i="1"/>
  <c r="L534" i="1"/>
  <c r="K534" i="1"/>
  <c r="D534" i="1"/>
  <c r="O533" i="1"/>
  <c r="N533" i="1"/>
  <c r="M533" i="1"/>
  <c r="L533" i="1"/>
  <c r="K533" i="1"/>
  <c r="D533" i="1"/>
  <c r="O532" i="1"/>
  <c r="N532" i="1"/>
  <c r="M532" i="1"/>
  <c r="L532" i="1"/>
  <c r="K532" i="1"/>
  <c r="D532" i="1"/>
  <c r="O531" i="1"/>
  <c r="N531" i="1"/>
  <c r="M531" i="1"/>
  <c r="L531" i="1"/>
  <c r="K531" i="1"/>
  <c r="D531" i="1"/>
  <c r="O530" i="1"/>
  <c r="N530" i="1"/>
  <c r="M530" i="1"/>
  <c r="L530" i="1"/>
  <c r="K530" i="1"/>
  <c r="D530" i="1"/>
  <c r="O529" i="1"/>
  <c r="N529" i="1"/>
  <c r="M529" i="1"/>
  <c r="L529" i="1"/>
  <c r="K529" i="1"/>
  <c r="D529" i="1"/>
  <c r="O528" i="1"/>
  <c r="N528" i="1"/>
  <c r="M528" i="1"/>
  <c r="L528" i="1"/>
  <c r="K528" i="1"/>
  <c r="D528" i="1"/>
  <c r="O527" i="1"/>
  <c r="N527" i="1"/>
  <c r="M527" i="1"/>
  <c r="L527" i="1"/>
  <c r="K527" i="1"/>
  <c r="D527" i="1"/>
  <c r="O526" i="1"/>
  <c r="N526" i="1"/>
  <c r="M526" i="1"/>
  <c r="L526" i="1"/>
  <c r="K526" i="1"/>
  <c r="D526" i="1"/>
  <c r="O525" i="1"/>
  <c r="N525" i="1"/>
  <c r="M525" i="1"/>
  <c r="L525" i="1"/>
  <c r="K525" i="1"/>
  <c r="D525" i="1"/>
  <c r="O524" i="1"/>
  <c r="N524" i="1"/>
  <c r="M524" i="1"/>
  <c r="L524" i="1"/>
  <c r="K524" i="1"/>
  <c r="D524" i="1"/>
  <c r="O523" i="1"/>
  <c r="N523" i="1"/>
  <c r="M523" i="1"/>
  <c r="L523" i="1"/>
  <c r="K523" i="1"/>
  <c r="D523" i="1"/>
  <c r="O522" i="1"/>
  <c r="N522" i="1"/>
  <c r="M522" i="1"/>
  <c r="L522" i="1"/>
  <c r="K522" i="1"/>
  <c r="D522" i="1"/>
  <c r="O521" i="1"/>
  <c r="N521" i="1"/>
  <c r="M521" i="1"/>
  <c r="L521" i="1"/>
  <c r="K521" i="1"/>
  <c r="D521" i="1"/>
  <c r="O520" i="1"/>
  <c r="N520" i="1"/>
  <c r="M520" i="1"/>
  <c r="L520" i="1"/>
  <c r="K520" i="1"/>
  <c r="D520" i="1"/>
  <c r="O519" i="1"/>
  <c r="N519" i="1"/>
  <c r="M519" i="1"/>
  <c r="L519" i="1"/>
  <c r="K519" i="1"/>
  <c r="D519" i="1"/>
  <c r="O518" i="1"/>
  <c r="N518" i="1"/>
  <c r="M518" i="1"/>
  <c r="L518" i="1"/>
  <c r="K518" i="1"/>
  <c r="D518" i="1"/>
  <c r="O517" i="1"/>
  <c r="N517" i="1"/>
  <c r="M517" i="1"/>
  <c r="L517" i="1"/>
  <c r="K517" i="1"/>
  <c r="D517" i="1"/>
  <c r="O516" i="1"/>
  <c r="N516" i="1"/>
  <c r="M516" i="1"/>
  <c r="L516" i="1"/>
  <c r="K516" i="1"/>
  <c r="D516" i="1"/>
  <c r="O515" i="1"/>
  <c r="N515" i="1"/>
  <c r="M515" i="1"/>
  <c r="L515" i="1"/>
  <c r="K515" i="1"/>
  <c r="D515" i="1"/>
  <c r="O514" i="1"/>
  <c r="N514" i="1"/>
  <c r="M514" i="1"/>
  <c r="L514" i="1"/>
  <c r="K514" i="1"/>
  <c r="D514" i="1"/>
  <c r="O513" i="1"/>
  <c r="N513" i="1"/>
  <c r="M513" i="1"/>
  <c r="L513" i="1"/>
  <c r="K513" i="1"/>
  <c r="D513" i="1"/>
  <c r="O512" i="1"/>
  <c r="N512" i="1"/>
  <c r="M512" i="1"/>
  <c r="L512" i="1"/>
  <c r="K512" i="1"/>
  <c r="D512" i="1"/>
  <c r="O511" i="1"/>
  <c r="N511" i="1"/>
  <c r="M511" i="1"/>
  <c r="L511" i="1"/>
  <c r="K511" i="1"/>
  <c r="D511" i="1"/>
  <c r="O510" i="1"/>
  <c r="N510" i="1"/>
  <c r="M510" i="1"/>
  <c r="L510" i="1"/>
  <c r="K510" i="1"/>
  <c r="D510" i="1"/>
  <c r="O509" i="1"/>
  <c r="N509" i="1"/>
  <c r="M509" i="1"/>
  <c r="L509" i="1"/>
  <c r="K509" i="1"/>
  <c r="D509" i="1"/>
  <c r="O508" i="1"/>
  <c r="N508" i="1"/>
  <c r="M508" i="1"/>
  <c r="L508" i="1"/>
  <c r="K508" i="1"/>
  <c r="D508" i="1"/>
  <c r="O507" i="1"/>
  <c r="N507" i="1"/>
  <c r="M507" i="1"/>
  <c r="L507" i="1"/>
  <c r="K507" i="1"/>
  <c r="D507" i="1"/>
  <c r="O506" i="1"/>
  <c r="N506" i="1"/>
  <c r="M506" i="1"/>
  <c r="L506" i="1"/>
  <c r="K506" i="1"/>
  <c r="D506" i="1"/>
  <c r="O505" i="1"/>
  <c r="N505" i="1"/>
  <c r="M505" i="1"/>
  <c r="L505" i="1"/>
  <c r="K505" i="1"/>
  <c r="D505" i="1"/>
  <c r="O504" i="1"/>
  <c r="N504" i="1"/>
  <c r="M504" i="1"/>
  <c r="L504" i="1"/>
  <c r="K504" i="1"/>
  <c r="D504" i="1"/>
  <c r="O503" i="1"/>
  <c r="N503" i="1"/>
  <c r="M503" i="1"/>
  <c r="L503" i="1"/>
  <c r="K503" i="1"/>
  <c r="D503" i="1"/>
  <c r="O502" i="1"/>
  <c r="N502" i="1"/>
  <c r="M502" i="1"/>
  <c r="L502" i="1"/>
  <c r="K502" i="1"/>
  <c r="D502" i="1"/>
  <c r="O501" i="1"/>
  <c r="N501" i="1"/>
  <c r="M501" i="1"/>
  <c r="L501" i="1"/>
  <c r="K501" i="1"/>
  <c r="D501" i="1"/>
  <c r="O500" i="1"/>
  <c r="N500" i="1"/>
  <c r="M500" i="1"/>
  <c r="L500" i="1"/>
  <c r="K500" i="1"/>
  <c r="D500" i="1"/>
  <c r="O499" i="1"/>
  <c r="N499" i="1"/>
  <c r="M499" i="1"/>
  <c r="L499" i="1"/>
  <c r="K499" i="1"/>
  <c r="D499" i="1"/>
  <c r="O498" i="1"/>
  <c r="N498" i="1"/>
  <c r="M498" i="1"/>
  <c r="L498" i="1"/>
  <c r="K498" i="1"/>
  <c r="D498" i="1"/>
  <c r="O497" i="1"/>
  <c r="N497" i="1"/>
  <c r="M497" i="1"/>
  <c r="L497" i="1"/>
  <c r="K497" i="1"/>
  <c r="D497" i="1"/>
  <c r="O496" i="1"/>
  <c r="N496" i="1"/>
  <c r="M496" i="1"/>
  <c r="L496" i="1"/>
  <c r="K496" i="1"/>
  <c r="D496" i="1"/>
  <c r="O495" i="1"/>
  <c r="N495" i="1"/>
  <c r="M495" i="1"/>
  <c r="L495" i="1"/>
  <c r="K495" i="1"/>
  <c r="D495" i="1"/>
  <c r="O494" i="1"/>
  <c r="N494" i="1"/>
  <c r="M494" i="1"/>
  <c r="L494" i="1"/>
  <c r="K494" i="1"/>
  <c r="D494" i="1"/>
  <c r="O493" i="1"/>
  <c r="N493" i="1"/>
  <c r="M493" i="1"/>
  <c r="L493" i="1"/>
  <c r="K493" i="1"/>
  <c r="D493" i="1"/>
  <c r="O492" i="1"/>
  <c r="N492" i="1"/>
  <c r="M492" i="1"/>
  <c r="L492" i="1"/>
  <c r="K492" i="1"/>
  <c r="D492" i="1"/>
  <c r="O491" i="1"/>
  <c r="N491" i="1"/>
  <c r="M491" i="1"/>
  <c r="L491" i="1"/>
  <c r="K491" i="1"/>
  <c r="D491" i="1"/>
  <c r="O490" i="1"/>
  <c r="N490" i="1"/>
  <c r="M490" i="1"/>
  <c r="L490" i="1"/>
  <c r="K490" i="1"/>
  <c r="D490" i="1"/>
  <c r="O489" i="1"/>
  <c r="N489" i="1"/>
  <c r="M489" i="1"/>
  <c r="L489" i="1"/>
  <c r="K489" i="1"/>
  <c r="D489" i="1"/>
  <c r="O488" i="1"/>
  <c r="N488" i="1"/>
  <c r="M488" i="1"/>
  <c r="L488" i="1"/>
  <c r="K488" i="1"/>
  <c r="D488" i="1"/>
  <c r="O487" i="1"/>
  <c r="N487" i="1"/>
  <c r="M487" i="1"/>
  <c r="L487" i="1"/>
  <c r="K487" i="1"/>
  <c r="D487" i="1"/>
  <c r="O486" i="1"/>
  <c r="N486" i="1"/>
  <c r="M486" i="1"/>
  <c r="L486" i="1"/>
  <c r="K486" i="1"/>
  <c r="D486" i="1"/>
  <c r="O485" i="1"/>
  <c r="N485" i="1"/>
  <c r="M485" i="1"/>
  <c r="L485" i="1"/>
  <c r="K485" i="1"/>
  <c r="D485" i="1"/>
  <c r="O484" i="1"/>
  <c r="N484" i="1"/>
  <c r="M484" i="1"/>
  <c r="L484" i="1"/>
  <c r="K484" i="1"/>
  <c r="D484" i="1"/>
  <c r="O483" i="1"/>
  <c r="N483" i="1"/>
  <c r="M483" i="1"/>
  <c r="L483" i="1"/>
  <c r="K483" i="1"/>
  <c r="D483" i="1"/>
  <c r="O482" i="1"/>
  <c r="N482" i="1"/>
  <c r="M482" i="1"/>
  <c r="L482" i="1"/>
  <c r="K482" i="1"/>
  <c r="D482" i="1"/>
  <c r="O481" i="1"/>
  <c r="N481" i="1"/>
  <c r="M481" i="1"/>
  <c r="L481" i="1"/>
  <c r="K481" i="1"/>
  <c r="D481" i="1"/>
  <c r="O480" i="1"/>
  <c r="N480" i="1"/>
  <c r="M480" i="1"/>
  <c r="L480" i="1"/>
  <c r="K480" i="1"/>
  <c r="D480" i="1"/>
  <c r="O479" i="1"/>
  <c r="N479" i="1"/>
  <c r="M479" i="1"/>
  <c r="L479" i="1"/>
  <c r="K479" i="1"/>
  <c r="D479" i="1"/>
  <c r="O478" i="1"/>
  <c r="N478" i="1"/>
  <c r="M478" i="1"/>
  <c r="L478" i="1"/>
  <c r="K478" i="1"/>
  <c r="D478" i="1"/>
  <c r="O477" i="1"/>
  <c r="N477" i="1"/>
  <c r="M477" i="1"/>
  <c r="L477" i="1"/>
  <c r="K477" i="1"/>
  <c r="D477" i="1"/>
  <c r="O476" i="1"/>
  <c r="N476" i="1"/>
  <c r="M476" i="1"/>
  <c r="L476" i="1"/>
  <c r="K476" i="1"/>
  <c r="D476" i="1"/>
  <c r="O475" i="1"/>
  <c r="N475" i="1"/>
  <c r="M475" i="1"/>
  <c r="L475" i="1"/>
  <c r="K475" i="1"/>
  <c r="D475" i="1"/>
  <c r="O474" i="1"/>
  <c r="N474" i="1"/>
  <c r="M474" i="1"/>
  <c r="L474" i="1"/>
  <c r="K474" i="1"/>
  <c r="D474" i="1"/>
  <c r="O473" i="1"/>
  <c r="N473" i="1"/>
  <c r="M473" i="1"/>
  <c r="L473" i="1"/>
  <c r="K473" i="1"/>
  <c r="D473" i="1"/>
  <c r="O472" i="1"/>
  <c r="N472" i="1"/>
  <c r="M472" i="1"/>
  <c r="L472" i="1"/>
  <c r="K472" i="1"/>
  <c r="D472" i="1"/>
  <c r="O471" i="1"/>
  <c r="N471" i="1"/>
  <c r="M471" i="1"/>
  <c r="L471" i="1"/>
  <c r="K471" i="1"/>
  <c r="D471" i="1"/>
  <c r="O470" i="1"/>
  <c r="N470" i="1"/>
  <c r="M470" i="1"/>
  <c r="L470" i="1"/>
  <c r="K470" i="1"/>
  <c r="D470" i="1"/>
  <c r="O469" i="1"/>
  <c r="N469" i="1"/>
  <c r="M469" i="1"/>
  <c r="L469" i="1"/>
  <c r="K469" i="1"/>
  <c r="D469" i="1"/>
  <c r="O468" i="1"/>
  <c r="N468" i="1"/>
  <c r="M468" i="1"/>
  <c r="L468" i="1"/>
  <c r="K468" i="1"/>
  <c r="D468" i="1"/>
  <c r="O467" i="1"/>
  <c r="N467" i="1"/>
  <c r="M467" i="1"/>
  <c r="L467" i="1"/>
  <c r="K467" i="1"/>
  <c r="D467" i="1"/>
  <c r="O466" i="1"/>
  <c r="N466" i="1"/>
  <c r="M466" i="1"/>
  <c r="L466" i="1"/>
  <c r="K466" i="1"/>
  <c r="D466" i="1"/>
  <c r="O465" i="1"/>
  <c r="N465" i="1"/>
  <c r="M465" i="1"/>
  <c r="L465" i="1"/>
  <c r="K465" i="1"/>
  <c r="D465" i="1"/>
  <c r="O464" i="1"/>
  <c r="N464" i="1"/>
  <c r="M464" i="1"/>
  <c r="L464" i="1"/>
  <c r="K464" i="1"/>
  <c r="D464" i="1"/>
  <c r="O463" i="1"/>
  <c r="N463" i="1"/>
  <c r="M463" i="1"/>
  <c r="L463" i="1"/>
  <c r="K463" i="1"/>
  <c r="D463" i="1"/>
  <c r="O462" i="1"/>
  <c r="N462" i="1"/>
  <c r="M462" i="1"/>
  <c r="L462" i="1"/>
  <c r="K462" i="1"/>
  <c r="D462" i="1"/>
  <c r="O461" i="1"/>
  <c r="N461" i="1"/>
  <c r="M461" i="1"/>
  <c r="L461" i="1"/>
  <c r="K461" i="1"/>
  <c r="D461" i="1"/>
  <c r="O460" i="1"/>
  <c r="N460" i="1"/>
  <c r="M460" i="1"/>
  <c r="L460" i="1"/>
  <c r="K460" i="1"/>
  <c r="D460" i="1"/>
  <c r="O459" i="1"/>
  <c r="N459" i="1"/>
  <c r="M459" i="1"/>
  <c r="L459" i="1"/>
  <c r="K459" i="1"/>
  <c r="D459" i="1"/>
  <c r="O458" i="1"/>
  <c r="N458" i="1"/>
  <c r="M458" i="1"/>
  <c r="L458" i="1"/>
  <c r="K458" i="1"/>
  <c r="D458" i="1"/>
  <c r="O457" i="1"/>
  <c r="N457" i="1"/>
  <c r="M457" i="1"/>
  <c r="L457" i="1"/>
  <c r="K457" i="1"/>
  <c r="D457" i="1"/>
  <c r="O456" i="1"/>
  <c r="N456" i="1"/>
  <c r="M456" i="1"/>
  <c r="L456" i="1"/>
  <c r="K456" i="1"/>
  <c r="D456" i="1"/>
  <c r="O455" i="1"/>
  <c r="N455" i="1"/>
  <c r="M455" i="1"/>
  <c r="L455" i="1"/>
  <c r="K455" i="1"/>
  <c r="D455" i="1"/>
  <c r="O454" i="1"/>
  <c r="N454" i="1"/>
  <c r="M454" i="1"/>
  <c r="L454" i="1"/>
  <c r="K454" i="1"/>
  <c r="D454" i="1"/>
  <c r="O453" i="1"/>
  <c r="N453" i="1"/>
  <c r="M453" i="1"/>
  <c r="L453" i="1"/>
  <c r="K453" i="1"/>
  <c r="D453" i="1"/>
  <c r="O452" i="1"/>
  <c r="N452" i="1"/>
  <c r="M452" i="1"/>
  <c r="L452" i="1"/>
  <c r="K452" i="1"/>
  <c r="D452" i="1"/>
  <c r="O451" i="1"/>
  <c r="N451" i="1"/>
  <c r="M451" i="1"/>
  <c r="L451" i="1"/>
  <c r="K451" i="1"/>
  <c r="D451" i="1"/>
  <c r="O450" i="1"/>
  <c r="N450" i="1"/>
  <c r="M450" i="1"/>
  <c r="L450" i="1"/>
  <c r="K450" i="1"/>
  <c r="D450" i="1"/>
  <c r="O449" i="1"/>
  <c r="N449" i="1"/>
  <c r="M449" i="1"/>
  <c r="L449" i="1"/>
  <c r="K449" i="1"/>
  <c r="D449" i="1"/>
  <c r="O448" i="1"/>
  <c r="N448" i="1"/>
  <c r="M448" i="1"/>
  <c r="L448" i="1"/>
  <c r="K448" i="1"/>
  <c r="D448" i="1"/>
  <c r="O447" i="1"/>
  <c r="N447" i="1"/>
  <c r="M447" i="1"/>
  <c r="L447" i="1"/>
  <c r="K447" i="1"/>
  <c r="D447" i="1"/>
  <c r="O446" i="1"/>
  <c r="N446" i="1"/>
  <c r="M446" i="1"/>
  <c r="L446" i="1"/>
  <c r="K446" i="1"/>
  <c r="D446" i="1"/>
  <c r="O445" i="1"/>
  <c r="N445" i="1"/>
  <c r="M445" i="1"/>
  <c r="L445" i="1"/>
  <c r="K445" i="1"/>
  <c r="D445" i="1"/>
  <c r="O444" i="1"/>
  <c r="N444" i="1"/>
  <c r="M444" i="1"/>
  <c r="L444" i="1"/>
  <c r="K444" i="1"/>
  <c r="D444" i="1"/>
  <c r="O443" i="1"/>
  <c r="N443" i="1"/>
  <c r="M443" i="1"/>
  <c r="L443" i="1"/>
  <c r="K443" i="1"/>
  <c r="D443" i="1"/>
  <c r="O442" i="1"/>
  <c r="N442" i="1"/>
  <c r="M442" i="1"/>
  <c r="L442" i="1"/>
  <c r="K442" i="1"/>
  <c r="D442" i="1"/>
  <c r="O441" i="1"/>
  <c r="N441" i="1"/>
  <c r="M441" i="1"/>
  <c r="L441" i="1"/>
  <c r="K441" i="1"/>
  <c r="D441" i="1"/>
  <c r="O440" i="1"/>
  <c r="N440" i="1"/>
  <c r="M440" i="1"/>
  <c r="L440" i="1"/>
  <c r="K440" i="1"/>
  <c r="D440" i="1"/>
  <c r="O439" i="1"/>
  <c r="N439" i="1"/>
  <c r="M439" i="1"/>
  <c r="L439" i="1"/>
  <c r="K439" i="1"/>
  <c r="D439" i="1"/>
  <c r="O438" i="1"/>
  <c r="N438" i="1"/>
  <c r="M438" i="1"/>
  <c r="L438" i="1"/>
  <c r="K438" i="1"/>
  <c r="D438" i="1"/>
  <c r="O437" i="1"/>
  <c r="N437" i="1"/>
  <c r="M437" i="1"/>
  <c r="L437" i="1"/>
  <c r="K437" i="1"/>
  <c r="D437" i="1"/>
  <c r="O436" i="1"/>
  <c r="N436" i="1"/>
  <c r="M436" i="1"/>
  <c r="L436" i="1"/>
  <c r="K436" i="1"/>
  <c r="D436" i="1"/>
  <c r="O435" i="1"/>
  <c r="N435" i="1"/>
  <c r="M435" i="1"/>
  <c r="L435" i="1"/>
  <c r="K435" i="1"/>
  <c r="D435" i="1"/>
  <c r="O434" i="1"/>
  <c r="N434" i="1"/>
  <c r="M434" i="1"/>
  <c r="L434" i="1"/>
  <c r="K434" i="1"/>
  <c r="D434" i="1"/>
  <c r="O433" i="1"/>
  <c r="N433" i="1"/>
  <c r="M433" i="1"/>
  <c r="L433" i="1"/>
  <c r="K433" i="1"/>
  <c r="D433" i="1"/>
  <c r="O432" i="1"/>
  <c r="N432" i="1"/>
  <c r="M432" i="1"/>
  <c r="L432" i="1"/>
  <c r="K432" i="1"/>
  <c r="D432" i="1"/>
  <c r="O431" i="1"/>
  <c r="N431" i="1"/>
  <c r="M431" i="1"/>
  <c r="L431" i="1"/>
  <c r="K431" i="1"/>
  <c r="D431" i="1"/>
  <c r="O430" i="1"/>
  <c r="N430" i="1"/>
  <c r="M430" i="1"/>
  <c r="L430" i="1"/>
  <c r="K430" i="1"/>
  <c r="D430" i="1"/>
  <c r="O429" i="1"/>
  <c r="N429" i="1"/>
  <c r="M429" i="1"/>
  <c r="L429" i="1"/>
  <c r="K429" i="1"/>
  <c r="D429" i="1"/>
  <c r="O428" i="1"/>
  <c r="N428" i="1"/>
  <c r="M428" i="1"/>
  <c r="L428" i="1"/>
  <c r="K428" i="1"/>
  <c r="D428" i="1"/>
  <c r="O427" i="1"/>
  <c r="N427" i="1"/>
  <c r="M427" i="1"/>
  <c r="L427" i="1"/>
  <c r="K427" i="1"/>
  <c r="D427" i="1"/>
  <c r="O426" i="1"/>
  <c r="N426" i="1"/>
  <c r="M426" i="1"/>
  <c r="L426" i="1"/>
  <c r="K426" i="1"/>
  <c r="D426" i="1"/>
  <c r="O425" i="1"/>
  <c r="N425" i="1"/>
  <c r="M425" i="1"/>
  <c r="L425" i="1"/>
  <c r="K425" i="1"/>
  <c r="D425" i="1"/>
  <c r="O424" i="1"/>
  <c r="N424" i="1"/>
  <c r="M424" i="1"/>
  <c r="L424" i="1"/>
  <c r="K424" i="1"/>
  <c r="D424" i="1"/>
  <c r="O423" i="1"/>
  <c r="N423" i="1"/>
  <c r="M423" i="1"/>
  <c r="L423" i="1"/>
  <c r="K423" i="1"/>
  <c r="D423" i="1"/>
  <c r="O422" i="1"/>
  <c r="N422" i="1"/>
  <c r="M422" i="1"/>
  <c r="L422" i="1"/>
  <c r="K422" i="1"/>
  <c r="D422" i="1"/>
  <c r="O421" i="1"/>
  <c r="N421" i="1"/>
  <c r="M421" i="1"/>
  <c r="L421" i="1"/>
  <c r="K421" i="1"/>
  <c r="D421" i="1"/>
  <c r="O420" i="1"/>
  <c r="N420" i="1"/>
  <c r="M420" i="1"/>
  <c r="L420" i="1"/>
  <c r="K420" i="1"/>
  <c r="D420" i="1"/>
  <c r="O419" i="1"/>
  <c r="N419" i="1"/>
  <c r="M419" i="1"/>
  <c r="L419" i="1"/>
  <c r="K419" i="1"/>
  <c r="D419" i="1"/>
  <c r="O418" i="1"/>
  <c r="N418" i="1"/>
  <c r="M418" i="1"/>
  <c r="L418" i="1"/>
  <c r="K418" i="1"/>
  <c r="D418" i="1"/>
  <c r="O417" i="1"/>
  <c r="N417" i="1"/>
  <c r="M417" i="1"/>
  <c r="L417" i="1"/>
  <c r="K417" i="1"/>
  <c r="D417" i="1"/>
  <c r="O416" i="1"/>
  <c r="N416" i="1"/>
  <c r="M416" i="1"/>
  <c r="L416" i="1"/>
  <c r="K416" i="1"/>
  <c r="D416" i="1"/>
  <c r="O415" i="1"/>
  <c r="N415" i="1"/>
  <c r="M415" i="1"/>
  <c r="L415" i="1"/>
  <c r="K415" i="1"/>
  <c r="D415" i="1"/>
  <c r="O414" i="1"/>
  <c r="N414" i="1"/>
  <c r="M414" i="1"/>
  <c r="L414" i="1"/>
  <c r="K414" i="1"/>
  <c r="D414" i="1"/>
  <c r="O413" i="1"/>
  <c r="N413" i="1"/>
  <c r="M413" i="1"/>
  <c r="L413" i="1"/>
  <c r="K413" i="1"/>
  <c r="D413" i="1"/>
  <c r="O412" i="1"/>
  <c r="N412" i="1"/>
  <c r="M412" i="1"/>
  <c r="L412" i="1"/>
  <c r="K412" i="1"/>
  <c r="D412" i="1"/>
  <c r="O411" i="1"/>
  <c r="N411" i="1"/>
  <c r="M411" i="1"/>
  <c r="L411" i="1"/>
  <c r="K411" i="1"/>
  <c r="D411" i="1"/>
  <c r="O410" i="1"/>
  <c r="N410" i="1"/>
  <c r="M410" i="1"/>
  <c r="L410" i="1"/>
  <c r="K410" i="1"/>
  <c r="D410" i="1"/>
  <c r="O409" i="1"/>
  <c r="N409" i="1"/>
  <c r="M409" i="1"/>
  <c r="L409" i="1"/>
  <c r="K409" i="1"/>
  <c r="D409" i="1"/>
  <c r="O408" i="1"/>
  <c r="N408" i="1"/>
  <c r="M408" i="1"/>
  <c r="L408" i="1"/>
  <c r="K408" i="1"/>
  <c r="D408" i="1"/>
  <c r="O407" i="1"/>
  <c r="N407" i="1"/>
  <c r="M407" i="1"/>
  <c r="L407" i="1"/>
  <c r="K407" i="1"/>
  <c r="D407" i="1"/>
  <c r="O406" i="1"/>
  <c r="N406" i="1"/>
  <c r="M406" i="1"/>
  <c r="L406" i="1"/>
  <c r="K406" i="1"/>
  <c r="D406" i="1"/>
  <c r="O405" i="1"/>
  <c r="N405" i="1"/>
  <c r="M405" i="1"/>
  <c r="L405" i="1"/>
  <c r="K405" i="1"/>
  <c r="D405" i="1"/>
  <c r="O404" i="1"/>
  <c r="N404" i="1"/>
  <c r="M404" i="1"/>
  <c r="L404" i="1"/>
  <c r="K404" i="1"/>
  <c r="D404" i="1"/>
  <c r="O403" i="1"/>
  <c r="N403" i="1"/>
  <c r="M403" i="1"/>
  <c r="L403" i="1"/>
  <c r="K403" i="1"/>
  <c r="D403" i="1"/>
  <c r="O402" i="1"/>
  <c r="N402" i="1"/>
  <c r="M402" i="1"/>
  <c r="L402" i="1"/>
  <c r="K402" i="1"/>
  <c r="D402" i="1"/>
  <c r="O401" i="1"/>
  <c r="N401" i="1"/>
  <c r="M401" i="1"/>
  <c r="L401" i="1"/>
  <c r="K401" i="1"/>
  <c r="D401" i="1"/>
  <c r="O400" i="1"/>
  <c r="N400" i="1"/>
  <c r="M400" i="1"/>
  <c r="L400" i="1"/>
  <c r="K400" i="1"/>
  <c r="D400" i="1"/>
  <c r="O399" i="1"/>
  <c r="N399" i="1"/>
  <c r="M399" i="1"/>
  <c r="L399" i="1"/>
  <c r="K399" i="1"/>
  <c r="D399" i="1"/>
  <c r="O398" i="1"/>
  <c r="N398" i="1"/>
  <c r="M398" i="1"/>
  <c r="L398" i="1"/>
  <c r="K398" i="1"/>
  <c r="D398" i="1"/>
  <c r="O397" i="1"/>
  <c r="N397" i="1"/>
  <c r="M397" i="1"/>
  <c r="L397" i="1"/>
  <c r="K397" i="1"/>
  <c r="D397" i="1"/>
  <c r="O396" i="1"/>
  <c r="N396" i="1"/>
  <c r="M396" i="1"/>
  <c r="L396" i="1"/>
  <c r="K396" i="1"/>
  <c r="D396" i="1"/>
  <c r="O395" i="1"/>
  <c r="N395" i="1"/>
  <c r="M395" i="1"/>
  <c r="L395" i="1"/>
  <c r="K395" i="1"/>
  <c r="D395" i="1"/>
  <c r="O394" i="1"/>
  <c r="N394" i="1"/>
  <c r="M394" i="1"/>
  <c r="L394" i="1"/>
  <c r="K394" i="1"/>
  <c r="D394" i="1"/>
  <c r="O393" i="1"/>
  <c r="N393" i="1"/>
  <c r="M393" i="1"/>
  <c r="L393" i="1"/>
  <c r="K393" i="1"/>
  <c r="D393" i="1"/>
  <c r="O392" i="1"/>
  <c r="N392" i="1"/>
  <c r="M392" i="1"/>
  <c r="L392" i="1"/>
  <c r="K392" i="1"/>
  <c r="D392" i="1"/>
  <c r="O391" i="1"/>
  <c r="N391" i="1"/>
  <c r="M391" i="1"/>
  <c r="L391" i="1"/>
  <c r="K391" i="1"/>
  <c r="D391" i="1"/>
  <c r="O390" i="1"/>
  <c r="N390" i="1"/>
  <c r="M390" i="1"/>
  <c r="L390" i="1"/>
  <c r="K390" i="1"/>
  <c r="D390" i="1"/>
  <c r="O389" i="1"/>
  <c r="N389" i="1"/>
  <c r="M389" i="1"/>
  <c r="L389" i="1"/>
  <c r="K389" i="1"/>
  <c r="D389" i="1"/>
  <c r="O388" i="1"/>
  <c r="N388" i="1"/>
  <c r="M388" i="1"/>
  <c r="L388" i="1"/>
  <c r="K388" i="1"/>
  <c r="D388" i="1"/>
  <c r="O387" i="1"/>
  <c r="N387" i="1"/>
  <c r="M387" i="1"/>
  <c r="L387" i="1"/>
  <c r="K387" i="1"/>
  <c r="D387" i="1"/>
  <c r="O386" i="1"/>
  <c r="N386" i="1"/>
  <c r="M386" i="1"/>
  <c r="L386" i="1"/>
  <c r="K386" i="1"/>
  <c r="D386" i="1"/>
  <c r="O385" i="1"/>
  <c r="N385" i="1"/>
  <c r="M385" i="1"/>
  <c r="L385" i="1"/>
  <c r="K385" i="1"/>
  <c r="D385" i="1"/>
  <c r="O384" i="1"/>
  <c r="N384" i="1"/>
  <c r="M384" i="1"/>
  <c r="L384" i="1"/>
  <c r="K384" i="1"/>
  <c r="D384" i="1"/>
  <c r="O383" i="1"/>
  <c r="N383" i="1"/>
  <c r="M383" i="1"/>
  <c r="L383" i="1"/>
  <c r="K383" i="1"/>
  <c r="D383" i="1"/>
  <c r="O382" i="1"/>
  <c r="N382" i="1"/>
  <c r="M382" i="1"/>
  <c r="L382" i="1"/>
  <c r="K382" i="1"/>
  <c r="D382" i="1"/>
  <c r="O381" i="1"/>
  <c r="N381" i="1"/>
  <c r="M381" i="1"/>
  <c r="L381" i="1"/>
  <c r="K381" i="1"/>
  <c r="D381" i="1"/>
  <c r="O380" i="1"/>
  <c r="N380" i="1"/>
  <c r="M380" i="1"/>
  <c r="L380" i="1"/>
  <c r="K380" i="1"/>
  <c r="D380" i="1"/>
  <c r="O379" i="1"/>
  <c r="N379" i="1"/>
  <c r="M379" i="1"/>
  <c r="L379" i="1"/>
  <c r="K379" i="1"/>
  <c r="D379" i="1"/>
  <c r="O378" i="1"/>
  <c r="N378" i="1"/>
  <c r="M378" i="1"/>
  <c r="L378" i="1"/>
  <c r="K378" i="1"/>
  <c r="D378" i="1"/>
  <c r="O377" i="1"/>
  <c r="N377" i="1"/>
  <c r="M377" i="1"/>
  <c r="L377" i="1"/>
  <c r="K377" i="1"/>
  <c r="D377" i="1"/>
  <c r="O376" i="1"/>
  <c r="N376" i="1"/>
  <c r="M376" i="1"/>
  <c r="L376" i="1"/>
  <c r="K376" i="1"/>
  <c r="D376" i="1"/>
  <c r="O375" i="1"/>
  <c r="N375" i="1"/>
  <c r="M375" i="1"/>
  <c r="L375" i="1"/>
  <c r="K375" i="1"/>
  <c r="D375" i="1"/>
  <c r="O374" i="1"/>
  <c r="N374" i="1"/>
  <c r="M374" i="1"/>
  <c r="L374" i="1"/>
  <c r="K374" i="1"/>
  <c r="D374" i="1"/>
  <c r="O373" i="1"/>
  <c r="N373" i="1"/>
  <c r="M373" i="1"/>
  <c r="L373" i="1"/>
  <c r="K373" i="1"/>
  <c r="D373" i="1"/>
  <c r="O372" i="1"/>
  <c r="N372" i="1"/>
  <c r="M372" i="1"/>
  <c r="L372" i="1"/>
  <c r="K372" i="1"/>
  <c r="D372" i="1"/>
  <c r="O371" i="1"/>
  <c r="N371" i="1"/>
  <c r="M371" i="1"/>
  <c r="L371" i="1"/>
  <c r="K371" i="1"/>
  <c r="D371" i="1"/>
  <c r="O370" i="1"/>
  <c r="N370" i="1"/>
  <c r="M370" i="1"/>
  <c r="L370" i="1"/>
  <c r="K370" i="1"/>
  <c r="D370" i="1"/>
  <c r="O369" i="1"/>
  <c r="N369" i="1"/>
  <c r="M369" i="1"/>
  <c r="L369" i="1"/>
  <c r="K369" i="1"/>
  <c r="D369" i="1"/>
  <c r="O368" i="1"/>
  <c r="N368" i="1"/>
  <c r="M368" i="1"/>
  <c r="L368" i="1"/>
  <c r="K368" i="1"/>
  <c r="D368" i="1"/>
  <c r="O367" i="1"/>
  <c r="N367" i="1"/>
  <c r="M367" i="1"/>
  <c r="L367" i="1"/>
  <c r="K367" i="1"/>
  <c r="D367" i="1"/>
  <c r="O366" i="1"/>
  <c r="N366" i="1"/>
  <c r="M366" i="1"/>
  <c r="L366" i="1"/>
  <c r="K366" i="1"/>
  <c r="D366" i="1"/>
  <c r="O365" i="1"/>
  <c r="N365" i="1"/>
  <c r="M365" i="1"/>
  <c r="L365" i="1"/>
  <c r="K365" i="1"/>
  <c r="D365" i="1"/>
  <c r="O364" i="1"/>
  <c r="N364" i="1"/>
  <c r="M364" i="1"/>
  <c r="L364" i="1"/>
  <c r="K364" i="1"/>
  <c r="D364" i="1"/>
  <c r="O363" i="1"/>
  <c r="N363" i="1"/>
  <c r="M363" i="1"/>
  <c r="L363" i="1"/>
  <c r="K363" i="1"/>
  <c r="D363" i="1"/>
  <c r="O362" i="1"/>
  <c r="N362" i="1"/>
  <c r="M362" i="1"/>
  <c r="L362" i="1"/>
  <c r="K362" i="1"/>
  <c r="D362" i="1"/>
  <c r="O361" i="1"/>
  <c r="N361" i="1"/>
  <c r="M361" i="1"/>
  <c r="L361" i="1"/>
  <c r="K361" i="1"/>
  <c r="D361" i="1"/>
  <c r="O360" i="1"/>
  <c r="N360" i="1"/>
  <c r="M360" i="1"/>
  <c r="L360" i="1"/>
  <c r="K360" i="1"/>
  <c r="D360" i="1"/>
  <c r="O359" i="1"/>
  <c r="N359" i="1"/>
  <c r="M359" i="1"/>
  <c r="L359" i="1"/>
  <c r="K359" i="1"/>
  <c r="D359" i="1"/>
  <c r="O358" i="1"/>
  <c r="N358" i="1"/>
  <c r="M358" i="1"/>
  <c r="L358" i="1"/>
  <c r="K358" i="1"/>
  <c r="D358" i="1"/>
  <c r="O357" i="1"/>
  <c r="N357" i="1"/>
  <c r="M357" i="1"/>
  <c r="L357" i="1"/>
  <c r="K357" i="1"/>
  <c r="D357" i="1"/>
  <c r="O356" i="1"/>
  <c r="N356" i="1"/>
  <c r="M356" i="1"/>
  <c r="L356" i="1"/>
  <c r="K356" i="1"/>
  <c r="D356" i="1"/>
  <c r="O355" i="1"/>
  <c r="N355" i="1"/>
  <c r="M355" i="1"/>
  <c r="L355" i="1"/>
  <c r="K355" i="1"/>
  <c r="D355" i="1"/>
  <c r="O354" i="1"/>
  <c r="N354" i="1"/>
  <c r="M354" i="1"/>
  <c r="L354" i="1"/>
  <c r="K354" i="1"/>
  <c r="D354" i="1"/>
  <c r="O353" i="1"/>
  <c r="N353" i="1"/>
  <c r="M353" i="1"/>
  <c r="L353" i="1"/>
  <c r="K353" i="1"/>
  <c r="D353" i="1"/>
  <c r="O352" i="1"/>
  <c r="N352" i="1"/>
  <c r="M352" i="1"/>
  <c r="L352" i="1"/>
  <c r="K352" i="1"/>
  <c r="D352" i="1"/>
  <c r="O351" i="1"/>
  <c r="N351" i="1"/>
  <c r="M351" i="1"/>
  <c r="L351" i="1"/>
  <c r="K351" i="1"/>
  <c r="D351" i="1"/>
  <c r="O350" i="1"/>
  <c r="N350" i="1"/>
  <c r="M350" i="1"/>
  <c r="L350" i="1"/>
  <c r="K350" i="1"/>
  <c r="D350" i="1"/>
  <c r="O349" i="1"/>
  <c r="N349" i="1"/>
  <c r="M349" i="1"/>
  <c r="L349" i="1"/>
  <c r="K349" i="1"/>
  <c r="D349" i="1"/>
  <c r="O348" i="1"/>
  <c r="N348" i="1"/>
  <c r="M348" i="1"/>
  <c r="L348" i="1"/>
  <c r="K348" i="1"/>
  <c r="D348" i="1"/>
  <c r="O347" i="1"/>
  <c r="N347" i="1"/>
  <c r="M347" i="1"/>
  <c r="L347" i="1"/>
  <c r="K347" i="1"/>
  <c r="D347" i="1"/>
  <c r="O346" i="1"/>
  <c r="N346" i="1"/>
  <c r="M346" i="1"/>
  <c r="L346" i="1"/>
  <c r="K346" i="1"/>
  <c r="D346" i="1"/>
  <c r="O345" i="1"/>
  <c r="N345" i="1"/>
  <c r="M345" i="1"/>
  <c r="L345" i="1"/>
  <c r="K345" i="1"/>
  <c r="D345" i="1"/>
  <c r="O344" i="1"/>
  <c r="N344" i="1"/>
  <c r="M344" i="1"/>
  <c r="L344" i="1"/>
  <c r="K344" i="1"/>
  <c r="D344" i="1"/>
  <c r="O343" i="1"/>
  <c r="N343" i="1"/>
  <c r="M343" i="1"/>
  <c r="L343" i="1"/>
  <c r="K343" i="1"/>
  <c r="D343" i="1"/>
  <c r="O342" i="1"/>
  <c r="N342" i="1"/>
  <c r="M342" i="1"/>
  <c r="L342" i="1"/>
  <c r="K342" i="1"/>
  <c r="D342" i="1"/>
  <c r="O341" i="1"/>
  <c r="N341" i="1"/>
  <c r="M341" i="1"/>
  <c r="L341" i="1"/>
  <c r="K341" i="1"/>
  <c r="D341" i="1"/>
  <c r="O340" i="1"/>
  <c r="N340" i="1"/>
  <c r="M340" i="1"/>
  <c r="L340" i="1"/>
  <c r="K340" i="1"/>
  <c r="D340" i="1"/>
  <c r="O339" i="1"/>
  <c r="N339" i="1"/>
  <c r="M339" i="1"/>
  <c r="L339" i="1"/>
  <c r="K339" i="1"/>
  <c r="D339" i="1"/>
  <c r="O338" i="1"/>
  <c r="N338" i="1"/>
  <c r="M338" i="1"/>
  <c r="L338" i="1"/>
  <c r="K338" i="1"/>
  <c r="D338" i="1"/>
  <c r="O337" i="1"/>
  <c r="N337" i="1"/>
  <c r="M337" i="1"/>
  <c r="L337" i="1"/>
  <c r="K337" i="1"/>
  <c r="D337" i="1"/>
  <c r="O336" i="1"/>
  <c r="N336" i="1"/>
  <c r="M336" i="1"/>
  <c r="L336" i="1"/>
  <c r="K336" i="1"/>
  <c r="D336" i="1"/>
  <c r="O335" i="1"/>
  <c r="N335" i="1"/>
  <c r="M335" i="1"/>
  <c r="L335" i="1"/>
  <c r="K335" i="1"/>
  <c r="D335" i="1"/>
  <c r="O334" i="1"/>
  <c r="N334" i="1"/>
  <c r="M334" i="1"/>
  <c r="L334" i="1"/>
  <c r="K334" i="1"/>
  <c r="D334" i="1"/>
  <c r="O333" i="1"/>
  <c r="N333" i="1"/>
  <c r="M333" i="1"/>
  <c r="L333" i="1"/>
  <c r="K333" i="1"/>
  <c r="D333" i="1"/>
  <c r="O332" i="1"/>
  <c r="N332" i="1"/>
  <c r="M332" i="1"/>
  <c r="L332" i="1"/>
  <c r="K332" i="1"/>
  <c r="D332" i="1"/>
  <c r="O331" i="1"/>
  <c r="N331" i="1"/>
  <c r="M331" i="1"/>
  <c r="L331" i="1"/>
  <c r="K331" i="1"/>
  <c r="D331" i="1"/>
  <c r="O330" i="1"/>
  <c r="N330" i="1"/>
  <c r="M330" i="1"/>
  <c r="L330" i="1"/>
  <c r="K330" i="1"/>
  <c r="D330" i="1"/>
  <c r="O329" i="1"/>
  <c r="N329" i="1"/>
  <c r="M329" i="1"/>
  <c r="L329" i="1"/>
  <c r="K329" i="1"/>
  <c r="D329" i="1"/>
  <c r="O328" i="1"/>
  <c r="N328" i="1"/>
  <c r="M328" i="1"/>
  <c r="L328" i="1"/>
  <c r="K328" i="1"/>
  <c r="D328" i="1"/>
  <c r="O327" i="1"/>
  <c r="N327" i="1"/>
  <c r="M327" i="1"/>
  <c r="L327" i="1"/>
  <c r="K327" i="1"/>
  <c r="D327" i="1"/>
  <c r="O326" i="1"/>
  <c r="N326" i="1"/>
  <c r="M326" i="1"/>
  <c r="L326" i="1"/>
  <c r="K326" i="1"/>
  <c r="D326" i="1"/>
  <c r="O325" i="1"/>
  <c r="N325" i="1"/>
  <c r="M325" i="1"/>
  <c r="L325" i="1"/>
  <c r="K325" i="1"/>
  <c r="D325" i="1"/>
  <c r="O324" i="1"/>
  <c r="N324" i="1"/>
  <c r="M324" i="1"/>
  <c r="L324" i="1"/>
  <c r="K324" i="1"/>
  <c r="D324" i="1"/>
  <c r="O323" i="1"/>
  <c r="N323" i="1"/>
  <c r="M323" i="1"/>
  <c r="L323" i="1"/>
  <c r="K323" i="1"/>
  <c r="D323" i="1"/>
  <c r="O322" i="1"/>
  <c r="N322" i="1"/>
  <c r="M322" i="1"/>
  <c r="L322" i="1"/>
  <c r="K322" i="1"/>
  <c r="D322" i="1"/>
  <c r="O321" i="1"/>
  <c r="N321" i="1"/>
  <c r="M321" i="1"/>
  <c r="L321" i="1"/>
  <c r="K321" i="1"/>
  <c r="D321" i="1"/>
  <c r="O320" i="1"/>
  <c r="N320" i="1"/>
  <c r="M320" i="1"/>
  <c r="L320" i="1"/>
  <c r="K320" i="1"/>
  <c r="D320" i="1"/>
  <c r="O319" i="1"/>
  <c r="N319" i="1"/>
  <c r="M319" i="1"/>
  <c r="L319" i="1"/>
  <c r="K319" i="1"/>
  <c r="D319" i="1"/>
  <c r="O318" i="1"/>
  <c r="N318" i="1"/>
  <c r="M318" i="1"/>
  <c r="L318" i="1"/>
  <c r="K318" i="1"/>
  <c r="D318" i="1"/>
  <c r="O317" i="1"/>
  <c r="N317" i="1"/>
  <c r="M317" i="1"/>
  <c r="L317" i="1"/>
  <c r="K317" i="1"/>
  <c r="D317" i="1"/>
  <c r="O316" i="1"/>
  <c r="N316" i="1"/>
  <c r="M316" i="1"/>
  <c r="L316" i="1"/>
  <c r="K316" i="1"/>
  <c r="D316" i="1"/>
  <c r="O315" i="1"/>
  <c r="N315" i="1"/>
  <c r="M315" i="1"/>
  <c r="L315" i="1"/>
  <c r="K315" i="1"/>
  <c r="D315" i="1"/>
  <c r="O314" i="1"/>
  <c r="N314" i="1"/>
  <c r="M314" i="1"/>
  <c r="L314" i="1"/>
  <c r="K314" i="1"/>
  <c r="D314" i="1"/>
  <c r="O313" i="1"/>
  <c r="N313" i="1"/>
  <c r="M313" i="1"/>
  <c r="L313" i="1"/>
  <c r="K313" i="1"/>
  <c r="D313" i="1"/>
  <c r="O312" i="1"/>
  <c r="N312" i="1"/>
  <c r="M312" i="1"/>
  <c r="L312" i="1"/>
  <c r="K312" i="1"/>
  <c r="D312" i="1"/>
  <c r="O311" i="1"/>
  <c r="N311" i="1"/>
  <c r="M311" i="1"/>
  <c r="L311" i="1"/>
  <c r="K311" i="1"/>
  <c r="D311" i="1"/>
  <c r="O310" i="1"/>
  <c r="N310" i="1"/>
  <c r="M310" i="1"/>
  <c r="L310" i="1"/>
  <c r="K310" i="1"/>
  <c r="D310" i="1"/>
  <c r="O309" i="1"/>
  <c r="N309" i="1"/>
  <c r="M309" i="1"/>
  <c r="L309" i="1"/>
  <c r="K309" i="1"/>
  <c r="D309" i="1"/>
  <c r="O308" i="1"/>
  <c r="N308" i="1"/>
  <c r="M308" i="1"/>
  <c r="L308" i="1"/>
  <c r="K308" i="1"/>
  <c r="D308" i="1"/>
  <c r="O307" i="1"/>
  <c r="N307" i="1"/>
  <c r="M307" i="1"/>
  <c r="L307" i="1"/>
  <c r="K307" i="1"/>
  <c r="D307" i="1"/>
  <c r="O306" i="1"/>
  <c r="N306" i="1"/>
  <c r="M306" i="1"/>
  <c r="L306" i="1"/>
  <c r="K306" i="1"/>
  <c r="D306" i="1"/>
  <c r="O305" i="1"/>
  <c r="N305" i="1"/>
  <c r="M305" i="1"/>
  <c r="L305" i="1"/>
  <c r="K305" i="1"/>
  <c r="D305" i="1"/>
  <c r="O304" i="1"/>
  <c r="N304" i="1"/>
  <c r="M304" i="1"/>
  <c r="L304" i="1"/>
  <c r="K304" i="1"/>
  <c r="D304" i="1"/>
  <c r="O303" i="1"/>
  <c r="N303" i="1"/>
  <c r="M303" i="1"/>
  <c r="L303" i="1"/>
  <c r="K303" i="1"/>
  <c r="D303" i="1"/>
  <c r="O302" i="1"/>
  <c r="N302" i="1"/>
  <c r="M302" i="1"/>
  <c r="L302" i="1"/>
  <c r="K302" i="1"/>
  <c r="D302" i="1"/>
  <c r="O301" i="1"/>
  <c r="N301" i="1"/>
  <c r="M301" i="1"/>
  <c r="L301" i="1"/>
  <c r="K301" i="1"/>
  <c r="D301" i="1"/>
  <c r="O300" i="1"/>
  <c r="N300" i="1"/>
  <c r="M300" i="1"/>
  <c r="L300" i="1"/>
  <c r="K300" i="1"/>
  <c r="D300" i="1"/>
  <c r="O299" i="1"/>
  <c r="N299" i="1"/>
  <c r="M299" i="1"/>
  <c r="L299" i="1"/>
  <c r="K299" i="1"/>
  <c r="D299" i="1"/>
  <c r="O298" i="1"/>
  <c r="N298" i="1"/>
  <c r="M298" i="1"/>
  <c r="L298" i="1"/>
  <c r="K298" i="1"/>
  <c r="D298" i="1"/>
  <c r="O297" i="1"/>
  <c r="N297" i="1"/>
  <c r="M297" i="1"/>
  <c r="L297" i="1"/>
  <c r="K297" i="1"/>
  <c r="D297" i="1"/>
  <c r="O296" i="1"/>
  <c r="N296" i="1"/>
  <c r="M296" i="1"/>
  <c r="L296" i="1"/>
  <c r="K296" i="1"/>
  <c r="D296" i="1"/>
  <c r="O295" i="1"/>
  <c r="N295" i="1"/>
  <c r="M295" i="1"/>
  <c r="L295" i="1"/>
  <c r="K295" i="1"/>
  <c r="D295" i="1"/>
  <c r="O294" i="1"/>
  <c r="N294" i="1"/>
  <c r="M294" i="1"/>
  <c r="L294" i="1"/>
  <c r="K294" i="1"/>
  <c r="D294" i="1"/>
  <c r="O293" i="1"/>
  <c r="N293" i="1"/>
  <c r="M293" i="1"/>
  <c r="L293" i="1"/>
  <c r="K293" i="1"/>
  <c r="D293" i="1"/>
  <c r="O292" i="1"/>
  <c r="N292" i="1"/>
  <c r="M292" i="1"/>
  <c r="L292" i="1"/>
  <c r="K292" i="1"/>
  <c r="D292" i="1"/>
  <c r="O291" i="1"/>
  <c r="N291" i="1"/>
  <c r="M291" i="1"/>
  <c r="L291" i="1"/>
  <c r="K291" i="1"/>
  <c r="D291" i="1"/>
  <c r="O290" i="1"/>
  <c r="N290" i="1"/>
  <c r="M290" i="1"/>
  <c r="L290" i="1"/>
  <c r="K290" i="1"/>
  <c r="D290" i="1"/>
  <c r="O289" i="1"/>
  <c r="N289" i="1"/>
  <c r="M289" i="1"/>
  <c r="L289" i="1"/>
  <c r="K289" i="1"/>
  <c r="D289" i="1"/>
  <c r="O288" i="1"/>
  <c r="N288" i="1"/>
  <c r="M288" i="1"/>
  <c r="L288" i="1"/>
  <c r="K288" i="1"/>
  <c r="D288" i="1"/>
  <c r="O287" i="1"/>
  <c r="N287" i="1"/>
  <c r="M287" i="1"/>
  <c r="L287" i="1"/>
  <c r="K287" i="1"/>
  <c r="D287" i="1"/>
  <c r="O286" i="1"/>
  <c r="N286" i="1"/>
  <c r="M286" i="1"/>
  <c r="L286" i="1"/>
  <c r="K286" i="1"/>
  <c r="D286" i="1"/>
  <c r="O285" i="1"/>
  <c r="N285" i="1"/>
  <c r="M285" i="1"/>
  <c r="L285" i="1"/>
  <c r="K285" i="1"/>
  <c r="D285" i="1"/>
  <c r="O284" i="1"/>
  <c r="N284" i="1"/>
  <c r="M284" i="1"/>
  <c r="L284" i="1"/>
  <c r="K284" i="1"/>
  <c r="D284" i="1"/>
  <c r="O283" i="1"/>
  <c r="N283" i="1"/>
  <c r="M283" i="1"/>
  <c r="L283" i="1"/>
  <c r="K283" i="1"/>
  <c r="D283" i="1"/>
  <c r="O282" i="1"/>
  <c r="N282" i="1"/>
  <c r="M282" i="1"/>
  <c r="L282" i="1"/>
  <c r="K282" i="1"/>
  <c r="D282" i="1"/>
  <c r="O281" i="1"/>
  <c r="N281" i="1"/>
  <c r="M281" i="1"/>
  <c r="L281" i="1"/>
  <c r="K281" i="1"/>
  <c r="D281" i="1"/>
  <c r="O280" i="1"/>
  <c r="N280" i="1"/>
  <c r="M280" i="1"/>
  <c r="L280" i="1"/>
  <c r="K280" i="1"/>
  <c r="D280" i="1"/>
  <c r="O279" i="1"/>
  <c r="N279" i="1"/>
  <c r="M279" i="1"/>
  <c r="L279" i="1"/>
  <c r="K279" i="1"/>
  <c r="D279" i="1"/>
  <c r="O278" i="1"/>
  <c r="N278" i="1"/>
  <c r="M278" i="1"/>
  <c r="L278" i="1"/>
  <c r="K278" i="1"/>
  <c r="D278" i="1"/>
  <c r="O277" i="1"/>
  <c r="N277" i="1"/>
  <c r="M277" i="1"/>
  <c r="L277" i="1"/>
  <c r="K277" i="1"/>
  <c r="D277" i="1"/>
  <c r="O276" i="1"/>
  <c r="N276" i="1"/>
  <c r="M276" i="1"/>
  <c r="L276" i="1"/>
  <c r="K276" i="1"/>
  <c r="D276" i="1"/>
  <c r="O275" i="1"/>
  <c r="N275" i="1"/>
  <c r="M275" i="1"/>
  <c r="L275" i="1"/>
  <c r="K275" i="1"/>
  <c r="D275" i="1"/>
  <c r="O274" i="1"/>
  <c r="N274" i="1"/>
  <c r="M274" i="1"/>
  <c r="L274" i="1"/>
  <c r="K274" i="1"/>
  <c r="D274" i="1"/>
  <c r="O273" i="1"/>
  <c r="N273" i="1"/>
  <c r="M273" i="1"/>
  <c r="L273" i="1"/>
  <c r="K273" i="1"/>
  <c r="D273" i="1"/>
  <c r="O272" i="1"/>
  <c r="N272" i="1"/>
  <c r="M272" i="1"/>
  <c r="L272" i="1"/>
  <c r="K272" i="1"/>
  <c r="D272" i="1"/>
  <c r="O271" i="1"/>
  <c r="N271" i="1"/>
  <c r="M271" i="1"/>
  <c r="L271" i="1"/>
  <c r="K271" i="1"/>
  <c r="D271" i="1"/>
  <c r="O270" i="1"/>
  <c r="N270" i="1"/>
  <c r="M270" i="1"/>
  <c r="L270" i="1"/>
  <c r="K270" i="1"/>
  <c r="D270" i="1"/>
  <c r="O269" i="1"/>
  <c r="N269" i="1"/>
  <c r="M269" i="1"/>
  <c r="L269" i="1"/>
  <c r="K269" i="1"/>
  <c r="D269" i="1"/>
  <c r="O268" i="1"/>
  <c r="N268" i="1"/>
  <c r="M268" i="1"/>
  <c r="L268" i="1"/>
  <c r="K268" i="1"/>
  <c r="D268" i="1"/>
  <c r="O267" i="1"/>
  <c r="N267" i="1"/>
  <c r="M267" i="1"/>
  <c r="L267" i="1"/>
  <c r="K267" i="1"/>
  <c r="D267" i="1"/>
  <c r="O266" i="1"/>
  <c r="N266" i="1"/>
  <c r="M266" i="1"/>
  <c r="L266" i="1"/>
  <c r="K266" i="1"/>
  <c r="D266" i="1"/>
  <c r="O265" i="1"/>
  <c r="N265" i="1"/>
  <c r="M265" i="1"/>
  <c r="L265" i="1"/>
  <c r="K265" i="1"/>
  <c r="D265" i="1"/>
  <c r="O264" i="1"/>
  <c r="N264" i="1"/>
  <c r="M264" i="1"/>
  <c r="L264" i="1"/>
  <c r="K264" i="1"/>
  <c r="D264" i="1"/>
  <c r="O263" i="1"/>
  <c r="N263" i="1"/>
  <c r="M263" i="1"/>
  <c r="L263" i="1"/>
  <c r="K263" i="1"/>
  <c r="D263" i="1"/>
  <c r="O262" i="1"/>
  <c r="N262" i="1"/>
  <c r="M262" i="1"/>
  <c r="L262" i="1"/>
  <c r="K262" i="1"/>
  <c r="D262" i="1"/>
  <c r="O261" i="1"/>
  <c r="N261" i="1"/>
  <c r="M261" i="1"/>
  <c r="L261" i="1"/>
  <c r="K261" i="1"/>
  <c r="D261" i="1"/>
  <c r="O260" i="1"/>
  <c r="N260" i="1"/>
  <c r="M260" i="1"/>
  <c r="L260" i="1"/>
  <c r="K260" i="1"/>
  <c r="D260" i="1"/>
  <c r="O259" i="1"/>
  <c r="N259" i="1"/>
  <c r="M259" i="1"/>
  <c r="L259" i="1"/>
  <c r="K259" i="1"/>
  <c r="D259" i="1"/>
  <c r="O258" i="1"/>
  <c r="N258" i="1"/>
  <c r="M258" i="1"/>
  <c r="L258" i="1"/>
  <c r="K258" i="1"/>
  <c r="D258" i="1"/>
  <c r="O257" i="1"/>
  <c r="N257" i="1"/>
  <c r="M257" i="1"/>
  <c r="L257" i="1"/>
  <c r="K257" i="1"/>
  <c r="D257" i="1"/>
  <c r="O256" i="1"/>
  <c r="N256" i="1"/>
  <c r="M256" i="1"/>
  <c r="L256" i="1"/>
  <c r="K256" i="1"/>
  <c r="D256" i="1"/>
  <c r="O255" i="1"/>
  <c r="N255" i="1"/>
  <c r="M255" i="1"/>
  <c r="L255" i="1"/>
  <c r="K255" i="1"/>
  <c r="D255" i="1"/>
  <c r="O254" i="1"/>
  <c r="N254" i="1"/>
  <c r="M254" i="1"/>
  <c r="L254" i="1"/>
  <c r="K254" i="1"/>
  <c r="D254" i="1"/>
  <c r="O253" i="1"/>
  <c r="N253" i="1"/>
  <c r="M253" i="1"/>
  <c r="L253" i="1"/>
  <c r="K253" i="1"/>
  <c r="D253" i="1"/>
  <c r="O252" i="1"/>
  <c r="N252" i="1"/>
  <c r="M252" i="1"/>
  <c r="L252" i="1"/>
  <c r="K252" i="1"/>
  <c r="D252" i="1"/>
  <c r="O251" i="1"/>
  <c r="N251" i="1"/>
  <c r="M251" i="1"/>
  <c r="L251" i="1"/>
  <c r="K251" i="1"/>
  <c r="D251" i="1"/>
  <c r="O250" i="1"/>
  <c r="N250" i="1"/>
  <c r="M250" i="1"/>
  <c r="L250" i="1"/>
  <c r="K250" i="1"/>
  <c r="D250" i="1"/>
  <c r="O249" i="1"/>
  <c r="N249" i="1"/>
  <c r="M249" i="1"/>
  <c r="L249" i="1"/>
  <c r="K249" i="1"/>
  <c r="D249" i="1"/>
  <c r="O248" i="1"/>
  <c r="N248" i="1"/>
  <c r="M248" i="1"/>
  <c r="L248" i="1"/>
  <c r="K248" i="1"/>
  <c r="D248" i="1"/>
  <c r="O247" i="1"/>
  <c r="N247" i="1"/>
  <c r="M247" i="1"/>
  <c r="L247" i="1"/>
  <c r="K247" i="1"/>
  <c r="D247" i="1"/>
  <c r="O246" i="1"/>
  <c r="N246" i="1"/>
  <c r="M246" i="1"/>
  <c r="L246" i="1"/>
  <c r="K246" i="1"/>
  <c r="D246" i="1"/>
  <c r="O245" i="1"/>
  <c r="N245" i="1"/>
  <c r="M245" i="1"/>
  <c r="L245" i="1"/>
  <c r="K245" i="1"/>
  <c r="D245" i="1"/>
  <c r="O244" i="1"/>
  <c r="N244" i="1"/>
  <c r="M244" i="1"/>
  <c r="L244" i="1"/>
  <c r="K244" i="1"/>
  <c r="D244" i="1"/>
  <c r="O243" i="1"/>
  <c r="N243" i="1"/>
  <c r="M243" i="1"/>
  <c r="L243" i="1"/>
  <c r="K243" i="1"/>
  <c r="D243" i="1"/>
  <c r="O242" i="1"/>
  <c r="N242" i="1"/>
  <c r="M242" i="1"/>
  <c r="L242" i="1"/>
  <c r="K242" i="1"/>
  <c r="D242" i="1"/>
  <c r="O241" i="1"/>
  <c r="N241" i="1"/>
  <c r="M241" i="1"/>
  <c r="L241" i="1"/>
  <c r="K241" i="1"/>
  <c r="D241" i="1"/>
  <c r="O240" i="1"/>
  <c r="N240" i="1"/>
  <c r="M240" i="1"/>
  <c r="L240" i="1"/>
  <c r="K240" i="1"/>
  <c r="D240" i="1"/>
  <c r="O239" i="1"/>
  <c r="N239" i="1"/>
  <c r="M239" i="1"/>
  <c r="L239" i="1"/>
  <c r="K239" i="1"/>
  <c r="D239" i="1"/>
  <c r="O238" i="1"/>
  <c r="N238" i="1"/>
  <c r="M238" i="1"/>
  <c r="L238" i="1"/>
  <c r="K238" i="1"/>
  <c r="D238" i="1"/>
  <c r="O237" i="1"/>
  <c r="N237" i="1"/>
  <c r="M237" i="1"/>
  <c r="L237" i="1"/>
  <c r="K237" i="1"/>
  <c r="D237" i="1"/>
  <c r="O236" i="1"/>
  <c r="N236" i="1"/>
  <c r="M236" i="1"/>
  <c r="L236" i="1"/>
  <c r="K236" i="1"/>
  <c r="D236" i="1"/>
  <c r="O235" i="1"/>
  <c r="N235" i="1"/>
  <c r="M235" i="1"/>
  <c r="L235" i="1"/>
  <c r="K235" i="1"/>
  <c r="D235" i="1"/>
  <c r="O234" i="1"/>
  <c r="N234" i="1"/>
  <c r="M234" i="1"/>
  <c r="L234" i="1"/>
  <c r="K234" i="1"/>
  <c r="D234" i="1"/>
  <c r="O233" i="1"/>
  <c r="N233" i="1"/>
  <c r="M233" i="1"/>
  <c r="L233" i="1"/>
  <c r="K233" i="1"/>
  <c r="D233" i="1"/>
  <c r="O232" i="1"/>
  <c r="N232" i="1"/>
  <c r="M232" i="1"/>
  <c r="L232" i="1"/>
  <c r="K232" i="1"/>
  <c r="D232" i="1"/>
  <c r="O231" i="1"/>
  <c r="N231" i="1"/>
  <c r="M231" i="1"/>
  <c r="L231" i="1"/>
  <c r="K231" i="1"/>
  <c r="D231" i="1"/>
  <c r="O230" i="1"/>
  <c r="N230" i="1"/>
  <c r="M230" i="1"/>
  <c r="L230" i="1"/>
  <c r="K230" i="1"/>
  <c r="D230" i="1"/>
  <c r="O229" i="1"/>
  <c r="N229" i="1"/>
  <c r="M229" i="1"/>
  <c r="L229" i="1"/>
  <c r="K229" i="1"/>
  <c r="D229" i="1"/>
  <c r="O228" i="1"/>
  <c r="N228" i="1"/>
  <c r="M228" i="1"/>
  <c r="L228" i="1"/>
  <c r="K228" i="1"/>
  <c r="D228" i="1"/>
  <c r="O227" i="1"/>
  <c r="N227" i="1"/>
  <c r="M227" i="1"/>
  <c r="L227" i="1"/>
  <c r="K227" i="1"/>
  <c r="D227" i="1"/>
  <c r="O226" i="1"/>
  <c r="N226" i="1"/>
  <c r="M226" i="1"/>
  <c r="L226" i="1"/>
  <c r="K226" i="1"/>
  <c r="D226" i="1"/>
  <c r="O225" i="1"/>
  <c r="N225" i="1"/>
  <c r="M225" i="1"/>
  <c r="L225" i="1"/>
  <c r="K225" i="1"/>
  <c r="D225" i="1"/>
  <c r="O224" i="1"/>
  <c r="N224" i="1"/>
  <c r="M224" i="1"/>
  <c r="L224" i="1"/>
  <c r="K224" i="1"/>
  <c r="D224" i="1"/>
  <c r="O223" i="1"/>
  <c r="N223" i="1"/>
  <c r="M223" i="1"/>
  <c r="L223" i="1"/>
  <c r="K223" i="1"/>
  <c r="D223" i="1"/>
  <c r="O222" i="1"/>
  <c r="N222" i="1"/>
  <c r="M222" i="1"/>
  <c r="L222" i="1"/>
  <c r="K222" i="1"/>
  <c r="D222" i="1"/>
  <c r="O221" i="1"/>
  <c r="N221" i="1"/>
  <c r="M221" i="1"/>
  <c r="L221" i="1"/>
  <c r="K221" i="1"/>
  <c r="D221" i="1"/>
  <c r="O220" i="1"/>
  <c r="N220" i="1"/>
  <c r="M220" i="1"/>
  <c r="L220" i="1"/>
  <c r="K220" i="1"/>
  <c r="D220" i="1"/>
  <c r="O219" i="1"/>
  <c r="N219" i="1"/>
  <c r="M219" i="1"/>
  <c r="L219" i="1"/>
  <c r="K219" i="1"/>
  <c r="D219" i="1"/>
  <c r="O218" i="1"/>
  <c r="N218" i="1"/>
  <c r="M218" i="1"/>
  <c r="L218" i="1"/>
  <c r="K218" i="1"/>
  <c r="D218" i="1"/>
  <c r="O217" i="1"/>
  <c r="N217" i="1"/>
  <c r="M217" i="1"/>
  <c r="L217" i="1"/>
  <c r="K217" i="1"/>
  <c r="D217" i="1"/>
  <c r="O216" i="1"/>
  <c r="N216" i="1"/>
  <c r="M216" i="1"/>
  <c r="L216" i="1"/>
  <c r="K216" i="1"/>
  <c r="D216" i="1"/>
  <c r="O215" i="1"/>
  <c r="N215" i="1"/>
  <c r="M215" i="1"/>
  <c r="L215" i="1"/>
  <c r="K215" i="1"/>
  <c r="D215" i="1"/>
  <c r="O214" i="1"/>
  <c r="N214" i="1"/>
  <c r="M214" i="1"/>
  <c r="L214" i="1"/>
  <c r="K214" i="1"/>
  <c r="D214" i="1"/>
  <c r="O213" i="1"/>
  <c r="N213" i="1"/>
  <c r="M213" i="1"/>
  <c r="L213" i="1"/>
  <c r="K213" i="1"/>
  <c r="D213" i="1"/>
  <c r="O212" i="1"/>
  <c r="N212" i="1"/>
  <c r="M212" i="1"/>
  <c r="L212" i="1"/>
  <c r="K212" i="1"/>
  <c r="D212" i="1"/>
  <c r="O211" i="1"/>
  <c r="N211" i="1"/>
  <c r="M211" i="1"/>
  <c r="L211" i="1"/>
  <c r="K211" i="1"/>
  <c r="D211" i="1"/>
  <c r="O210" i="1"/>
  <c r="N210" i="1"/>
  <c r="M210" i="1"/>
  <c r="L210" i="1"/>
  <c r="K210" i="1"/>
  <c r="D210" i="1"/>
  <c r="O209" i="1"/>
  <c r="N209" i="1"/>
  <c r="M209" i="1"/>
  <c r="L209" i="1"/>
  <c r="K209" i="1"/>
  <c r="D209" i="1"/>
  <c r="O208" i="1"/>
  <c r="N208" i="1"/>
  <c r="M208" i="1"/>
  <c r="L208" i="1"/>
  <c r="K208" i="1"/>
  <c r="D208" i="1"/>
  <c r="O207" i="1"/>
  <c r="N207" i="1"/>
  <c r="M207" i="1"/>
  <c r="L207" i="1"/>
  <c r="K207" i="1"/>
  <c r="D207" i="1"/>
  <c r="O206" i="1"/>
  <c r="N206" i="1"/>
  <c r="M206" i="1"/>
  <c r="L206" i="1"/>
  <c r="K206" i="1"/>
  <c r="D206" i="1"/>
  <c r="O205" i="1"/>
  <c r="N205" i="1"/>
  <c r="M205" i="1"/>
  <c r="L205" i="1"/>
  <c r="K205" i="1"/>
  <c r="D205" i="1"/>
  <c r="O204" i="1"/>
  <c r="N204" i="1"/>
  <c r="M204" i="1"/>
  <c r="L204" i="1"/>
  <c r="K204" i="1"/>
  <c r="D204" i="1"/>
  <c r="O203" i="1"/>
  <c r="N203" i="1"/>
  <c r="M203" i="1"/>
  <c r="L203" i="1"/>
  <c r="K203" i="1"/>
  <c r="D203" i="1"/>
  <c r="O202" i="1"/>
  <c r="N202" i="1"/>
  <c r="M202" i="1"/>
  <c r="L202" i="1"/>
  <c r="K202" i="1"/>
  <c r="D202" i="1"/>
  <c r="O201" i="1"/>
  <c r="N201" i="1"/>
  <c r="M201" i="1"/>
  <c r="L201" i="1"/>
  <c r="K201" i="1"/>
  <c r="D201" i="1"/>
  <c r="O200" i="1"/>
  <c r="N200" i="1"/>
  <c r="M200" i="1"/>
  <c r="L200" i="1"/>
  <c r="K200" i="1"/>
  <c r="D200" i="1"/>
  <c r="O199" i="1"/>
  <c r="N199" i="1"/>
  <c r="M199" i="1"/>
  <c r="L199" i="1"/>
  <c r="K199" i="1"/>
  <c r="D199" i="1"/>
  <c r="O198" i="1"/>
  <c r="N198" i="1"/>
  <c r="M198" i="1"/>
  <c r="L198" i="1"/>
  <c r="K198" i="1"/>
  <c r="D198" i="1"/>
  <c r="O197" i="1"/>
  <c r="N197" i="1"/>
  <c r="M197" i="1"/>
  <c r="L197" i="1"/>
  <c r="K197" i="1"/>
  <c r="D197" i="1"/>
  <c r="O196" i="1"/>
  <c r="N196" i="1"/>
  <c r="M196" i="1"/>
  <c r="L196" i="1"/>
  <c r="K196" i="1"/>
  <c r="D196" i="1"/>
  <c r="O195" i="1"/>
  <c r="N195" i="1"/>
  <c r="M195" i="1"/>
  <c r="L195" i="1"/>
  <c r="K195" i="1"/>
  <c r="D195" i="1"/>
  <c r="O194" i="1"/>
  <c r="N194" i="1"/>
  <c r="M194" i="1"/>
  <c r="L194" i="1"/>
  <c r="K194" i="1"/>
  <c r="D194" i="1"/>
  <c r="O193" i="1"/>
  <c r="N193" i="1"/>
  <c r="M193" i="1"/>
  <c r="L193" i="1"/>
  <c r="K193" i="1"/>
  <c r="D193" i="1"/>
  <c r="O192" i="1"/>
  <c r="N192" i="1"/>
  <c r="M192" i="1"/>
  <c r="L192" i="1"/>
  <c r="K192" i="1"/>
  <c r="D192" i="1"/>
  <c r="O191" i="1"/>
  <c r="N191" i="1"/>
  <c r="M191" i="1"/>
  <c r="L191" i="1"/>
  <c r="K191" i="1"/>
  <c r="D191" i="1"/>
  <c r="O190" i="1"/>
  <c r="N190" i="1"/>
  <c r="M190" i="1"/>
  <c r="L190" i="1"/>
  <c r="K190" i="1"/>
  <c r="D190" i="1"/>
  <c r="O189" i="1"/>
  <c r="N189" i="1"/>
  <c r="M189" i="1"/>
  <c r="L189" i="1"/>
  <c r="K189" i="1"/>
  <c r="D189" i="1"/>
  <c r="O188" i="1"/>
  <c r="N188" i="1"/>
  <c r="M188" i="1"/>
  <c r="L188" i="1"/>
  <c r="K188" i="1"/>
  <c r="D188" i="1"/>
  <c r="O187" i="1"/>
  <c r="N187" i="1"/>
  <c r="M187" i="1"/>
  <c r="L187" i="1"/>
  <c r="K187" i="1"/>
  <c r="D187" i="1"/>
  <c r="O186" i="1"/>
  <c r="N186" i="1"/>
  <c r="M186" i="1"/>
  <c r="L186" i="1"/>
  <c r="K186" i="1"/>
  <c r="D186" i="1"/>
  <c r="O185" i="1"/>
  <c r="N185" i="1"/>
  <c r="M185" i="1"/>
  <c r="L185" i="1"/>
  <c r="K185" i="1"/>
  <c r="D185" i="1"/>
  <c r="O184" i="1"/>
  <c r="N184" i="1"/>
  <c r="M184" i="1"/>
  <c r="L184" i="1"/>
  <c r="K184" i="1"/>
  <c r="D184" i="1"/>
  <c r="O183" i="1"/>
  <c r="N183" i="1"/>
  <c r="M183" i="1"/>
  <c r="L183" i="1"/>
  <c r="K183" i="1"/>
  <c r="D183" i="1"/>
  <c r="O182" i="1"/>
  <c r="N182" i="1"/>
  <c r="M182" i="1"/>
  <c r="L182" i="1"/>
  <c r="K182" i="1"/>
  <c r="D182" i="1"/>
  <c r="O181" i="1"/>
  <c r="N181" i="1"/>
  <c r="M181" i="1"/>
  <c r="L181" i="1"/>
  <c r="K181" i="1"/>
  <c r="D181" i="1"/>
  <c r="O180" i="1"/>
  <c r="N180" i="1"/>
  <c r="M180" i="1"/>
  <c r="L180" i="1"/>
  <c r="K180" i="1"/>
  <c r="D180" i="1"/>
  <c r="O179" i="1"/>
  <c r="N179" i="1"/>
  <c r="M179" i="1"/>
  <c r="L179" i="1"/>
  <c r="K179" i="1"/>
  <c r="D179" i="1"/>
  <c r="O178" i="1"/>
  <c r="N178" i="1"/>
  <c r="M178" i="1"/>
  <c r="L178" i="1"/>
  <c r="K178" i="1"/>
  <c r="D178" i="1"/>
  <c r="O177" i="1"/>
  <c r="N177" i="1"/>
  <c r="M177" i="1"/>
  <c r="L177" i="1"/>
  <c r="K177" i="1"/>
  <c r="D177" i="1"/>
  <c r="O176" i="1"/>
  <c r="N176" i="1"/>
  <c r="M176" i="1"/>
  <c r="L176" i="1"/>
  <c r="K176" i="1"/>
  <c r="D176" i="1"/>
  <c r="O175" i="1"/>
  <c r="N175" i="1"/>
  <c r="M175" i="1"/>
  <c r="L175" i="1"/>
  <c r="K175" i="1"/>
  <c r="D175" i="1"/>
  <c r="O174" i="1"/>
  <c r="N174" i="1"/>
  <c r="M174" i="1"/>
  <c r="L174" i="1"/>
  <c r="K174" i="1"/>
  <c r="D174" i="1"/>
  <c r="O173" i="1"/>
  <c r="N173" i="1"/>
  <c r="M173" i="1"/>
  <c r="L173" i="1"/>
  <c r="K173" i="1"/>
  <c r="D173" i="1"/>
  <c r="O172" i="1"/>
  <c r="N172" i="1"/>
  <c r="M172" i="1"/>
  <c r="L172" i="1"/>
  <c r="K172" i="1"/>
  <c r="D172" i="1"/>
  <c r="O171" i="1"/>
  <c r="N171" i="1"/>
  <c r="M171" i="1"/>
  <c r="L171" i="1"/>
  <c r="K171" i="1"/>
  <c r="D171" i="1"/>
  <c r="O170" i="1"/>
  <c r="N170" i="1"/>
  <c r="M170" i="1"/>
  <c r="L170" i="1"/>
  <c r="K170" i="1"/>
  <c r="D170" i="1"/>
  <c r="O169" i="1"/>
  <c r="N169" i="1"/>
  <c r="M169" i="1"/>
  <c r="L169" i="1"/>
  <c r="K169" i="1"/>
  <c r="D169" i="1"/>
  <c r="O168" i="1"/>
  <c r="N168" i="1"/>
  <c r="M168" i="1"/>
  <c r="L168" i="1"/>
  <c r="K168" i="1"/>
  <c r="D168" i="1"/>
  <c r="O167" i="1"/>
  <c r="N167" i="1"/>
  <c r="M167" i="1"/>
  <c r="L167" i="1"/>
  <c r="K167" i="1"/>
  <c r="D167" i="1"/>
  <c r="O166" i="1"/>
  <c r="N166" i="1"/>
  <c r="M166" i="1"/>
  <c r="L166" i="1"/>
  <c r="K166" i="1"/>
  <c r="D166" i="1"/>
  <c r="O165" i="1"/>
  <c r="N165" i="1"/>
  <c r="M165" i="1"/>
  <c r="L165" i="1"/>
  <c r="K165" i="1"/>
  <c r="D165" i="1"/>
  <c r="O164" i="1"/>
  <c r="N164" i="1"/>
  <c r="M164" i="1"/>
  <c r="L164" i="1"/>
  <c r="K164" i="1"/>
  <c r="D164" i="1"/>
  <c r="O163" i="1"/>
  <c r="N163" i="1"/>
  <c r="M163" i="1"/>
  <c r="L163" i="1"/>
  <c r="K163" i="1"/>
  <c r="D163" i="1"/>
  <c r="O162" i="1"/>
  <c r="N162" i="1"/>
  <c r="M162" i="1"/>
  <c r="L162" i="1"/>
  <c r="K162" i="1"/>
  <c r="D162" i="1"/>
  <c r="O161" i="1"/>
  <c r="N161" i="1"/>
  <c r="M161" i="1"/>
  <c r="L161" i="1"/>
  <c r="K161" i="1"/>
  <c r="D161" i="1"/>
  <c r="O160" i="1"/>
  <c r="N160" i="1"/>
  <c r="M160" i="1"/>
  <c r="L160" i="1"/>
  <c r="K160" i="1"/>
  <c r="D160" i="1"/>
  <c r="O159" i="1"/>
  <c r="N159" i="1"/>
  <c r="M159" i="1"/>
  <c r="L159" i="1"/>
  <c r="K159" i="1"/>
  <c r="D159" i="1"/>
  <c r="O158" i="1"/>
  <c r="N158" i="1"/>
  <c r="M158" i="1"/>
  <c r="L158" i="1"/>
  <c r="K158" i="1"/>
  <c r="D158" i="1"/>
  <c r="O157" i="1"/>
  <c r="N157" i="1"/>
  <c r="M157" i="1"/>
  <c r="L157" i="1"/>
  <c r="K157" i="1"/>
  <c r="D157" i="1"/>
  <c r="O156" i="1"/>
  <c r="N156" i="1"/>
  <c r="M156" i="1"/>
  <c r="L156" i="1"/>
  <c r="K156" i="1"/>
  <c r="D156" i="1"/>
  <c r="O155" i="1"/>
  <c r="N155" i="1"/>
  <c r="M155" i="1"/>
  <c r="L155" i="1"/>
  <c r="K155" i="1"/>
  <c r="D155" i="1"/>
  <c r="O154" i="1"/>
  <c r="N154" i="1"/>
  <c r="M154" i="1"/>
  <c r="L154" i="1"/>
  <c r="K154" i="1"/>
  <c r="D154" i="1"/>
  <c r="O153" i="1"/>
  <c r="N153" i="1"/>
  <c r="M153" i="1"/>
  <c r="L153" i="1"/>
  <c r="K153" i="1"/>
  <c r="D153" i="1"/>
  <c r="O152" i="1"/>
  <c r="N152" i="1"/>
  <c r="M152" i="1"/>
  <c r="L152" i="1"/>
  <c r="K152" i="1"/>
  <c r="D152" i="1"/>
  <c r="O151" i="1"/>
  <c r="N151" i="1"/>
  <c r="M151" i="1"/>
  <c r="L151" i="1"/>
  <c r="K151" i="1"/>
  <c r="D151" i="1"/>
  <c r="O150" i="1"/>
  <c r="N150" i="1"/>
  <c r="M150" i="1"/>
  <c r="L150" i="1"/>
  <c r="K150" i="1"/>
  <c r="D150" i="1"/>
  <c r="O149" i="1"/>
  <c r="N149" i="1"/>
  <c r="M149" i="1"/>
  <c r="L149" i="1"/>
  <c r="K149" i="1"/>
  <c r="D149" i="1"/>
  <c r="O148" i="1"/>
  <c r="N148" i="1"/>
  <c r="M148" i="1"/>
  <c r="L148" i="1"/>
  <c r="K148" i="1"/>
  <c r="D148" i="1"/>
  <c r="O147" i="1"/>
  <c r="N147" i="1"/>
  <c r="M147" i="1"/>
  <c r="L147" i="1"/>
  <c r="K147" i="1"/>
  <c r="D147" i="1"/>
  <c r="O146" i="1"/>
  <c r="N146" i="1"/>
  <c r="M146" i="1"/>
  <c r="L146" i="1"/>
  <c r="K146" i="1"/>
  <c r="D146" i="1"/>
  <c r="O145" i="1"/>
  <c r="N145" i="1"/>
  <c r="M145" i="1"/>
  <c r="L145" i="1"/>
  <c r="K145" i="1"/>
  <c r="D145" i="1"/>
  <c r="O144" i="1"/>
  <c r="N144" i="1"/>
  <c r="M144" i="1"/>
  <c r="L144" i="1"/>
  <c r="K144" i="1"/>
  <c r="D144" i="1"/>
  <c r="O143" i="1"/>
  <c r="N143" i="1"/>
  <c r="M143" i="1"/>
  <c r="L143" i="1"/>
  <c r="K143" i="1"/>
  <c r="D143" i="1"/>
  <c r="O142" i="1"/>
  <c r="N142" i="1"/>
  <c r="M142" i="1"/>
  <c r="L142" i="1"/>
  <c r="K142" i="1"/>
  <c r="D142" i="1"/>
  <c r="O141" i="1"/>
  <c r="N141" i="1"/>
  <c r="M141" i="1"/>
  <c r="L141" i="1"/>
  <c r="K141" i="1"/>
  <c r="D141" i="1"/>
  <c r="O140" i="1"/>
  <c r="N140" i="1"/>
  <c r="M140" i="1"/>
  <c r="L140" i="1"/>
  <c r="K140" i="1"/>
  <c r="D140" i="1"/>
  <c r="O139" i="1"/>
  <c r="N139" i="1"/>
  <c r="M139" i="1"/>
  <c r="L139" i="1"/>
  <c r="K139" i="1"/>
  <c r="D139" i="1"/>
  <c r="O138" i="1"/>
  <c r="N138" i="1"/>
  <c r="M138" i="1"/>
  <c r="L138" i="1"/>
  <c r="K138" i="1"/>
  <c r="D138" i="1"/>
  <c r="O137" i="1"/>
  <c r="N137" i="1"/>
  <c r="M137" i="1"/>
  <c r="L137" i="1"/>
  <c r="K137" i="1"/>
  <c r="D137" i="1"/>
  <c r="O136" i="1"/>
  <c r="N136" i="1"/>
  <c r="M136" i="1"/>
  <c r="L136" i="1"/>
  <c r="K136" i="1"/>
  <c r="D136" i="1"/>
  <c r="O135" i="1"/>
  <c r="N135" i="1"/>
  <c r="M135" i="1"/>
  <c r="L135" i="1"/>
  <c r="K135" i="1"/>
  <c r="D135" i="1"/>
  <c r="O134" i="1"/>
  <c r="N134" i="1"/>
  <c r="M134" i="1"/>
  <c r="L134" i="1"/>
  <c r="K134" i="1"/>
  <c r="D134" i="1"/>
  <c r="O133" i="1"/>
  <c r="N133" i="1"/>
  <c r="M133" i="1"/>
  <c r="L133" i="1"/>
  <c r="K133" i="1"/>
  <c r="D133" i="1"/>
  <c r="O132" i="1"/>
  <c r="N132" i="1"/>
  <c r="M132" i="1"/>
  <c r="L132" i="1"/>
  <c r="K132" i="1"/>
  <c r="D132" i="1"/>
  <c r="O131" i="1"/>
  <c r="N131" i="1"/>
  <c r="M131" i="1"/>
  <c r="L131" i="1"/>
  <c r="K131" i="1"/>
  <c r="D131" i="1"/>
  <c r="O130" i="1"/>
  <c r="N130" i="1"/>
  <c r="M130" i="1"/>
  <c r="L130" i="1"/>
  <c r="K130" i="1"/>
  <c r="D130" i="1"/>
  <c r="O129" i="1"/>
  <c r="N129" i="1"/>
  <c r="M129" i="1"/>
  <c r="L129" i="1"/>
  <c r="K129" i="1"/>
  <c r="D129" i="1"/>
  <c r="O128" i="1"/>
  <c r="N128" i="1"/>
  <c r="M128" i="1"/>
  <c r="L128" i="1"/>
  <c r="K128" i="1"/>
  <c r="D128" i="1"/>
  <c r="O127" i="1"/>
  <c r="N127" i="1"/>
  <c r="M127" i="1"/>
  <c r="L127" i="1"/>
  <c r="K127" i="1"/>
  <c r="D127" i="1"/>
  <c r="O126" i="1"/>
  <c r="N126" i="1"/>
  <c r="M126" i="1"/>
  <c r="L126" i="1"/>
  <c r="K126" i="1"/>
  <c r="D126" i="1"/>
  <c r="O125" i="1"/>
  <c r="N125" i="1"/>
  <c r="M125" i="1"/>
  <c r="L125" i="1"/>
  <c r="K125" i="1"/>
  <c r="D125" i="1"/>
  <c r="O124" i="1"/>
  <c r="N124" i="1"/>
  <c r="M124" i="1"/>
  <c r="L124" i="1"/>
  <c r="K124" i="1"/>
  <c r="D124" i="1"/>
  <c r="O123" i="1"/>
  <c r="N123" i="1"/>
  <c r="M123" i="1"/>
  <c r="L123" i="1"/>
  <c r="K123" i="1"/>
  <c r="D123" i="1"/>
  <c r="O122" i="1"/>
  <c r="N122" i="1"/>
  <c r="M122" i="1"/>
  <c r="L122" i="1"/>
  <c r="K122" i="1"/>
  <c r="D122" i="1"/>
  <c r="O121" i="1"/>
  <c r="N121" i="1"/>
  <c r="M121" i="1"/>
  <c r="L121" i="1"/>
  <c r="K121" i="1"/>
  <c r="D121" i="1"/>
  <c r="O120" i="1"/>
  <c r="N120" i="1"/>
  <c r="M120" i="1"/>
  <c r="L120" i="1"/>
  <c r="K120" i="1"/>
  <c r="D120" i="1"/>
  <c r="O119" i="1"/>
  <c r="N119" i="1"/>
  <c r="M119" i="1"/>
  <c r="L119" i="1"/>
  <c r="K119" i="1"/>
  <c r="D119" i="1"/>
  <c r="O118" i="1"/>
  <c r="N118" i="1"/>
  <c r="M118" i="1"/>
  <c r="L118" i="1"/>
  <c r="K118" i="1"/>
  <c r="D118" i="1"/>
  <c r="O117" i="1"/>
  <c r="N117" i="1"/>
  <c r="M117" i="1"/>
  <c r="L117" i="1"/>
  <c r="K117" i="1"/>
  <c r="D117" i="1"/>
  <c r="O116" i="1"/>
  <c r="N116" i="1"/>
  <c r="M116" i="1"/>
  <c r="L116" i="1"/>
  <c r="K116" i="1"/>
  <c r="D116" i="1"/>
  <c r="O115" i="1"/>
  <c r="N115" i="1"/>
  <c r="M115" i="1"/>
  <c r="L115" i="1"/>
  <c r="K115" i="1"/>
  <c r="D115" i="1"/>
  <c r="O114" i="1"/>
  <c r="N114" i="1"/>
  <c r="M114" i="1"/>
  <c r="L114" i="1"/>
  <c r="K114" i="1"/>
  <c r="D114" i="1"/>
  <c r="O113" i="1"/>
  <c r="N113" i="1"/>
  <c r="M113" i="1"/>
  <c r="L113" i="1"/>
  <c r="K113" i="1"/>
  <c r="D113" i="1"/>
  <c r="O112" i="1"/>
  <c r="N112" i="1"/>
  <c r="M112" i="1"/>
  <c r="L112" i="1"/>
  <c r="K112" i="1"/>
  <c r="D112" i="1"/>
  <c r="O111" i="1"/>
  <c r="N111" i="1"/>
  <c r="M111" i="1"/>
  <c r="L111" i="1"/>
  <c r="K111" i="1"/>
  <c r="D111" i="1"/>
  <c r="O110" i="1"/>
  <c r="N110" i="1"/>
  <c r="M110" i="1"/>
  <c r="L110" i="1"/>
  <c r="K110" i="1"/>
  <c r="D110" i="1"/>
  <c r="O109" i="1"/>
  <c r="N109" i="1"/>
  <c r="M109" i="1"/>
  <c r="L109" i="1"/>
  <c r="K109" i="1"/>
  <c r="D109" i="1"/>
  <c r="O108" i="1"/>
  <c r="N108" i="1"/>
  <c r="M108" i="1"/>
  <c r="L108" i="1"/>
  <c r="K108" i="1"/>
  <c r="D108" i="1"/>
  <c r="O107" i="1"/>
  <c r="N107" i="1"/>
  <c r="M107" i="1"/>
  <c r="L107" i="1"/>
  <c r="K107" i="1"/>
  <c r="D107" i="1"/>
  <c r="O106" i="1"/>
  <c r="N106" i="1"/>
  <c r="M106" i="1"/>
  <c r="L106" i="1"/>
  <c r="K106" i="1"/>
  <c r="D106" i="1"/>
  <c r="O105" i="1"/>
  <c r="N105" i="1"/>
  <c r="M105" i="1"/>
  <c r="L105" i="1"/>
  <c r="K105" i="1"/>
  <c r="D105" i="1"/>
  <c r="O104" i="1"/>
  <c r="N104" i="1"/>
  <c r="M104" i="1"/>
  <c r="L104" i="1"/>
  <c r="K104" i="1"/>
  <c r="D104" i="1"/>
  <c r="O103" i="1"/>
  <c r="N103" i="1"/>
  <c r="M103" i="1"/>
  <c r="L103" i="1"/>
  <c r="K103" i="1"/>
  <c r="D103" i="1"/>
  <c r="O102" i="1"/>
  <c r="N102" i="1"/>
  <c r="M102" i="1"/>
  <c r="L102" i="1"/>
  <c r="K102" i="1"/>
  <c r="D102" i="1"/>
  <c r="O101" i="1"/>
  <c r="N101" i="1"/>
  <c r="M101" i="1"/>
  <c r="L101" i="1"/>
  <c r="K101" i="1"/>
  <c r="D101" i="1"/>
  <c r="O100" i="1"/>
  <c r="N100" i="1"/>
  <c r="M100" i="1"/>
  <c r="L100" i="1"/>
  <c r="K100" i="1"/>
  <c r="D100" i="1"/>
  <c r="O99" i="1"/>
  <c r="N99" i="1"/>
  <c r="M99" i="1"/>
  <c r="L99" i="1"/>
  <c r="K99" i="1"/>
  <c r="D99" i="1"/>
  <c r="O98" i="1"/>
  <c r="N98" i="1"/>
  <c r="M98" i="1"/>
  <c r="L98" i="1"/>
  <c r="K98" i="1"/>
  <c r="D98" i="1"/>
  <c r="O97" i="1"/>
  <c r="N97" i="1"/>
  <c r="M97" i="1"/>
  <c r="L97" i="1"/>
  <c r="K97" i="1"/>
  <c r="D97" i="1"/>
  <c r="O96" i="1"/>
  <c r="N96" i="1"/>
  <c r="M96" i="1"/>
  <c r="L96" i="1"/>
  <c r="K96" i="1"/>
  <c r="D96" i="1"/>
  <c r="O95" i="1"/>
  <c r="N95" i="1"/>
  <c r="M95" i="1"/>
  <c r="L95" i="1"/>
  <c r="K95" i="1"/>
  <c r="D95" i="1"/>
  <c r="O94" i="1"/>
  <c r="N94" i="1"/>
  <c r="M94" i="1"/>
  <c r="L94" i="1"/>
  <c r="K94" i="1"/>
  <c r="D94" i="1"/>
  <c r="O93" i="1"/>
  <c r="N93" i="1"/>
  <c r="M93" i="1"/>
  <c r="L93" i="1"/>
  <c r="K93" i="1"/>
  <c r="D93" i="1"/>
  <c r="O92" i="1"/>
  <c r="N92" i="1"/>
  <c r="M92" i="1"/>
  <c r="L92" i="1"/>
  <c r="K92" i="1"/>
  <c r="D92" i="1"/>
  <c r="O91" i="1"/>
  <c r="N91" i="1"/>
  <c r="M91" i="1"/>
  <c r="L91" i="1"/>
  <c r="K91" i="1"/>
  <c r="D91" i="1"/>
  <c r="O90" i="1"/>
  <c r="N90" i="1"/>
  <c r="M90" i="1"/>
  <c r="L90" i="1"/>
  <c r="K90" i="1"/>
  <c r="D90" i="1"/>
  <c r="O89" i="1"/>
  <c r="N89" i="1"/>
  <c r="M89" i="1"/>
  <c r="L89" i="1"/>
  <c r="K89" i="1"/>
  <c r="D89" i="1"/>
  <c r="O88" i="1"/>
  <c r="N88" i="1"/>
  <c r="M88" i="1"/>
  <c r="L88" i="1"/>
  <c r="K88" i="1"/>
  <c r="D88" i="1"/>
  <c r="O87" i="1"/>
  <c r="N87" i="1"/>
  <c r="M87" i="1"/>
  <c r="L87" i="1"/>
  <c r="K87" i="1"/>
  <c r="D87" i="1"/>
  <c r="O86" i="1"/>
  <c r="N86" i="1"/>
  <c r="M86" i="1"/>
  <c r="L86" i="1"/>
  <c r="K86" i="1"/>
  <c r="D86" i="1"/>
  <c r="O85" i="1"/>
  <c r="N85" i="1"/>
  <c r="M85" i="1"/>
  <c r="L85" i="1"/>
  <c r="K85" i="1"/>
  <c r="D85" i="1"/>
  <c r="O84" i="1"/>
  <c r="N84" i="1"/>
  <c r="M84" i="1"/>
  <c r="L84" i="1"/>
  <c r="K84" i="1"/>
  <c r="D84" i="1"/>
  <c r="O83" i="1"/>
  <c r="N83" i="1"/>
  <c r="M83" i="1"/>
  <c r="L83" i="1"/>
  <c r="K83" i="1"/>
  <c r="D83" i="1"/>
  <c r="O82" i="1"/>
  <c r="N82" i="1"/>
  <c r="M82" i="1"/>
  <c r="L82" i="1"/>
  <c r="K82" i="1"/>
  <c r="D82" i="1"/>
  <c r="O81" i="1"/>
  <c r="N81" i="1"/>
  <c r="M81" i="1"/>
  <c r="L81" i="1"/>
  <c r="K81" i="1"/>
  <c r="D81" i="1"/>
  <c r="O80" i="1"/>
  <c r="N80" i="1"/>
  <c r="M80" i="1"/>
  <c r="L80" i="1"/>
  <c r="K80" i="1"/>
  <c r="D80" i="1"/>
  <c r="O79" i="1"/>
  <c r="N79" i="1"/>
  <c r="M79" i="1"/>
  <c r="L79" i="1"/>
  <c r="K79" i="1"/>
  <c r="D79" i="1"/>
  <c r="O78" i="1"/>
  <c r="N78" i="1"/>
  <c r="M78" i="1"/>
  <c r="L78" i="1"/>
  <c r="K78" i="1"/>
  <c r="D78" i="1"/>
  <c r="O77" i="1"/>
  <c r="N77" i="1"/>
  <c r="M77" i="1"/>
  <c r="L77" i="1"/>
  <c r="K77" i="1"/>
  <c r="D77" i="1"/>
  <c r="O76" i="1"/>
  <c r="N76" i="1"/>
  <c r="M76" i="1"/>
  <c r="L76" i="1"/>
  <c r="K76" i="1"/>
  <c r="D76" i="1"/>
  <c r="O75" i="1"/>
  <c r="N75" i="1"/>
  <c r="M75" i="1"/>
  <c r="L75" i="1"/>
  <c r="K75" i="1"/>
  <c r="D75" i="1"/>
  <c r="O74" i="1"/>
  <c r="N74" i="1"/>
  <c r="M74" i="1"/>
  <c r="L74" i="1"/>
  <c r="K74" i="1"/>
  <c r="D74" i="1"/>
  <c r="O73" i="1"/>
  <c r="N73" i="1"/>
  <c r="M73" i="1"/>
  <c r="L73" i="1"/>
  <c r="K73" i="1"/>
  <c r="D73" i="1"/>
  <c r="O72" i="1"/>
  <c r="N72" i="1"/>
  <c r="M72" i="1"/>
  <c r="L72" i="1"/>
  <c r="K72" i="1"/>
  <c r="D72" i="1"/>
  <c r="O71" i="1"/>
  <c r="N71" i="1"/>
  <c r="M71" i="1"/>
  <c r="L71" i="1"/>
  <c r="K71" i="1"/>
  <c r="D71" i="1"/>
  <c r="O70" i="1"/>
  <c r="N70" i="1"/>
  <c r="M70" i="1"/>
  <c r="L70" i="1"/>
  <c r="K70" i="1"/>
  <c r="D70" i="1"/>
  <c r="O69" i="1"/>
  <c r="N69" i="1"/>
  <c r="M69" i="1"/>
  <c r="L69" i="1"/>
  <c r="K69" i="1"/>
  <c r="D69" i="1"/>
  <c r="O68" i="1"/>
  <c r="N68" i="1"/>
  <c r="M68" i="1"/>
  <c r="L68" i="1"/>
  <c r="K68" i="1"/>
  <c r="D68" i="1"/>
  <c r="O67" i="1"/>
  <c r="N67" i="1"/>
  <c r="M67" i="1"/>
  <c r="L67" i="1"/>
  <c r="K67" i="1"/>
  <c r="D67" i="1"/>
  <c r="O66" i="1"/>
  <c r="N66" i="1"/>
  <c r="M66" i="1"/>
  <c r="L66" i="1"/>
  <c r="K66" i="1"/>
  <c r="D66" i="1"/>
  <c r="O65" i="1"/>
  <c r="N65" i="1"/>
  <c r="M65" i="1"/>
  <c r="L65" i="1"/>
  <c r="K65" i="1"/>
  <c r="D65" i="1"/>
  <c r="O64" i="1"/>
  <c r="N64" i="1"/>
  <c r="M64" i="1"/>
  <c r="L64" i="1"/>
  <c r="K64" i="1"/>
  <c r="D64" i="1"/>
  <c r="O63" i="1"/>
  <c r="N63" i="1"/>
  <c r="M63" i="1"/>
  <c r="L63" i="1"/>
  <c r="K63" i="1"/>
  <c r="D63" i="1"/>
  <c r="O62" i="1"/>
  <c r="N62" i="1"/>
  <c r="M62" i="1"/>
  <c r="L62" i="1"/>
  <c r="K62" i="1"/>
  <c r="D62" i="1"/>
  <c r="O61" i="1"/>
  <c r="N61" i="1"/>
  <c r="M61" i="1"/>
  <c r="L61" i="1"/>
  <c r="K61" i="1"/>
  <c r="D61" i="1"/>
  <c r="O60" i="1"/>
  <c r="N60" i="1"/>
  <c r="M60" i="1"/>
  <c r="L60" i="1"/>
  <c r="K60" i="1"/>
  <c r="D60" i="1"/>
  <c r="O59" i="1"/>
  <c r="N59" i="1"/>
  <c r="M59" i="1"/>
  <c r="L59" i="1"/>
  <c r="K59" i="1"/>
  <c r="D59" i="1"/>
  <c r="O58" i="1"/>
  <c r="N58" i="1"/>
  <c r="M58" i="1"/>
  <c r="L58" i="1"/>
  <c r="K58" i="1"/>
  <c r="D58" i="1"/>
  <c r="O57" i="1"/>
  <c r="N57" i="1"/>
  <c r="M57" i="1"/>
  <c r="L57" i="1"/>
  <c r="K57" i="1"/>
  <c r="D57" i="1"/>
  <c r="O56" i="1"/>
  <c r="N56" i="1"/>
  <c r="M56" i="1"/>
  <c r="L56" i="1"/>
  <c r="K56" i="1"/>
  <c r="D56" i="1"/>
  <c r="O55" i="1"/>
  <c r="N55" i="1"/>
  <c r="M55" i="1"/>
  <c r="L55" i="1"/>
  <c r="K55" i="1"/>
  <c r="D55" i="1"/>
  <c r="O54" i="1"/>
  <c r="N54" i="1"/>
  <c r="M54" i="1"/>
  <c r="L54" i="1"/>
  <c r="K54" i="1"/>
  <c r="D54" i="1"/>
  <c r="O53" i="1"/>
  <c r="N53" i="1"/>
  <c r="M53" i="1"/>
  <c r="L53" i="1"/>
  <c r="K53" i="1"/>
  <c r="D53" i="1"/>
  <c r="O52" i="1"/>
  <c r="N52" i="1"/>
  <c r="M52" i="1"/>
  <c r="L52" i="1"/>
  <c r="K52" i="1"/>
  <c r="D52" i="1"/>
  <c r="O51" i="1"/>
  <c r="N51" i="1"/>
  <c r="M51" i="1"/>
  <c r="L51" i="1"/>
  <c r="K51" i="1"/>
  <c r="D51" i="1"/>
  <c r="O50" i="1"/>
  <c r="N50" i="1"/>
  <c r="M50" i="1"/>
  <c r="L50" i="1"/>
  <c r="K50" i="1"/>
  <c r="D50" i="1"/>
  <c r="O49" i="1"/>
  <c r="N49" i="1"/>
  <c r="M49" i="1"/>
  <c r="L49" i="1"/>
  <c r="K49" i="1"/>
  <c r="D49" i="1"/>
  <c r="O48" i="1"/>
  <c r="N48" i="1"/>
  <c r="M48" i="1"/>
  <c r="L48" i="1"/>
  <c r="K48" i="1"/>
  <c r="D48" i="1"/>
  <c r="O47" i="1"/>
  <c r="N47" i="1"/>
  <c r="M47" i="1"/>
  <c r="L47" i="1"/>
  <c r="K47" i="1"/>
  <c r="D47" i="1"/>
  <c r="O46" i="1"/>
  <c r="N46" i="1"/>
  <c r="M46" i="1"/>
  <c r="L46" i="1"/>
  <c r="K46" i="1"/>
  <c r="D46" i="1"/>
  <c r="O45" i="1"/>
  <c r="N45" i="1"/>
  <c r="M45" i="1"/>
  <c r="L45" i="1"/>
  <c r="K45" i="1"/>
  <c r="D45" i="1"/>
  <c r="O44" i="1"/>
  <c r="N44" i="1"/>
  <c r="M44" i="1"/>
  <c r="L44" i="1"/>
  <c r="K44" i="1"/>
  <c r="D44" i="1"/>
  <c r="O43" i="1"/>
  <c r="N43" i="1"/>
  <c r="M43" i="1"/>
  <c r="L43" i="1"/>
  <c r="K43" i="1"/>
  <c r="D43" i="1"/>
  <c r="O42" i="1"/>
  <c r="N42" i="1"/>
  <c r="M42" i="1"/>
  <c r="L42" i="1"/>
  <c r="K42" i="1"/>
  <c r="D42" i="1"/>
  <c r="O41" i="1"/>
  <c r="N41" i="1"/>
  <c r="M41" i="1"/>
  <c r="L41" i="1"/>
  <c r="K41" i="1"/>
  <c r="D41" i="1"/>
  <c r="O40" i="1"/>
  <c r="N40" i="1"/>
  <c r="M40" i="1"/>
  <c r="L40" i="1"/>
  <c r="K40" i="1"/>
  <c r="D40" i="1"/>
  <c r="O39" i="1"/>
  <c r="N39" i="1"/>
  <c r="M39" i="1"/>
  <c r="L39" i="1"/>
  <c r="K39" i="1"/>
  <c r="D39" i="1"/>
  <c r="O38" i="1"/>
  <c r="N38" i="1"/>
  <c r="M38" i="1"/>
  <c r="L38" i="1"/>
  <c r="K38" i="1"/>
  <c r="D38" i="1"/>
  <c r="O37" i="1"/>
  <c r="N37" i="1"/>
  <c r="M37" i="1"/>
  <c r="L37" i="1"/>
  <c r="K37" i="1"/>
  <c r="D37" i="1"/>
  <c r="O36" i="1"/>
  <c r="N36" i="1"/>
  <c r="M36" i="1"/>
  <c r="L36" i="1"/>
  <c r="K36" i="1"/>
  <c r="D36" i="1"/>
  <c r="O35" i="1"/>
  <c r="N35" i="1"/>
  <c r="M35" i="1"/>
  <c r="L35" i="1"/>
  <c r="K35" i="1"/>
  <c r="D35" i="1"/>
  <c r="O34" i="1"/>
  <c r="N34" i="1"/>
  <c r="M34" i="1"/>
  <c r="L34" i="1"/>
  <c r="K34" i="1"/>
  <c r="D34" i="1"/>
  <c r="O33" i="1"/>
  <c r="N33" i="1"/>
  <c r="M33" i="1"/>
  <c r="L33" i="1"/>
  <c r="K33" i="1"/>
  <c r="D33" i="1"/>
  <c r="O32" i="1"/>
  <c r="N32" i="1"/>
  <c r="M32" i="1"/>
  <c r="L32" i="1"/>
  <c r="K32" i="1"/>
  <c r="D32" i="1"/>
  <c r="O31" i="1"/>
  <c r="N31" i="1"/>
  <c r="M31" i="1"/>
  <c r="L31" i="1"/>
  <c r="K31" i="1"/>
  <c r="D31" i="1"/>
  <c r="O30" i="1"/>
  <c r="N30" i="1"/>
  <c r="M30" i="1"/>
  <c r="L30" i="1"/>
  <c r="K30" i="1"/>
  <c r="D30" i="1"/>
  <c r="O29" i="1"/>
  <c r="N29" i="1"/>
  <c r="M29" i="1"/>
  <c r="L29" i="1"/>
  <c r="K29" i="1"/>
  <c r="D29" i="1"/>
  <c r="O28" i="1"/>
  <c r="N28" i="1"/>
  <c r="M28" i="1"/>
  <c r="L28" i="1"/>
  <c r="K28" i="1"/>
  <c r="D28" i="1"/>
  <c r="O27" i="1"/>
  <c r="N27" i="1"/>
  <c r="M27" i="1"/>
  <c r="L27" i="1"/>
  <c r="K27" i="1"/>
  <c r="D27" i="1"/>
  <c r="O26" i="1"/>
  <c r="N26" i="1"/>
  <c r="M26" i="1"/>
  <c r="L26" i="1"/>
  <c r="K26" i="1"/>
  <c r="D26" i="1"/>
  <c r="O25" i="1"/>
  <c r="N25" i="1"/>
  <c r="M25" i="1"/>
  <c r="L25" i="1"/>
  <c r="K25" i="1"/>
  <c r="D25" i="1"/>
  <c r="O24" i="1"/>
  <c r="N24" i="1"/>
  <c r="M24" i="1"/>
  <c r="L24" i="1"/>
  <c r="K24" i="1"/>
  <c r="D24" i="1"/>
  <c r="O23" i="1"/>
  <c r="N23" i="1"/>
  <c r="M23" i="1"/>
  <c r="L23" i="1"/>
  <c r="K23" i="1"/>
  <c r="D23" i="1"/>
  <c r="O22" i="1"/>
  <c r="N22" i="1"/>
  <c r="M22" i="1"/>
  <c r="L22" i="1"/>
  <c r="K22" i="1"/>
  <c r="D22" i="1"/>
  <c r="O21" i="1"/>
  <c r="N21" i="1"/>
  <c r="M21" i="1"/>
  <c r="L21" i="1"/>
  <c r="K21" i="1"/>
  <c r="D21" i="1"/>
  <c r="O20" i="1"/>
  <c r="N20" i="1"/>
  <c r="M20" i="1"/>
  <c r="L20" i="1"/>
  <c r="K20" i="1"/>
  <c r="D20" i="1"/>
  <c r="O19" i="1"/>
  <c r="N19" i="1"/>
  <c r="M19" i="1"/>
  <c r="L19" i="1"/>
  <c r="K19" i="1"/>
  <c r="D19" i="1"/>
  <c r="O18" i="1"/>
  <c r="N18" i="1"/>
  <c r="M18" i="1"/>
  <c r="L18" i="1"/>
  <c r="K18" i="1"/>
  <c r="D18" i="1"/>
  <c r="O17" i="1"/>
  <c r="N17" i="1"/>
  <c r="M17" i="1"/>
  <c r="L17" i="1"/>
  <c r="K17" i="1"/>
  <c r="D17" i="1"/>
  <c r="O16" i="1"/>
  <c r="N16" i="1"/>
  <c r="M16" i="1"/>
  <c r="L16" i="1"/>
  <c r="K16" i="1"/>
  <c r="D16" i="1"/>
  <c r="O15" i="1"/>
  <c r="N15" i="1"/>
  <c r="M15" i="1"/>
  <c r="L15" i="1"/>
  <c r="K15" i="1"/>
  <c r="D15" i="1"/>
  <c r="O14" i="1"/>
  <c r="N14" i="1"/>
  <c r="M14" i="1"/>
  <c r="L14" i="1"/>
  <c r="K14" i="1"/>
  <c r="D14" i="1"/>
  <c r="O13" i="1"/>
  <c r="N13" i="1"/>
  <c r="M13" i="1"/>
  <c r="L13" i="1"/>
  <c r="K13" i="1"/>
  <c r="D13" i="1"/>
  <c r="O12" i="1"/>
  <c r="N12" i="1"/>
  <c r="M12" i="1"/>
  <c r="L12" i="1"/>
  <c r="K12" i="1"/>
  <c r="D12" i="1"/>
  <c r="O11" i="1"/>
  <c r="N11" i="1"/>
  <c r="M11" i="1"/>
  <c r="L11" i="1"/>
  <c r="K11" i="1"/>
  <c r="D11" i="1"/>
  <c r="O10" i="1"/>
  <c r="N10" i="1"/>
  <c r="M10" i="1"/>
  <c r="L10" i="1"/>
  <c r="K10" i="1"/>
  <c r="D10" i="1"/>
  <c r="O9" i="1"/>
  <c r="N9" i="1"/>
  <c r="M9" i="1"/>
  <c r="L9" i="1"/>
  <c r="K9" i="1"/>
  <c r="D9" i="1"/>
  <c r="O8" i="1"/>
  <c r="N8" i="1"/>
  <c r="M8" i="1"/>
  <c r="L8" i="1"/>
  <c r="K8" i="1"/>
  <c r="D8" i="1"/>
  <c r="O7" i="1"/>
  <c r="N7" i="1"/>
  <c r="M7" i="1"/>
  <c r="L7" i="1"/>
  <c r="K7" i="1"/>
  <c r="D7" i="1"/>
  <c r="O6" i="1"/>
  <c r="N6" i="1"/>
  <c r="M6" i="1"/>
  <c r="L6" i="1"/>
  <c r="K6" i="1"/>
  <c r="D6" i="1"/>
  <c r="O5" i="1"/>
  <c r="N5" i="1"/>
  <c r="M5" i="1"/>
  <c r="L5" i="1"/>
  <c r="K5" i="1"/>
  <c r="D5" i="1"/>
  <c r="O4" i="1"/>
  <c r="N4" i="1"/>
  <c r="M4" i="1"/>
  <c r="L4" i="1"/>
  <c r="K4" i="1"/>
  <c r="D4" i="1"/>
  <c r="O3" i="1"/>
  <c r="N3" i="1"/>
  <c r="M3" i="1"/>
  <c r="L3" i="1"/>
  <c r="K3" i="1"/>
  <c r="D3" i="1"/>
  <c r="C170" i="10"/>
  <c r="C171" i="10"/>
  <c r="C175" i="10"/>
  <c r="C179" i="10"/>
  <c r="C183" i="10"/>
  <c r="C187" i="10"/>
  <c r="C191" i="10"/>
  <c r="C195" i="10"/>
  <c r="C199" i="10"/>
  <c r="C203" i="10"/>
  <c r="C207" i="10"/>
  <c r="C211" i="10"/>
  <c r="C215" i="10"/>
  <c r="C182" i="10"/>
  <c r="C186" i="10"/>
  <c r="C198" i="10"/>
  <c r="C206" i="10"/>
  <c r="C214" i="10"/>
  <c r="C172" i="10"/>
  <c r="C176" i="10"/>
  <c r="C180" i="10"/>
  <c r="C184" i="10"/>
  <c r="C188" i="10"/>
  <c r="C192" i="10"/>
  <c r="C196" i="10"/>
  <c r="C200" i="10"/>
  <c r="C204" i="10"/>
  <c r="C208" i="10"/>
  <c r="C212" i="10"/>
  <c r="C216" i="10"/>
  <c r="C178" i="10"/>
  <c r="C190" i="10"/>
  <c r="C194" i="10"/>
  <c r="C202" i="10"/>
  <c r="C210" i="10"/>
  <c r="C173" i="10"/>
  <c r="C177" i="10"/>
  <c r="C181" i="10"/>
  <c r="C185" i="10"/>
  <c r="C189" i="10"/>
  <c r="C193" i="10"/>
  <c r="C197" i="10"/>
  <c r="C201" i="10"/>
  <c r="C205" i="10"/>
  <c r="C209" i="10"/>
  <c r="C213" i="10"/>
  <c r="C217" i="10"/>
  <c r="C174" i="10"/>
  <c r="E7" i="9"/>
  <c r="K7" i="9"/>
  <c r="H7" i="9"/>
  <c r="D174" i="10" l="1"/>
  <c r="D213" i="10"/>
  <c r="D205" i="10"/>
  <c r="D197" i="10"/>
  <c r="D189" i="10"/>
  <c r="D181" i="10"/>
  <c r="D173" i="10"/>
  <c r="D202" i="10"/>
  <c r="D190" i="10"/>
  <c r="D216" i="10"/>
  <c r="D208" i="10"/>
  <c r="D200" i="10"/>
  <c r="D192" i="10"/>
  <c r="D184" i="10"/>
  <c r="D176" i="10"/>
  <c r="D214" i="10"/>
  <c r="D198" i="10"/>
  <c r="D182" i="10"/>
  <c r="D211" i="10"/>
  <c r="D203" i="10"/>
  <c r="D195" i="10"/>
  <c r="D187" i="10"/>
  <c r="D179" i="10"/>
  <c r="D171" i="10"/>
  <c r="E174" i="10"/>
  <c r="E213" i="10"/>
  <c r="E205" i="10"/>
  <c r="E197" i="10"/>
  <c r="E189" i="10"/>
  <c r="E181" i="10"/>
  <c r="E173" i="10"/>
  <c r="E202" i="10"/>
  <c r="E190" i="10"/>
  <c r="E216" i="10"/>
  <c r="E208" i="10"/>
  <c r="E200" i="10"/>
  <c r="E192" i="10"/>
  <c r="E184" i="10"/>
  <c r="E176" i="10"/>
  <c r="E214" i="10"/>
  <c r="E198" i="10"/>
  <c r="E182" i="10"/>
  <c r="E211" i="10"/>
  <c r="E203" i="10"/>
  <c r="E195" i="10"/>
  <c r="E187" i="10"/>
  <c r="E179" i="10"/>
  <c r="E171" i="10"/>
  <c r="D217" i="10"/>
  <c r="D209" i="10"/>
  <c r="D201" i="10"/>
  <c r="D193" i="10"/>
  <c r="D185" i="10"/>
  <c r="D177" i="10"/>
  <c r="E210" i="10"/>
  <c r="E194" i="10"/>
  <c r="D178" i="10"/>
  <c r="D212" i="10"/>
  <c r="D204" i="10"/>
  <c r="D196" i="10"/>
  <c r="D188" i="10"/>
  <c r="D180" i="10"/>
  <c r="D172" i="10"/>
  <c r="E206" i="10"/>
  <c r="E186" i="10"/>
  <c r="D215" i="10"/>
  <c r="D207" i="10"/>
  <c r="D199" i="10"/>
  <c r="D191" i="10"/>
  <c r="D183" i="10"/>
  <c r="D175" i="10"/>
  <c r="E170" i="10"/>
  <c r="E217" i="10"/>
  <c r="E209" i="10"/>
  <c r="E201" i="10"/>
  <c r="E193" i="10"/>
  <c r="E185" i="10"/>
  <c r="E177" i="10"/>
  <c r="D210" i="10"/>
  <c r="D194" i="10"/>
  <c r="E178" i="10"/>
  <c r="E212" i="10"/>
  <c r="E204" i="10"/>
  <c r="E196" i="10"/>
  <c r="E188" i="10"/>
  <c r="E180" i="10"/>
  <c r="E172" i="10"/>
  <c r="D206" i="10"/>
  <c r="D186" i="10"/>
  <c r="E215" i="10"/>
  <c r="E207" i="10"/>
  <c r="E199" i="10"/>
  <c r="E191" i="10"/>
  <c r="E183" i="10"/>
  <c r="E175" i="10"/>
  <c r="D170"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05AD84-0CD4-4707-B843-C4E58171FBC8}" keepAlive="1" name="Query - dataset_1" description="Connection to the 'dataset_1' query in the workbook." type="5" refreshedVersion="8" background="1" saveData="1">
    <dbPr connection="Provider=Microsoft.Mashup.OleDb.1;Data Source=$Workbook$;Location=dataset_1;Extended Properties=&quot;&quot;" command="SELECT * FROM [dataset_1]"/>
  </connection>
  <connection id="2" xr16:uid="{CA586B28-67D7-4271-94A8-DD13385CEB92}" keepAlive="1" name="Query - dataset_1 (2)" description="Connection to the 'dataset_1 (2)' query in the workbook." type="5" refreshedVersion="0" background="1">
    <dbPr connection="Provider=Microsoft.Mashup.OleDb.1;Data Source=$Workbook$;Location=&quot;dataset_1 (2)&quot;;Extended Properties=&quot;&quot;" command="SELECT * FROM [dataset_1 (2)]"/>
  </connection>
  <connection id="3" xr16:uid="{FB783E5B-2E8E-46F2-A365-294AEDEB2577}" keepAlive="1" name="Query - dataset_1 (3)" description="Connection to the 'dataset_1 (3)' query in the workbook." type="5" refreshedVersion="0" background="1">
    <dbPr connection="Provider=Microsoft.Mashup.OleDb.1;Data Source=$Workbook$;Location=&quot;dataset_1 (3)&quot;;Extended Properties=&quot;&quot;" command="SELECT * FROM [dataset_1 (3)]"/>
  </connection>
  <connection id="4" xr16:uid="{9125A30B-AC07-4E6B-8A84-58FD48425F35}" keepAlive="1" name="Query - dataset_2" description="Connection to the 'dataset_2' query in the workbook." type="5" refreshedVersion="8" background="1" saveData="1">
    <dbPr connection="Provider=Microsoft.Mashup.OleDb.1;Data Source=$Workbook$;Location=dataset_2;Extended Properties=&quot;&quot;" command="SELECT * FROM [dataset_2]"/>
  </connection>
  <connection id="5" xr16:uid="{F8DBABA8-EEBF-446C-B4E7-45DE66BC9BCF}" keepAlive="1" name="Query - dataset_2 (2)" description="Connection to the 'dataset_2 (2)' query in the workbook." type="5" refreshedVersion="0" background="1">
    <dbPr connection="Provider=Microsoft.Mashup.OleDb.1;Data Source=$Workbook$;Location=&quot;dataset_2 (2)&quot;;Extended Properties=&quot;&quot;" command="SELECT * FROM [dataset_2 (2)]"/>
  </connection>
  <connection id="6" xr16:uid="{2FAA8CF9-0E54-44F7-93B9-287DD9E2B7A7}" keepAlive="1" name="Query - dataset_2 (3)" description="Connection to the 'dataset_2 (3)' query in the workbook." type="5" refreshedVersion="0" background="1">
    <dbPr connection="Provider=Microsoft.Mashup.OleDb.1;Data Source=$Workbook$;Location=&quot;dataset_2 (3)&quot;;Extended Properties=&quot;&quot;" command="SELECT * FROM [dataset_2 (3)]"/>
  </connection>
  <connection id="7" xr16:uid="{F6E283F6-4A4D-49BF-B212-8248CF53259B}" keepAlive="1" name="Query - dataset_3" description="Connection to the 'dataset_3' query in the workbook." type="5" refreshedVersion="8" background="1" saveData="1">
    <dbPr connection="Provider=Microsoft.Mashup.OleDb.1;Data Source=$Workbook$;Location=dataset_3;Extended Properties=&quot;&quot;" command="SELECT * FROM [dataset_3]"/>
  </connection>
  <connection id="8" xr16:uid="{3791C787-3738-4629-B95B-FD965CF83560}" keepAlive="1" name="Query - dataset_3 (2)" description="Connection to the 'dataset_3 (2)' query in the workbook." type="5" refreshedVersion="0" background="1">
    <dbPr connection="Provider=Microsoft.Mashup.OleDb.1;Data Source=$Workbook$;Location=&quot;dataset_3 (2)&quot;;Extended Properties=&quot;&quot;" command="SELECT * FROM [dataset_3 (2)]"/>
  </connection>
  <connection id="9" xr16:uid="{E19DAF86-480D-4429-9DAB-946BBEF11550}" keepAlive="1" name="Query - dataset_a" description="Connection to the 'dataset_a' query in the workbook." type="5" refreshedVersion="8" background="1" saveData="1">
    <dbPr connection="Provider=Microsoft.Mashup.OleDb.1;Data Source=$Workbook$;Location=dataset_a;Extended Properties=&quot;&quot;" command="SELECT * FROM [dataset_a]"/>
  </connection>
  <connection id="10" xr16:uid="{F8DC29E3-F6AD-4549-AB27-441DB357C70B}" keepAlive="1" name="Query - dataset_a (2)" description="Connection to the 'dataset_a (2)' query in the workbook." type="5" refreshedVersion="0" background="1">
    <dbPr connection="Provider=Microsoft.Mashup.OleDb.1;Data Source=$Workbook$;Location=&quot;dataset_a (2)&quot;;Extended Properties=&quot;&quot;" command="SELECT * FROM [dataset_a (2)]"/>
  </connection>
  <connection id="11" xr16:uid="{92DEC805-58AA-49B6-AA66-DB2F53605897}" keepAlive="1" name="Query - dataset_b" description="Connection to the 'dataset_b' query in the workbook." type="5" refreshedVersion="8" background="1" saveData="1">
    <dbPr connection="Provider=Microsoft.Mashup.OleDb.1;Data Source=$Workbook$;Location=dataset_b;Extended Properties=&quot;&quot;" command="SELECT * FROM [dataset_b]"/>
  </connection>
</connections>
</file>

<file path=xl/sharedStrings.xml><?xml version="1.0" encoding="utf-8"?>
<sst xmlns="http://schemas.openxmlformats.org/spreadsheetml/2006/main" count="4132" uniqueCount="74">
  <si>
    <t>DATASET1</t>
  </si>
  <si>
    <t>instant</t>
  </si>
  <si>
    <t>dteday</t>
  </si>
  <si>
    <t>season</t>
  </si>
  <si>
    <t>yr</t>
  </si>
  <si>
    <t>mnth</t>
  </si>
  <si>
    <t>hr</t>
  </si>
  <si>
    <t>holiday</t>
  </si>
  <si>
    <t>weekday</t>
  </si>
  <si>
    <t>weathersit</t>
  </si>
  <si>
    <t>temp</t>
  </si>
  <si>
    <t>Date</t>
  </si>
  <si>
    <t>Month</t>
  </si>
  <si>
    <t>custom_season</t>
  </si>
  <si>
    <t>custom_weekdays</t>
  </si>
  <si>
    <t>Custom_weather_sit</t>
  </si>
  <si>
    <t>DATASET2</t>
  </si>
  <si>
    <t>atemp</t>
  </si>
  <si>
    <t>hum</t>
  </si>
  <si>
    <t>windspeed</t>
  </si>
  <si>
    <t>casual</t>
  </si>
  <si>
    <t>registered</t>
  </si>
  <si>
    <t>cnt</t>
  </si>
  <si>
    <t>DATASET3</t>
  </si>
  <si>
    <t>DATASET A(1+2)</t>
  </si>
  <si>
    <t>DATASET B(A+3)</t>
  </si>
  <si>
    <t>DATASET B(3+A)</t>
  </si>
  <si>
    <t>Month_lookup</t>
  </si>
  <si>
    <t>season_name</t>
  </si>
  <si>
    <t>Weathersit_lookup</t>
  </si>
  <si>
    <t>Weekday_lookup</t>
  </si>
  <si>
    <t>Year_lookup</t>
  </si>
  <si>
    <t>MOST_HUMID_DAY</t>
  </si>
  <si>
    <t>weekday_weedend_lookup</t>
  </si>
  <si>
    <t>January</t>
  </si>
  <si>
    <t>Spring</t>
  </si>
  <si>
    <t>Clear</t>
  </si>
  <si>
    <t>Saturday</t>
  </si>
  <si>
    <t>Cloudy</t>
  </si>
  <si>
    <t>Rain Fall</t>
  </si>
  <si>
    <t>Sunday</t>
  </si>
  <si>
    <t>Monday</t>
  </si>
  <si>
    <t>Tuesday</t>
  </si>
  <si>
    <t>Wednesday</t>
  </si>
  <si>
    <t>Thursday</t>
  </si>
  <si>
    <t>Friday</t>
  </si>
  <si>
    <t>Heavy Rain</t>
  </si>
  <si>
    <t>February</t>
  </si>
  <si>
    <t>Summer</t>
  </si>
  <si>
    <t>Fall</t>
  </si>
  <si>
    <t>Winter</t>
  </si>
  <si>
    <t>Forecast Date/Time</t>
  </si>
  <si>
    <t>Average rides</t>
  </si>
  <si>
    <t>Forecast(Average rides)</t>
  </si>
  <si>
    <t>Lower Confidence Bound(Average rides)</t>
  </si>
  <si>
    <t>Upper Confidence Bound(Average rides)</t>
  </si>
  <si>
    <t>HOURLY PERFORMANCE</t>
  </si>
  <si>
    <t>WEEKDAY PERFORMANCE</t>
  </si>
  <si>
    <t>Row Labels</t>
  </si>
  <si>
    <t>Grand Total</t>
  </si>
  <si>
    <t>Average of cnt</t>
  </si>
  <si>
    <t>Average of hr</t>
  </si>
  <si>
    <t>WEATHER PERFORMANCE</t>
  </si>
  <si>
    <t>Average of registered</t>
  </si>
  <si>
    <t>Average of casual</t>
  </si>
  <si>
    <t>MIX RIDERS</t>
  </si>
  <si>
    <t>Registered share of selection</t>
  </si>
  <si>
    <t>Sum of cnt</t>
  </si>
  <si>
    <t>Across the slicer selection</t>
  </si>
  <si>
    <t>Demand per selected hour</t>
  </si>
  <si>
    <t>Weekday</t>
  </si>
  <si>
    <t>Weedend</t>
  </si>
  <si>
    <t>Holiday</t>
  </si>
  <si>
    <t>PEAK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</si>
</sst>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yy;@"/>
    <numFmt numFmtId="165" formatCode="0.0"/>
    <numFmt numFmtId="166" formatCode="dd\-mmm\-yyyy\ hh:mm"/>
  </numFmts>
  <fonts count="8" x14ac:knownFonts="1">
    <font>
      <sz val="11"/>
      <color theme="1"/>
      <name val="Aptos Narrow"/>
      <family val="2"/>
      <scheme val="minor"/>
    </font>
    <font>
      <sz val="11"/>
      <color theme="1"/>
      <name val="Aptos Narrow"/>
      <family val="2"/>
      <scheme val="minor"/>
    </font>
    <font>
      <sz val="22"/>
      <color theme="1"/>
      <name val="Algerian"/>
      <family val="5"/>
    </font>
    <font>
      <sz val="20"/>
      <color theme="1"/>
      <name val="Algerian"/>
      <family val="5"/>
    </font>
    <font>
      <sz val="16"/>
      <color theme="1"/>
      <name val="Algerian"/>
      <family val="5"/>
    </font>
    <font>
      <sz val="14"/>
      <color theme="1"/>
      <name val="Algerian"/>
      <family val="5"/>
    </font>
    <font>
      <sz val="8"/>
      <color theme="1"/>
      <name val="Times New Roman"/>
      <family val="1"/>
    </font>
    <font>
      <sz val="9"/>
      <color theme="1"/>
      <name val="Times New Roman"/>
      <family val="1"/>
    </font>
  </fonts>
  <fills count="2">
    <fill>
      <patternFill patternType="none"/>
    </fill>
    <fill>
      <patternFill patternType="gray125"/>
    </fill>
  </fills>
  <borders count="20">
    <border>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2">
    <xf numFmtId="0" fontId="0" fillId="0" borderId="0"/>
    <xf numFmtId="9" fontId="1" fillId="0" borderId="0" applyFont="0" applyFill="0" applyBorder="0" applyAlignment="0" applyProtection="0"/>
  </cellStyleXfs>
  <cellXfs count="62">
    <xf numFmtId="0" fontId="0" fillId="0" borderId="0" xfId="0"/>
    <xf numFmtId="0" fontId="2" fillId="0" borderId="0" xfId="0" applyFont="1" applyAlignment="1">
      <alignment horizontal="center"/>
    </xf>
    <xf numFmtId="0" fontId="0" fillId="0" borderId="0" xfId="0" applyAlignment="1">
      <alignment horizontal="center"/>
    </xf>
    <xf numFmtId="0" fontId="0" fillId="0" borderId="1" xfId="0" applyBorder="1" applyAlignment="1">
      <alignment horizontal="center"/>
    </xf>
    <xf numFmtId="14" fontId="0" fillId="0" borderId="2" xfId="0" applyNumberForma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3" xfId="0" applyBorder="1"/>
    <xf numFmtId="0" fontId="0" fillId="0" borderId="4" xfId="0" applyBorder="1" applyAlignment="1">
      <alignment horizontal="center"/>
    </xf>
    <xf numFmtId="14" fontId="0" fillId="0" borderId="3" xfId="0" applyNumberFormat="1" applyBorder="1" applyAlignment="1">
      <alignment horizontal="center"/>
    </xf>
    <xf numFmtId="0" fontId="0" fillId="0" borderId="5" xfId="0" applyBorder="1" applyAlignment="1">
      <alignment horizontal="center"/>
    </xf>
    <xf numFmtId="14" fontId="0" fillId="0" borderId="6" xfId="0" applyNumberFormat="1" applyBorder="1" applyAlignment="1">
      <alignment horizontal="center"/>
    </xf>
    <xf numFmtId="0" fontId="0" fillId="0" borderId="6" xfId="0" applyBorder="1" applyAlignment="1">
      <alignment horizontal="center"/>
    </xf>
    <xf numFmtId="14" fontId="0" fillId="0" borderId="0" xfId="0" applyNumberFormat="1" applyAlignment="1">
      <alignment horizontal="center"/>
    </xf>
    <xf numFmtId="0" fontId="0" fillId="0" borderId="0" xfId="0" applyAlignment="1">
      <alignment horizontal="center" vertical="center"/>
    </xf>
    <xf numFmtId="0" fontId="0" fillId="0" borderId="1" xfId="0" applyBorder="1" applyAlignment="1">
      <alignment horizontal="center" vertical="center"/>
    </xf>
    <xf numFmtId="14"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14" fontId="0" fillId="0" borderId="3" xfId="0" applyNumberFormat="1" applyBorder="1" applyAlignment="1">
      <alignment horizontal="center" vertical="center"/>
    </xf>
    <xf numFmtId="0" fontId="0" fillId="0" borderId="5" xfId="0" applyBorder="1" applyAlignment="1">
      <alignment horizontal="center" vertical="center"/>
    </xf>
    <xf numFmtId="14" fontId="0" fillId="0" borderId="6" xfId="0" applyNumberFormat="1" applyBorder="1" applyAlignment="1">
      <alignment horizontal="center" vertical="center"/>
    </xf>
    <xf numFmtId="0" fontId="0" fillId="0" borderId="6" xfId="0" applyBorder="1" applyAlignment="1">
      <alignment horizontal="center" vertical="center"/>
    </xf>
    <xf numFmtId="14" fontId="0" fillId="0" borderId="0" xfId="0" applyNumberFormat="1" applyAlignment="1">
      <alignment horizontal="center" vertical="center"/>
    </xf>
    <xf numFmtId="166" fontId="0" fillId="0" borderId="0" xfId="0" applyNumberFormat="1"/>
    <xf numFmtId="2" fontId="0" fillId="0" borderId="0" xfId="0" applyNumberFormat="1"/>
    <xf numFmtId="0" fontId="0" fillId="0" borderId="0" xfId="0" pivotButton="1"/>
    <xf numFmtId="0" fontId="0" fillId="0" borderId="0" xfId="0" applyAlignment="1">
      <alignment horizontal="left"/>
    </xf>
    <xf numFmtId="10" fontId="0" fillId="0" borderId="0" xfId="0" applyNumberFormat="1"/>
    <xf numFmtId="9" fontId="0" fillId="0" borderId="0" xfId="1" applyFont="1"/>
    <xf numFmtId="0" fontId="7" fillId="0" borderId="0" xfId="0" applyFont="1" applyAlignment="1">
      <alignment horizontal="right"/>
    </xf>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0" xfId="0" applyAlignment="1">
      <alignment horizontal="center"/>
    </xf>
    <xf numFmtId="3" fontId="4" fillId="0" borderId="0" xfId="0" applyNumberFormat="1" applyFont="1" applyAlignment="1">
      <alignment horizontal="right"/>
    </xf>
    <xf numFmtId="0" fontId="4" fillId="0" borderId="0" xfId="0" applyFont="1" applyAlignment="1">
      <alignment horizontal="right"/>
    </xf>
    <xf numFmtId="2" fontId="4" fillId="0" borderId="0" xfId="1" applyNumberFormat="1" applyFont="1" applyBorder="1" applyAlignment="1">
      <alignment horizontal="right"/>
    </xf>
    <xf numFmtId="165" fontId="4" fillId="0" borderId="0" xfId="0" applyNumberFormat="1" applyFont="1" applyAlignment="1">
      <alignment horizontal="right"/>
    </xf>
    <xf numFmtId="0" fontId="5" fillId="0" borderId="0" xfId="0" applyFont="1" applyAlignment="1">
      <alignment horizontal="center" vertical="center"/>
    </xf>
    <xf numFmtId="0" fontId="6" fillId="0" borderId="0" xfId="0" applyFont="1" applyAlignment="1">
      <alignment horizontal="right"/>
    </xf>
    <xf numFmtId="9" fontId="6" fillId="0" borderId="0" xfId="1" applyFont="1" applyBorder="1" applyAlignment="1">
      <alignment horizontal="right"/>
    </xf>
    <xf numFmtId="2" fontId="6" fillId="0" borderId="0" xfId="0" applyNumberFormat="1" applyFont="1" applyAlignment="1">
      <alignment horizontal="right"/>
    </xf>
    <xf numFmtId="0" fontId="2" fillId="0" borderId="0" xfId="0" applyFont="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10" xfId="0" applyFont="1" applyBorder="1" applyAlignment="1">
      <alignment horizontal="center"/>
    </xf>
    <xf numFmtId="0" fontId="2" fillId="0" borderId="4" xfId="0" applyFont="1" applyBorder="1" applyAlignment="1">
      <alignment horizontal="center"/>
    </xf>
    <xf numFmtId="0" fontId="2" fillId="0" borderId="7" xfId="0" applyFont="1" applyBorder="1" applyAlignment="1">
      <alignment horizontal="center"/>
    </xf>
    <xf numFmtId="164" fontId="2" fillId="0" borderId="0" xfId="0" applyNumberFormat="1" applyFont="1" applyAlignment="1">
      <alignment horizontal="center" vertical="center"/>
    </xf>
    <xf numFmtId="14" fontId="2" fillId="0" borderId="0" xfId="0" applyNumberFormat="1" applyFont="1" applyAlignment="1">
      <alignment horizontal="center" vertical="center"/>
    </xf>
    <xf numFmtId="0" fontId="3" fillId="0" borderId="0" xfId="0" applyFont="1" applyAlignment="1">
      <alignment horizontal="center" vertical="center"/>
    </xf>
    <xf numFmtId="14" fontId="0" fillId="0" borderId="0" xfId="0" applyNumberFormat="1" applyAlignment="1">
      <alignment horizontal="left"/>
    </xf>
    <xf numFmtId="0" fontId="0" fillId="0" borderId="0" xfId="0" applyNumberFormat="1"/>
    <xf numFmtId="0" fontId="4" fillId="0" borderId="0" xfId="0" applyFont="1" applyAlignment="1">
      <alignment horizontal="center"/>
    </xf>
  </cellXfs>
  <cellStyles count="2">
    <cellStyle name="Normal" xfId="0" builtinId="0"/>
    <cellStyle name="Per cent" xfId="1" builtinId="5"/>
  </cellStyles>
  <dxfs count="95">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fill>
        <patternFill>
          <bgColor theme="7" tint="0.39994506668294322"/>
        </patternFill>
      </fill>
    </dxf>
    <dxf>
      <numFmt numFmtId="2" formatCode="0.00"/>
    </dxf>
    <dxf>
      <numFmt numFmtId="2" formatCode="0.00"/>
    </dxf>
    <dxf>
      <numFmt numFmtId="166" formatCode="dd\-mmm\-yyyy\ hh:mm"/>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border>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dxf>
    <dxf>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bottom style="thin">
          <color indexed="64"/>
        </bottom>
      </border>
    </dxf>
    <dxf>
      <alignment horizontal="center" vertical="bottom"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FORECAST_SHEET!$B$1</c:f>
              <c:strCache>
                <c:ptCount val="1"/>
                <c:pt idx="0">
                  <c:v>Average rides</c:v>
                </c:pt>
              </c:strCache>
            </c:strRef>
          </c:tx>
          <c:spPr>
            <a:ln w="28575" cap="rnd">
              <a:solidFill>
                <a:schemeClr val="accent1"/>
              </a:solidFill>
              <a:round/>
            </a:ln>
            <a:effectLst/>
          </c:spPr>
          <c:marker>
            <c:symbol val="none"/>
          </c:marker>
          <c:val>
            <c:numRef>
              <c:f>FORECAST_SHEET!$B$2:$B$217</c:f>
              <c:numCache>
                <c:formatCode>General</c:formatCode>
                <c:ptCount val="216"/>
                <c:pt idx="0">
                  <c:v>8.8000000000000007</c:v>
                </c:pt>
                <c:pt idx="1">
                  <c:v>3.4</c:v>
                </c:pt>
                <c:pt idx="2">
                  <c:v>2</c:v>
                </c:pt>
                <c:pt idx="3">
                  <c:v>1.5</c:v>
                </c:pt>
                <c:pt idx="4">
                  <c:v>2</c:v>
                </c:pt>
                <c:pt idx="5">
                  <c:v>4.8</c:v>
                </c:pt>
                <c:pt idx="6">
                  <c:v>32</c:v>
                </c:pt>
                <c:pt idx="7">
                  <c:v>90.6</c:v>
                </c:pt>
                <c:pt idx="8">
                  <c:v>202.4</c:v>
                </c:pt>
                <c:pt idx="9">
                  <c:v>125</c:v>
                </c:pt>
                <c:pt idx="10">
                  <c:v>49.2</c:v>
                </c:pt>
                <c:pt idx="11">
                  <c:v>50.8</c:v>
                </c:pt>
                <c:pt idx="12">
                  <c:v>60.666666666666664</c:v>
                </c:pt>
                <c:pt idx="13">
                  <c:v>61</c:v>
                </c:pt>
                <c:pt idx="14">
                  <c:v>56.666666666666664</c:v>
                </c:pt>
                <c:pt idx="15">
                  <c:v>55.666666666666664</c:v>
                </c:pt>
                <c:pt idx="16">
                  <c:v>80.5</c:v>
                </c:pt>
                <c:pt idx="17">
                  <c:v>174.5</c:v>
                </c:pt>
                <c:pt idx="18">
                  <c:v>159.16666666666666</c:v>
                </c:pt>
                <c:pt idx="19">
                  <c:v>102.83333333333333</c:v>
                </c:pt>
                <c:pt idx="20">
                  <c:v>69.666666666666671</c:v>
                </c:pt>
                <c:pt idx="21">
                  <c:v>45.333333333333336</c:v>
                </c:pt>
                <c:pt idx="22">
                  <c:v>35.833333333333336</c:v>
                </c:pt>
                <c:pt idx="23">
                  <c:v>19.666666666666668</c:v>
                </c:pt>
                <c:pt idx="24">
                  <c:v>8.6666666666666661</c:v>
                </c:pt>
                <c:pt idx="25">
                  <c:v>5.666666666666667</c:v>
                </c:pt>
                <c:pt idx="26">
                  <c:v>3.8333333333333335</c:v>
                </c:pt>
                <c:pt idx="27">
                  <c:v>1.5</c:v>
                </c:pt>
                <c:pt idx="28">
                  <c:v>1.6666666666666667</c:v>
                </c:pt>
                <c:pt idx="29">
                  <c:v>4.333333333333333</c:v>
                </c:pt>
                <c:pt idx="30">
                  <c:v>25</c:v>
                </c:pt>
                <c:pt idx="31">
                  <c:v>68.333333333333329</c:v>
                </c:pt>
                <c:pt idx="32">
                  <c:v>157.66666666666666</c:v>
                </c:pt>
                <c:pt idx="33">
                  <c:v>101.5</c:v>
                </c:pt>
                <c:pt idx="34">
                  <c:v>48.5</c:v>
                </c:pt>
                <c:pt idx="35">
                  <c:v>44.5</c:v>
                </c:pt>
                <c:pt idx="36">
                  <c:v>62.833333333333336</c:v>
                </c:pt>
                <c:pt idx="37">
                  <c:v>64.833333333333329</c:v>
                </c:pt>
                <c:pt idx="38">
                  <c:v>56.333333333333336</c:v>
                </c:pt>
                <c:pt idx="39">
                  <c:v>62.666666666666664</c:v>
                </c:pt>
                <c:pt idx="40">
                  <c:v>79.833333333333329</c:v>
                </c:pt>
                <c:pt idx="41">
                  <c:v>151.33333333333334</c:v>
                </c:pt>
                <c:pt idx="42">
                  <c:v>163.80000000000001</c:v>
                </c:pt>
                <c:pt idx="43">
                  <c:v>101.2</c:v>
                </c:pt>
                <c:pt idx="44">
                  <c:v>76</c:v>
                </c:pt>
                <c:pt idx="45">
                  <c:v>61</c:v>
                </c:pt>
                <c:pt idx="46">
                  <c:v>44</c:v>
                </c:pt>
                <c:pt idx="47">
                  <c:v>27.2</c:v>
                </c:pt>
                <c:pt idx="48">
                  <c:v>11.8</c:v>
                </c:pt>
                <c:pt idx="49">
                  <c:v>4.5999999999999996</c:v>
                </c:pt>
                <c:pt idx="50">
                  <c:v>2.2000000000000002</c:v>
                </c:pt>
                <c:pt idx="51">
                  <c:v>1.6666666666666667</c:v>
                </c:pt>
                <c:pt idx="52">
                  <c:v>1.75</c:v>
                </c:pt>
                <c:pt idx="53">
                  <c:v>4.2</c:v>
                </c:pt>
                <c:pt idx="54">
                  <c:v>32.799999999999997</c:v>
                </c:pt>
                <c:pt idx="55">
                  <c:v>90.8</c:v>
                </c:pt>
                <c:pt idx="56">
                  <c:v>207.2</c:v>
                </c:pt>
                <c:pt idx="57">
                  <c:v>131.80000000000001</c:v>
                </c:pt>
                <c:pt idx="58">
                  <c:v>45.4</c:v>
                </c:pt>
                <c:pt idx="59">
                  <c:v>54.6</c:v>
                </c:pt>
                <c:pt idx="60">
                  <c:v>71.599999999999994</c:v>
                </c:pt>
                <c:pt idx="61">
                  <c:v>72.2</c:v>
                </c:pt>
                <c:pt idx="62">
                  <c:v>57.6</c:v>
                </c:pt>
                <c:pt idx="63">
                  <c:v>60.4</c:v>
                </c:pt>
                <c:pt idx="64">
                  <c:v>72.833333333333329</c:v>
                </c:pt>
                <c:pt idx="65">
                  <c:v>162.16666666666666</c:v>
                </c:pt>
                <c:pt idx="66">
                  <c:v>150.5</c:v>
                </c:pt>
                <c:pt idx="67">
                  <c:v>108.33333333333333</c:v>
                </c:pt>
                <c:pt idx="68">
                  <c:v>87.333333333333329</c:v>
                </c:pt>
                <c:pt idx="69">
                  <c:v>51.5</c:v>
                </c:pt>
                <c:pt idx="70">
                  <c:v>42.833333333333336</c:v>
                </c:pt>
                <c:pt idx="71">
                  <c:v>26.166666666666668</c:v>
                </c:pt>
                <c:pt idx="72">
                  <c:v>14.666666666666666</c:v>
                </c:pt>
                <c:pt idx="73">
                  <c:v>5.833333333333333</c:v>
                </c:pt>
                <c:pt idx="74">
                  <c:v>1.6666666666666667</c:v>
                </c:pt>
                <c:pt idx="75">
                  <c:v>1</c:v>
                </c:pt>
                <c:pt idx="76">
                  <c:v>1</c:v>
                </c:pt>
                <c:pt idx="77">
                  <c:v>5.5</c:v>
                </c:pt>
                <c:pt idx="78">
                  <c:v>24.333333333333332</c:v>
                </c:pt>
                <c:pt idx="79">
                  <c:v>73.833333333333329</c:v>
                </c:pt>
                <c:pt idx="80">
                  <c:v>196.33333333333334</c:v>
                </c:pt>
                <c:pt idx="81">
                  <c:v>130.83333333333334</c:v>
                </c:pt>
                <c:pt idx="82">
                  <c:v>52.333333333333336</c:v>
                </c:pt>
                <c:pt idx="83">
                  <c:v>56.166666666666664</c:v>
                </c:pt>
                <c:pt idx="84">
                  <c:v>64</c:v>
                </c:pt>
                <c:pt idx="85">
                  <c:v>74.333333333333329</c:v>
                </c:pt>
                <c:pt idx="86">
                  <c:v>64.833333333333329</c:v>
                </c:pt>
                <c:pt idx="87">
                  <c:v>68.333333333333329</c:v>
                </c:pt>
                <c:pt idx="88">
                  <c:v>96.333333333333329</c:v>
                </c:pt>
                <c:pt idx="89">
                  <c:v>178.66666666666666</c:v>
                </c:pt>
                <c:pt idx="90">
                  <c:v>136.66666666666666</c:v>
                </c:pt>
                <c:pt idx="91">
                  <c:v>96</c:v>
                </c:pt>
                <c:pt idx="92">
                  <c:v>61.333333333333336</c:v>
                </c:pt>
                <c:pt idx="93">
                  <c:v>46.666666666666664</c:v>
                </c:pt>
                <c:pt idx="94">
                  <c:v>36.833333333333336</c:v>
                </c:pt>
                <c:pt idx="95">
                  <c:v>29.333333333333332</c:v>
                </c:pt>
                <c:pt idx="96">
                  <c:v>25.571428571428573</c:v>
                </c:pt>
                <c:pt idx="97">
                  <c:v>21.428571428571427</c:v>
                </c:pt>
                <c:pt idx="98">
                  <c:v>16.857142857142858</c:v>
                </c:pt>
                <c:pt idx="99">
                  <c:v>9.1428571428571423</c:v>
                </c:pt>
                <c:pt idx="100">
                  <c:v>3.5714285714285716</c:v>
                </c:pt>
                <c:pt idx="101">
                  <c:v>3.4</c:v>
                </c:pt>
                <c:pt idx="102">
                  <c:v>2.4285714285714284</c:v>
                </c:pt>
                <c:pt idx="103">
                  <c:v>7.1428571428571432</c:v>
                </c:pt>
                <c:pt idx="104">
                  <c:v>21</c:v>
                </c:pt>
                <c:pt idx="105">
                  <c:v>29.142857142857142</c:v>
                </c:pt>
                <c:pt idx="106">
                  <c:v>54.571428571428569</c:v>
                </c:pt>
                <c:pt idx="107">
                  <c:v>68.285714285714292</c:v>
                </c:pt>
                <c:pt idx="108">
                  <c:v>84.428571428571431</c:v>
                </c:pt>
                <c:pt idx="109">
                  <c:v>93.285714285714292</c:v>
                </c:pt>
                <c:pt idx="110">
                  <c:v>95.428571428571431</c:v>
                </c:pt>
                <c:pt idx="111">
                  <c:v>110</c:v>
                </c:pt>
                <c:pt idx="112">
                  <c:v>100.42857142857143</c:v>
                </c:pt>
                <c:pt idx="113">
                  <c:v>84.571428571428569</c:v>
                </c:pt>
                <c:pt idx="114">
                  <c:v>63.285714285714285</c:v>
                </c:pt>
                <c:pt idx="115">
                  <c:v>54.714285714285715</c:v>
                </c:pt>
                <c:pt idx="116">
                  <c:v>43.142857142857146</c:v>
                </c:pt>
                <c:pt idx="117">
                  <c:v>44.285714285714285</c:v>
                </c:pt>
                <c:pt idx="118">
                  <c:v>34.285714285714285</c:v>
                </c:pt>
                <c:pt idx="119">
                  <c:v>37.428571428571431</c:v>
                </c:pt>
                <c:pt idx="120">
                  <c:v>30.571428571428573</c:v>
                </c:pt>
                <c:pt idx="121">
                  <c:v>23.142857142857142</c:v>
                </c:pt>
                <c:pt idx="122">
                  <c:v>15</c:v>
                </c:pt>
                <c:pt idx="123">
                  <c:v>9</c:v>
                </c:pt>
                <c:pt idx="124">
                  <c:v>1.6666666666666667</c:v>
                </c:pt>
                <c:pt idx="125">
                  <c:v>2</c:v>
                </c:pt>
                <c:pt idx="126">
                  <c:v>1.8333333333333333</c:v>
                </c:pt>
                <c:pt idx="127">
                  <c:v>3.7142857142857144</c:v>
                </c:pt>
                <c:pt idx="128">
                  <c:v>14.571428571428571</c:v>
                </c:pt>
                <c:pt idx="129">
                  <c:v>32.714285714285715</c:v>
                </c:pt>
                <c:pt idx="130">
                  <c:v>71</c:v>
                </c:pt>
                <c:pt idx="131">
                  <c:v>85.571428571428569</c:v>
                </c:pt>
                <c:pt idx="132">
                  <c:v>117</c:v>
                </c:pt>
                <c:pt idx="133">
                  <c:v>110.71428571428571</c:v>
                </c:pt>
                <c:pt idx="134">
                  <c:v>110.85714285714286</c:v>
                </c:pt>
                <c:pt idx="135">
                  <c:v>114.14285714285714</c:v>
                </c:pt>
                <c:pt idx="136">
                  <c:v>106.57142857142857</c:v>
                </c:pt>
                <c:pt idx="137">
                  <c:v>87.142857142857139</c:v>
                </c:pt>
                <c:pt idx="138">
                  <c:v>65</c:v>
                </c:pt>
                <c:pt idx="139">
                  <c:v>45.571428571428569</c:v>
                </c:pt>
                <c:pt idx="140">
                  <c:v>36.857142857142854</c:v>
                </c:pt>
                <c:pt idx="141">
                  <c:v>30</c:v>
                </c:pt>
                <c:pt idx="142">
                  <c:v>27.428571428571427</c:v>
                </c:pt>
                <c:pt idx="143">
                  <c:v>19.142857142857142</c:v>
                </c:pt>
                <c:pt idx="144">
                  <c:v>9.5714285714285712</c:v>
                </c:pt>
                <c:pt idx="145">
                  <c:v>5.5714285714285712</c:v>
                </c:pt>
                <c:pt idx="146">
                  <c:v>3.4</c:v>
                </c:pt>
                <c:pt idx="147">
                  <c:v>1.5</c:v>
                </c:pt>
                <c:pt idx="148">
                  <c:v>2</c:v>
                </c:pt>
                <c:pt idx="149">
                  <c:v>4.7142857142857144</c:v>
                </c:pt>
                <c:pt idx="150">
                  <c:v>24.857142857142858</c:v>
                </c:pt>
                <c:pt idx="151">
                  <c:v>71.857142857142861</c:v>
                </c:pt>
                <c:pt idx="152">
                  <c:v>161.16666666666666</c:v>
                </c:pt>
                <c:pt idx="153">
                  <c:v>93.5</c:v>
                </c:pt>
                <c:pt idx="154">
                  <c:v>49.333333333333336</c:v>
                </c:pt>
                <c:pt idx="155">
                  <c:v>47.666666666666664</c:v>
                </c:pt>
                <c:pt idx="156">
                  <c:v>65</c:v>
                </c:pt>
                <c:pt idx="157">
                  <c:v>64.333333333333329</c:v>
                </c:pt>
                <c:pt idx="158">
                  <c:v>66.833333333333329</c:v>
                </c:pt>
                <c:pt idx="159">
                  <c:v>60.166666666666664</c:v>
                </c:pt>
                <c:pt idx="160">
                  <c:v>83.666666666666671</c:v>
                </c:pt>
                <c:pt idx="161">
                  <c:v>161.16666666666666</c:v>
                </c:pt>
                <c:pt idx="162">
                  <c:v>148</c:v>
                </c:pt>
                <c:pt idx="163">
                  <c:v>101.66666666666667</c:v>
                </c:pt>
                <c:pt idx="164">
                  <c:v>67.666666666666671</c:v>
                </c:pt>
                <c:pt idx="165">
                  <c:v>51.666666666666664</c:v>
                </c:pt>
                <c:pt idx="166">
                  <c:v>27.166666666666668</c:v>
                </c:pt>
                <c:pt idx="167">
                  <c:v>16.666666666666668</c:v>
                </c:pt>
              </c:numCache>
            </c:numRef>
          </c:val>
          <c:smooth val="0"/>
          <c:extLst>
            <c:ext xmlns:c16="http://schemas.microsoft.com/office/drawing/2014/chart" uri="{C3380CC4-5D6E-409C-BE32-E72D297353CC}">
              <c16:uniqueId val="{00000000-77EF-46EB-9D3C-C6C92DBC576B}"/>
            </c:ext>
          </c:extLst>
        </c:ser>
        <c:ser>
          <c:idx val="1"/>
          <c:order val="1"/>
          <c:tx>
            <c:strRef>
              <c:f>FORECAST_SHEET!$C$1</c:f>
              <c:strCache>
                <c:ptCount val="1"/>
                <c:pt idx="0">
                  <c:v>Forecast(Average rides)</c:v>
                </c:pt>
              </c:strCache>
            </c:strRef>
          </c:tx>
          <c:spPr>
            <a:ln w="25400" cap="rnd">
              <a:solidFill>
                <a:schemeClr val="accent2"/>
              </a:solidFill>
              <a:round/>
            </a:ln>
            <a:effectLst/>
          </c:spPr>
          <c:marker>
            <c:symbol val="none"/>
          </c:marker>
          <c:cat>
            <c:numRef>
              <c:f>FORECAST_SHEET!$A$2:$A$217</c:f>
              <c:numCache>
                <c:formatCode>dd\-mmm\-yyyy\ hh:mm</c:formatCode>
                <c:ptCount val="216"/>
                <c:pt idx="0">
                  <c:v>40589</c:v>
                </c:pt>
                <c:pt idx="1">
                  <c:v>40589.041666666664</c:v>
                </c:pt>
                <c:pt idx="2">
                  <c:v>40589.083333333336</c:v>
                </c:pt>
                <c:pt idx="3">
                  <c:v>40589.125</c:v>
                </c:pt>
                <c:pt idx="4">
                  <c:v>40589.166666666664</c:v>
                </c:pt>
                <c:pt idx="5">
                  <c:v>40589.208333333336</c:v>
                </c:pt>
                <c:pt idx="6">
                  <c:v>40589.25</c:v>
                </c:pt>
                <c:pt idx="7">
                  <c:v>40589.291666666664</c:v>
                </c:pt>
                <c:pt idx="8">
                  <c:v>40589.333333333336</c:v>
                </c:pt>
                <c:pt idx="9">
                  <c:v>40589.375</c:v>
                </c:pt>
                <c:pt idx="10">
                  <c:v>40589.416666666664</c:v>
                </c:pt>
                <c:pt idx="11">
                  <c:v>40589.458333333336</c:v>
                </c:pt>
                <c:pt idx="12">
                  <c:v>40589.5</c:v>
                </c:pt>
                <c:pt idx="13">
                  <c:v>40589.541666666664</c:v>
                </c:pt>
                <c:pt idx="14">
                  <c:v>40589.583333333336</c:v>
                </c:pt>
                <c:pt idx="15">
                  <c:v>40589.625</c:v>
                </c:pt>
                <c:pt idx="16">
                  <c:v>40589.666666666664</c:v>
                </c:pt>
                <c:pt idx="17">
                  <c:v>40589.708333333336</c:v>
                </c:pt>
                <c:pt idx="18">
                  <c:v>40589.75</c:v>
                </c:pt>
                <c:pt idx="19">
                  <c:v>40589.791666666664</c:v>
                </c:pt>
                <c:pt idx="20">
                  <c:v>40589.833333333336</c:v>
                </c:pt>
                <c:pt idx="21">
                  <c:v>40589.875</c:v>
                </c:pt>
                <c:pt idx="22">
                  <c:v>40589.916666666664</c:v>
                </c:pt>
                <c:pt idx="23">
                  <c:v>40589.958333333336</c:v>
                </c:pt>
                <c:pt idx="24">
                  <c:v>40590</c:v>
                </c:pt>
                <c:pt idx="25">
                  <c:v>40590.041666666664</c:v>
                </c:pt>
                <c:pt idx="26">
                  <c:v>40590.083333333336</c:v>
                </c:pt>
                <c:pt idx="27">
                  <c:v>40590.125</c:v>
                </c:pt>
                <c:pt idx="28">
                  <c:v>40590.166666666664</c:v>
                </c:pt>
                <c:pt idx="29">
                  <c:v>40590.208333333336</c:v>
                </c:pt>
                <c:pt idx="30">
                  <c:v>40590.25</c:v>
                </c:pt>
                <c:pt idx="31">
                  <c:v>40590.291666666664</c:v>
                </c:pt>
                <c:pt idx="32">
                  <c:v>40590.333333333336</c:v>
                </c:pt>
                <c:pt idx="33">
                  <c:v>40590.375</c:v>
                </c:pt>
                <c:pt idx="34">
                  <c:v>40590.416666666664</c:v>
                </c:pt>
                <c:pt idx="35">
                  <c:v>40590.458333333336</c:v>
                </c:pt>
                <c:pt idx="36">
                  <c:v>40590.5</c:v>
                </c:pt>
                <c:pt idx="37">
                  <c:v>40590.541666666664</c:v>
                </c:pt>
                <c:pt idx="38">
                  <c:v>40590.583333333336</c:v>
                </c:pt>
                <c:pt idx="39">
                  <c:v>40590.625</c:v>
                </c:pt>
                <c:pt idx="40">
                  <c:v>40590.666666666664</c:v>
                </c:pt>
                <c:pt idx="41">
                  <c:v>40590.708333333336</c:v>
                </c:pt>
                <c:pt idx="42">
                  <c:v>40590.75</c:v>
                </c:pt>
                <c:pt idx="43">
                  <c:v>40590.791666666664</c:v>
                </c:pt>
                <c:pt idx="44">
                  <c:v>40590.833333333336</c:v>
                </c:pt>
                <c:pt idx="45">
                  <c:v>40590.875</c:v>
                </c:pt>
                <c:pt idx="46">
                  <c:v>40590.916666666664</c:v>
                </c:pt>
                <c:pt idx="47">
                  <c:v>40590.958333333336</c:v>
                </c:pt>
                <c:pt idx="48">
                  <c:v>40591</c:v>
                </c:pt>
                <c:pt idx="49">
                  <c:v>40591.041666666664</c:v>
                </c:pt>
                <c:pt idx="50">
                  <c:v>40591.083333333336</c:v>
                </c:pt>
                <c:pt idx="51">
                  <c:v>40591.125</c:v>
                </c:pt>
                <c:pt idx="52">
                  <c:v>40591.166666666664</c:v>
                </c:pt>
                <c:pt idx="53">
                  <c:v>40591.208333333336</c:v>
                </c:pt>
                <c:pt idx="54">
                  <c:v>40591.25</c:v>
                </c:pt>
                <c:pt idx="55">
                  <c:v>40591.291666666664</c:v>
                </c:pt>
                <c:pt idx="56">
                  <c:v>40591.333333333336</c:v>
                </c:pt>
                <c:pt idx="57">
                  <c:v>40591.375</c:v>
                </c:pt>
                <c:pt idx="58">
                  <c:v>40591.416666666664</c:v>
                </c:pt>
                <c:pt idx="59">
                  <c:v>40591.458333333336</c:v>
                </c:pt>
                <c:pt idx="60">
                  <c:v>40591.5</c:v>
                </c:pt>
                <c:pt idx="61">
                  <c:v>40591.541666666664</c:v>
                </c:pt>
                <c:pt idx="62">
                  <c:v>40591.583333333336</c:v>
                </c:pt>
                <c:pt idx="63">
                  <c:v>40591.625</c:v>
                </c:pt>
                <c:pt idx="64">
                  <c:v>40591.666666666664</c:v>
                </c:pt>
                <c:pt idx="65">
                  <c:v>40591.708333333336</c:v>
                </c:pt>
                <c:pt idx="66">
                  <c:v>40591.75</c:v>
                </c:pt>
                <c:pt idx="67">
                  <c:v>40591.791666666664</c:v>
                </c:pt>
                <c:pt idx="68">
                  <c:v>40591.833333333336</c:v>
                </c:pt>
                <c:pt idx="69">
                  <c:v>40591.875</c:v>
                </c:pt>
                <c:pt idx="70">
                  <c:v>40591.916666666664</c:v>
                </c:pt>
                <c:pt idx="71">
                  <c:v>40591.958333333336</c:v>
                </c:pt>
                <c:pt idx="72">
                  <c:v>40592</c:v>
                </c:pt>
                <c:pt idx="73">
                  <c:v>40592.041666666664</c:v>
                </c:pt>
                <c:pt idx="74">
                  <c:v>40592.083333333336</c:v>
                </c:pt>
                <c:pt idx="75">
                  <c:v>40592.125</c:v>
                </c:pt>
                <c:pt idx="76">
                  <c:v>40592.166666666664</c:v>
                </c:pt>
                <c:pt idx="77">
                  <c:v>40592.208333333336</c:v>
                </c:pt>
                <c:pt idx="78">
                  <c:v>40592.25</c:v>
                </c:pt>
                <c:pt idx="79">
                  <c:v>40592.291666666664</c:v>
                </c:pt>
                <c:pt idx="80">
                  <c:v>40592.333333333336</c:v>
                </c:pt>
                <c:pt idx="81">
                  <c:v>40592.375</c:v>
                </c:pt>
                <c:pt idx="82">
                  <c:v>40592.416666666664</c:v>
                </c:pt>
                <c:pt idx="83">
                  <c:v>40592.458333333336</c:v>
                </c:pt>
                <c:pt idx="84">
                  <c:v>40592.5</c:v>
                </c:pt>
                <c:pt idx="85">
                  <c:v>40592.541666666664</c:v>
                </c:pt>
                <c:pt idx="86">
                  <c:v>40592.583333333336</c:v>
                </c:pt>
                <c:pt idx="87">
                  <c:v>40592.625</c:v>
                </c:pt>
                <c:pt idx="88">
                  <c:v>40592.666666666664</c:v>
                </c:pt>
                <c:pt idx="89">
                  <c:v>40592.708333333336</c:v>
                </c:pt>
                <c:pt idx="90">
                  <c:v>40592.75</c:v>
                </c:pt>
                <c:pt idx="91">
                  <c:v>40592.791666666664</c:v>
                </c:pt>
                <c:pt idx="92">
                  <c:v>40592.833333333336</c:v>
                </c:pt>
                <c:pt idx="93">
                  <c:v>40592.875</c:v>
                </c:pt>
                <c:pt idx="94">
                  <c:v>40592.916666666664</c:v>
                </c:pt>
                <c:pt idx="95">
                  <c:v>40592.958333333336</c:v>
                </c:pt>
                <c:pt idx="96">
                  <c:v>40593</c:v>
                </c:pt>
                <c:pt idx="97">
                  <c:v>40593.041666666664</c:v>
                </c:pt>
                <c:pt idx="98">
                  <c:v>40593.083333333336</c:v>
                </c:pt>
                <c:pt idx="99">
                  <c:v>40593.125</c:v>
                </c:pt>
                <c:pt idx="100">
                  <c:v>40593.166666666664</c:v>
                </c:pt>
                <c:pt idx="101">
                  <c:v>40593.208333333336</c:v>
                </c:pt>
                <c:pt idx="102">
                  <c:v>40593.25</c:v>
                </c:pt>
                <c:pt idx="103">
                  <c:v>40593.291666666664</c:v>
                </c:pt>
                <c:pt idx="104">
                  <c:v>40593.333333333336</c:v>
                </c:pt>
                <c:pt idx="105">
                  <c:v>40593.375</c:v>
                </c:pt>
                <c:pt idx="106">
                  <c:v>40593.416666666664</c:v>
                </c:pt>
                <c:pt idx="107">
                  <c:v>40593.458333333336</c:v>
                </c:pt>
                <c:pt idx="108">
                  <c:v>40593.5</c:v>
                </c:pt>
                <c:pt idx="109">
                  <c:v>40593.541666666664</c:v>
                </c:pt>
                <c:pt idx="110">
                  <c:v>40593.583333333336</c:v>
                </c:pt>
                <c:pt idx="111">
                  <c:v>40593.625</c:v>
                </c:pt>
                <c:pt idx="112">
                  <c:v>40593.666666666664</c:v>
                </c:pt>
                <c:pt idx="113">
                  <c:v>40593.708333333336</c:v>
                </c:pt>
                <c:pt idx="114">
                  <c:v>40593.75</c:v>
                </c:pt>
                <c:pt idx="115">
                  <c:v>40593.791666666664</c:v>
                </c:pt>
                <c:pt idx="116">
                  <c:v>40593.833333333336</c:v>
                </c:pt>
                <c:pt idx="117">
                  <c:v>40593.875</c:v>
                </c:pt>
                <c:pt idx="118">
                  <c:v>40593.916666666664</c:v>
                </c:pt>
                <c:pt idx="119">
                  <c:v>40593.958333333336</c:v>
                </c:pt>
                <c:pt idx="120">
                  <c:v>40594</c:v>
                </c:pt>
                <c:pt idx="121">
                  <c:v>40594.041666666664</c:v>
                </c:pt>
                <c:pt idx="122">
                  <c:v>40594.083333333336</c:v>
                </c:pt>
                <c:pt idx="123">
                  <c:v>40594.125</c:v>
                </c:pt>
                <c:pt idx="124">
                  <c:v>40594.166666666664</c:v>
                </c:pt>
                <c:pt idx="125">
                  <c:v>40594.208333333336</c:v>
                </c:pt>
                <c:pt idx="126">
                  <c:v>40594.25</c:v>
                </c:pt>
                <c:pt idx="127">
                  <c:v>40594.291666666664</c:v>
                </c:pt>
                <c:pt idx="128">
                  <c:v>40594.333333333336</c:v>
                </c:pt>
                <c:pt idx="129">
                  <c:v>40594.375</c:v>
                </c:pt>
                <c:pt idx="130">
                  <c:v>40594.416666666664</c:v>
                </c:pt>
                <c:pt idx="131">
                  <c:v>40594.458333333336</c:v>
                </c:pt>
                <c:pt idx="132">
                  <c:v>40594.5</c:v>
                </c:pt>
                <c:pt idx="133">
                  <c:v>40594.541666666664</c:v>
                </c:pt>
                <c:pt idx="134">
                  <c:v>40594.583333333336</c:v>
                </c:pt>
                <c:pt idx="135">
                  <c:v>40594.625</c:v>
                </c:pt>
                <c:pt idx="136">
                  <c:v>40594.666666666664</c:v>
                </c:pt>
                <c:pt idx="137">
                  <c:v>40594.708333333336</c:v>
                </c:pt>
                <c:pt idx="138">
                  <c:v>40594.75</c:v>
                </c:pt>
                <c:pt idx="139">
                  <c:v>40594.791666666664</c:v>
                </c:pt>
                <c:pt idx="140">
                  <c:v>40594.833333333336</c:v>
                </c:pt>
                <c:pt idx="141">
                  <c:v>40594.875</c:v>
                </c:pt>
                <c:pt idx="142">
                  <c:v>40594.916666666664</c:v>
                </c:pt>
                <c:pt idx="143">
                  <c:v>40594.958333333336</c:v>
                </c:pt>
                <c:pt idx="144">
                  <c:v>40595</c:v>
                </c:pt>
                <c:pt idx="145">
                  <c:v>40595.041666666664</c:v>
                </c:pt>
                <c:pt idx="146">
                  <c:v>40595.083333333336</c:v>
                </c:pt>
                <c:pt idx="147">
                  <c:v>40595.125</c:v>
                </c:pt>
                <c:pt idx="148">
                  <c:v>40595.166666666664</c:v>
                </c:pt>
                <c:pt idx="149">
                  <c:v>40595.208333333336</c:v>
                </c:pt>
                <c:pt idx="150">
                  <c:v>40595.25</c:v>
                </c:pt>
                <c:pt idx="151">
                  <c:v>40595.291666666664</c:v>
                </c:pt>
                <c:pt idx="152">
                  <c:v>40595.333333333336</c:v>
                </c:pt>
                <c:pt idx="153">
                  <c:v>40595.375</c:v>
                </c:pt>
                <c:pt idx="154">
                  <c:v>40595.416666666664</c:v>
                </c:pt>
                <c:pt idx="155">
                  <c:v>40595.458333333336</c:v>
                </c:pt>
                <c:pt idx="156">
                  <c:v>40595.5</c:v>
                </c:pt>
                <c:pt idx="157">
                  <c:v>40595.541666666664</c:v>
                </c:pt>
                <c:pt idx="158">
                  <c:v>40595.583333333336</c:v>
                </c:pt>
                <c:pt idx="159">
                  <c:v>40595.625</c:v>
                </c:pt>
                <c:pt idx="160">
                  <c:v>40595.666666666664</c:v>
                </c:pt>
                <c:pt idx="161">
                  <c:v>40595.708333333336</c:v>
                </c:pt>
                <c:pt idx="162">
                  <c:v>40595.75</c:v>
                </c:pt>
                <c:pt idx="163">
                  <c:v>40595.791666666664</c:v>
                </c:pt>
                <c:pt idx="164">
                  <c:v>40595.833333333336</c:v>
                </c:pt>
                <c:pt idx="165">
                  <c:v>40595.875</c:v>
                </c:pt>
                <c:pt idx="166">
                  <c:v>40595.916666666664</c:v>
                </c:pt>
                <c:pt idx="167">
                  <c:v>40595.958333333336</c:v>
                </c:pt>
                <c:pt idx="168">
                  <c:v>40596</c:v>
                </c:pt>
                <c:pt idx="169">
                  <c:v>40596.041666666664</c:v>
                </c:pt>
                <c:pt idx="170">
                  <c:v>40596.083333333328</c:v>
                </c:pt>
                <c:pt idx="171">
                  <c:v>40596.124999999993</c:v>
                </c:pt>
                <c:pt idx="172">
                  <c:v>40596.166666666657</c:v>
                </c:pt>
                <c:pt idx="173">
                  <c:v>40596.208333333321</c:v>
                </c:pt>
                <c:pt idx="174">
                  <c:v>40596.249999999985</c:v>
                </c:pt>
                <c:pt idx="175">
                  <c:v>40596.29166666665</c:v>
                </c:pt>
                <c:pt idx="176">
                  <c:v>40596.333333333314</c:v>
                </c:pt>
                <c:pt idx="177">
                  <c:v>40596.374999999978</c:v>
                </c:pt>
                <c:pt idx="178">
                  <c:v>40596.416666666642</c:v>
                </c:pt>
                <c:pt idx="179">
                  <c:v>40596.458333333307</c:v>
                </c:pt>
                <c:pt idx="180">
                  <c:v>40596.499999999971</c:v>
                </c:pt>
                <c:pt idx="181">
                  <c:v>40596.541666666635</c:v>
                </c:pt>
                <c:pt idx="182">
                  <c:v>40596.583333333299</c:v>
                </c:pt>
                <c:pt idx="183">
                  <c:v>40596.624999999964</c:v>
                </c:pt>
                <c:pt idx="184">
                  <c:v>40596.666666666628</c:v>
                </c:pt>
                <c:pt idx="185">
                  <c:v>40596.708333333292</c:v>
                </c:pt>
                <c:pt idx="186">
                  <c:v>40596.749999999956</c:v>
                </c:pt>
                <c:pt idx="187">
                  <c:v>40596.791666666621</c:v>
                </c:pt>
                <c:pt idx="188">
                  <c:v>40596.833333333285</c:v>
                </c:pt>
                <c:pt idx="189">
                  <c:v>40596.874999999949</c:v>
                </c:pt>
                <c:pt idx="190">
                  <c:v>40596.916666666613</c:v>
                </c:pt>
                <c:pt idx="191">
                  <c:v>40596.958333333278</c:v>
                </c:pt>
                <c:pt idx="192">
                  <c:v>40596.999999999942</c:v>
                </c:pt>
                <c:pt idx="193">
                  <c:v>40597.041666666606</c:v>
                </c:pt>
                <c:pt idx="194">
                  <c:v>40597.08333333327</c:v>
                </c:pt>
                <c:pt idx="195">
                  <c:v>40597.124999999935</c:v>
                </c:pt>
                <c:pt idx="196">
                  <c:v>40597.166666666599</c:v>
                </c:pt>
                <c:pt idx="197">
                  <c:v>40597.208333333263</c:v>
                </c:pt>
                <c:pt idx="198">
                  <c:v>40597.249999999927</c:v>
                </c:pt>
                <c:pt idx="199">
                  <c:v>40597.291666666591</c:v>
                </c:pt>
                <c:pt idx="200">
                  <c:v>40597.333333333256</c:v>
                </c:pt>
                <c:pt idx="201">
                  <c:v>40597.37499999992</c:v>
                </c:pt>
                <c:pt idx="202">
                  <c:v>40597.416666666584</c:v>
                </c:pt>
                <c:pt idx="203">
                  <c:v>40597.458333333248</c:v>
                </c:pt>
                <c:pt idx="204">
                  <c:v>40597.499999999913</c:v>
                </c:pt>
                <c:pt idx="205">
                  <c:v>40597.541666666577</c:v>
                </c:pt>
                <c:pt idx="206">
                  <c:v>40597.583333333241</c:v>
                </c:pt>
                <c:pt idx="207">
                  <c:v>40597.624999999905</c:v>
                </c:pt>
                <c:pt idx="208">
                  <c:v>40597.66666666657</c:v>
                </c:pt>
                <c:pt idx="209">
                  <c:v>40597.708333333234</c:v>
                </c:pt>
                <c:pt idx="210">
                  <c:v>40597.749999999898</c:v>
                </c:pt>
                <c:pt idx="211">
                  <c:v>40597.791666666562</c:v>
                </c:pt>
                <c:pt idx="212">
                  <c:v>40597.833333333227</c:v>
                </c:pt>
                <c:pt idx="213">
                  <c:v>40597.874999999891</c:v>
                </c:pt>
                <c:pt idx="214">
                  <c:v>40597.916666666555</c:v>
                </c:pt>
                <c:pt idx="215">
                  <c:v>40597.958333333219</c:v>
                </c:pt>
              </c:numCache>
            </c:numRef>
          </c:cat>
          <c:val>
            <c:numRef>
              <c:f>FORECAST_SHEET!$C$2:$C$217</c:f>
              <c:numCache>
                <c:formatCode>General</c:formatCode>
                <c:ptCount val="216"/>
                <c:pt idx="167">
                  <c:v>16.666666666666668</c:v>
                </c:pt>
                <c:pt idx="168">
                  <c:v>8.7439384395860387</c:v>
                </c:pt>
                <c:pt idx="169">
                  <c:v>3.6103949831258149</c:v>
                </c:pt>
                <c:pt idx="170">
                  <c:v>-0.32854459036398254</c:v>
                </c:pt>
                <c:pt idx="171">
                  <c:v>-3.7065158297474881</c:v>
                </c:pt>
                <c:pt idx="172">
                  <c:v>-5.8371611204088225</c:v>
                </c:pt>
                <c:pt idx="173">
                  <c:v>-3.8352729512836845</c:v>
                </c:pt>
                <c:pt idx="174">
                  <c:v>8.9894355586173234</c:v>
                </c:pt>
                <c:pt idx="175">
                  <c:v>40.100479647186226</c:v>
                </c:pt>
                <c:pt idx="176">
                  <c:v>103.71738187138388</c:v>
                </c:pt>
                <c:pt idx="177">
                  <c:v>67.074551075278009</c:v>
                </c:pt>
                <c:pt idx="178">
                  <c:v>48.245474847372734</c:v>
                </c:pt>
                <c:pt idx="179">
                  <c:v>53.325354967068236</c:v>
                </c:pt>
                <c:pt idx="180">
                  <c:v>73.459303312837108</c:v>
                </c:pt>
                <c:pt idx="181">
                  <c:v>73.450704861420377</c:v>
                </c:pt>
                <c:pt idx="182">
                  <c:v>73.80417595336057</c:v>
                </c:pt>
                <c:pt idx="183">
                  <c:v>73.605038245595154</c:v>
                </c:pt>
                <c:pt idx="184">
                  <c:v>85.094270003288713</c:v>
                </c:pt>
                <c:pt idx="185">
                  <c:v>127.52792971049712</c:v>
                </c:pt>
                <c:pt idx="186">
                  <c:v>109.83440964718903</c:v>
                </c:pt>
                <c:pt idx="187">
                  <c:v>75.061452514085858</c:v>
                </c:pt>
                <c:pt idx="188">
                  <c:v>50.772396870409011</c:v>
                </c:pt>
                <c:pt idx="189">
                  <c:v>38.560992128125278</c:v>
                </c:pt>
                <c:pt idx="190">
                  <c:v>23.105570959411946</c:v>
                </c:pt>
                <c:pt idx="191">
                  <c:v>14.685504739223436</c:v>
                </c:pt>
                <c:pt idx="192">
                  <c:v>6.7627765121427998</c:v>
                </c:pt>
                <c:pt idx="193">
                  <c:v>1.6292330556825831</c:v>
                </c:pt>
                <c:pt idx="194">
                  <c:v>-2.3097065178072143</c:v>
                </c:pt>
                <c:pt idx="195">
                  <c:v>-5.6876777571907198</c:v>
                </c:pt>
                <c:pt idx="196">
                  <c:v>-7.8183230478520542</c:v>
                </c:pt>
                <c:pt idx="197">
                  <c:v>-5.8164348787269233</c:v>
                </c:pt>
                <c:pt idx="198">
                  <c:v>7.0082736311740916</c:v>
                </c:pt>
                <c:pt idx="199">
                  <c:v>38.119317719742995</c:v>
                </c:pt>
                <c:pt idx="200">
                  <c:v>101.73621994394064</c:v>
                </c:pt>
                <c:pt idx="201">
                  <c:v>65.093389147834785</c:v>
                </c:pt>
                <c:pt idx="202">
                  <c:v>46.264312919929502</c:v>
                </c:pt>
                <c:pt idx="203">
                  <c:v>51.344193039625011</c:v>
                </c:pt>
                <c:pt idx="204">
                  <c:v>71.478141385393869</c:v>
                </c:pt>
                <c:pt idx="205">
                  <c:v>71.469542933977138</c:v>
                </c:pt>
                <c:pt idx="206">
                  <c:v>71.823014025917331</c:v>
                </c:pt>
                <c:pt idx="207">
                  <c:v>71.623876318151929</c:v>
                </c:pt>
                <c:pt idx="208">
                  <c:v>83.113108075845474</c:v>
                </c:pt>
                <c:pt idx="209">
                  <c:v>125.54676778305389</c:v>
                </c:pt>
                <c:pt idx="210">
                  <c:v>107.8532477197458</c:v>
                </c:pt>
                <c:pt idx="211">
                  <c:v>73.080290586642633</c:v>
                </c:pt>
                <c:pt idx="212">
                  <c:v>48.791234942965772</c:v>
                </c:pt>
                <c:pt idx="213">
                  <c:v>36.579830200682039</c:v>
                </c:pt>
                <c:pt idx="214">
                  <c:v>21.124409031968714</c:v>
                </c:pt>
                <c:pt idx="215">
                  <c:v>12.704342811780204</c:v>
                </c:pt>
              </c:numCache>
            </c:numRef>
          </c:val>
          <c:smooth val="0"/>
          <c:extLst>
            <c:ext xmlns:c16="http://schemas.microsoft.com/office/drawing/2014/chart" uri="{C3380CC4-5D6E-409C-BE32-E72D297353CC}">
              <c16:uniqueId val="{00000001-77EF-46EB-9D3C-C6C92DBC576B}"/>
            </c:ext>
          </c:extLst>
        </c:ser>
        <c:ser>
          <c:idx val="2"/>
          <c:order val="2"/>
          <c:tx>
            <c:strRef>
              <c:f>FORECAST_SHEET!$D$1</c:f>
              <c:strCache>
                <c:ptCount val="1"/>
                <c:pt idx="0">
                  <c:v>Lower Confidence Bound(Average rides)</c:v>
                </c:pt>
              </c:strCache>
            </c:strRef>
          </c:tx>
          <c:spPr>
            <a:ln w="12700" cap="rnd">
              <a:solidFill>
                <a:srgbClr val="E97132"/>
              </a:solidFill>
              <a:prstDash val="solid"/>
              <a:round/>
            </a:ln>
            <a:effectLst/>
          </c:spPr>
          <c:marker>
            <c:symbol val="none"/>
          </c:marker>
          <c:cat>
            <c:numRef>
              <c:f>FORECAST_SHEET!$A$2:$A$217</c:f>
              <c:numCache>
                <c:formatCode>dd\-mmm\-yyyy\ hh:mm</c:formatCode>
                <c:ptCount val="216"/>
                <c:pt idx="0">
                  <c:v>40589</c:v>
                </c:pt>
                <c:pt idx="1">
                  <c:v>40589.041666666664</c:v>
                </c:pt>
                <c:pt idx="2">
                  <c:v>40589.083333333336</c:v>
                </c:pt>
                <c:pt idx="3">
                  <c:v>40589.125</c:v>
                </c:pt>
                <c:pt idx="4">
                  <c:v>40589.166666666664</c:v>
                </c:pt>
                <c:pt idx="5">
                  <c:v>40589.208333333336</c:v>
                </c:pt>
                <c:pt idx="6">
                  <c:v>40589.25</c:v>
                </c:pt>
                <c:pt idx="7">
                  <c:v>40589.291666666664</c:v>
                </c:pt>
                <c:pt idx="8">
                  <c:v>40589.333333333336</c:v>
                </c:pt>
                <c:pt idx="9">
                  <c:v>40589.375</c:v>
                </c:pt>
                <c:pt idx="10">
                  <c:v>40589.416666666664</c:v>
                </c:pt>
                <c:pt idx="11">
                  <c:v>40589.458333333336</c:v>
                </c:pt>
                <c:pt idx="12">
                  <c:v>40589.5</c:v>
                </c:pt>
                <c:pt idx="13">
                  <c:v>40589.541666666664</c:v>
                </c:pt>
                <c:pt idx="14">
                  <c:v>40589.583333333336</c:v>
                </c:pt>
                <c:pt idx="15">
                  <c:v>40589.625</c:v>
                </c:pt>
                <c:pt idx="16">
                  <c:v>40589.666666666664</c:v>
                </c:pt>
                <c:pt idx="17">
                  <c:v>40589.708333333336</c:v>
                </c:pt>
                <c:pt idx="18">
                  <c:v>40589.75</c:v>
                </c:pt>
                <c:pt idx="19">
                  <c:v>40589.791666666664</c:v>
                </c:pt>
                <c:pt idx="20">
                  <c:v>40589.833333333336</c:v>
                </c:pt>
                <c:pt idx="21">
                  <c:v>40589.875</c:v>
                </c:pt>
                <c:pt idx="22">
                  <c:v>40589.916666666664</c:v>
                </c:pt>
                <c:pt idx="23">
                  <c:v>40589.958333333336</c:v>
                </c:pt>
                <c:pt idx="24">
                  <c:v>40590</c:v>
                </c:pt>
                <c:pt idx="25">
                  <c:v>40590.041666666664</c:v>
                </c:pt>
                <c:pt idx="26">
                  <c:v>40590.083333333336</c:v>
                </c:pt>
                <c:pt idx="27">
                  <c:v>40590.125</c:v>
                </c:pt>
                <c:pt idx="28">
                  <c:v>40590.166666666664</c:v>
                </c:pt>
                <c:pt idx="29">
                  <c:v>40590.208333333336</c:v>
                </c:pt>
                <c:pt idx="30">
                  <c:v>40590.25</c:v>
                </c:pt>
                <c:pt idx="31">
                  <c:v>40590.291666666664</c:v>
                </c:pt>
                <c:pt idx="32">
                  <c:v>40590.333333333336</c:v>
                </c:pt>
                <c:pt idx="33">
                  <c:v>40590.375</c:v>
                </c:pt>
                <c:pt idx="34">
                  <c:v>40590.416666666664</c:v>
                </c:pt>
                <c:pt idx="35">
                  <c:v>40590.458333333336</c:v>
                </c:pt>
                <c:pt idx="36">
                  <c:v>40590.5</c:v>
                </c:pt>
                <c:pt idx="37">
                  <c:v>40590.541666666664</c:v>
                </c:pt>
                <c:pt idx="38">
                  <c:v>40590.583333333336</c:v>
                </c:pt>
                <c:pt idx="39">
                  <c:v>40590.625</c:v>
                </c:pt>
                <c:pt idx="40">
                  <c:v>40590.666666666664</c:v>
                </c:pt>
                <c:pt idx="41">
                  <c:v>40590.708333333336</c:v>
                </c:pt>
                <c:pt idx="42">
                  <c:v>40590.75</c:v>
                </c:pt>
                <c:pt idx="43">
                  <c:v>40590.791666666664</c:v>
                </c:pt>
                <c:pt idx="44">
                  <c:v>40590.833333333336</c:v>
                </c:pt>
                <c:pt idx="45">
                  <c:v>40590.875</c:v>
                </c:pt>
                <c:pt idx="46">
                  <c:v>40590.916666666664</c:v>
                </c:pt>
                <c:pt idx="47">
                  <c:v>40590.958333333336</c:v>
                </c:pt>
                <c:pt idx="48">
                  <c:v>40591</c:v>
                </c:pt>
                <c:pt idx="49">
                  <c:v>40591.041666666664</c:v>
                </c:pt>
                <c:pt idx="50">
                  <c:v>40591.083333333336</c:v>
                </c:pt>
                <c:pt idx="51">
                  <c:v>40591.125</c:v>
                </c:pt>
                <c:pt idx="52">
                  <c:v>40591.166666666664</c:v>
                </c:pt>
                <c:pt idx="53">
                  <c:v>40591.208333333336</c:v>
                </c:pt>
                <c:pt idx="54">
                  <c:v>40591.25</c:v>
                </c:pt>
                <c:pt idx="55">
                  <c:v>40591.291666666664</c:v>
                </c:pt>
                <c:pt idx="56">
                  <c:v>40591.333333333336</c:v>
                </c:pt>
                <c:pt idx="57">
                  <c:v>40591.375</c:v>
                </c:pt>
                <c:pt idx="58">
                  <c:v>40591.416666666664</c:v>
                </c:pt>
                <c:pt idx="59">
                  <c:v>40591.458333333336</c:v>
                </c:pt>
                <c:pt idx="60">
                  <c:v>40591.5</c:v>
                </c:pt>
                <c:pt idx="61">
                  <c:v>40591.541666666664</c:v>
                </c:pt>
                <c:pt idx="62">
                  <c:v>40591.583333333336</c:v>
                </c:pt>
                <c:pt idx="63">
                  <c:v>40591.625</c:v>
                </c:pt>
                <c:pt idx="64">
                  <c:v>40591.666666666664</c:v>
                </c:pt>
                <c:pt idx="65">
                  <c:v>40591.708333333336</c:v>
                </c:pt>
                <c:pt idx="66">
                  <c:v>40591.75</c:v>
                </c:pt>
                <c:pt idx="67">
                  <c:v>40591.791666666664</c:v>
                </c:pt>
                <c:pt idx="68">
                  <c:v>40591.833333333336</c:v>
                </c:pt>
                <c:pt idx="69">
                  <c:v>40591.875</c:v>
                </c:pt>
                <c:pt idx="70">
                  <c:v>40591.916666666664</c:v>
                </c:pt>
                <c:pt idx="71">
                  <c:v>40591.958333333336</c:v>
                </c:pt>
                <c:pt idx="72">
                  <c:v>40592</c:v>
                </c:pt>
                <c:pt idx="73">
                  <c:v>40592.041666666664</c:v>
                </c:pt>
                <c:pt idx="74">
                  <c:v>40592.083333333336</c:v>
                </c:pt>
                <c:pt idx="75">
                  <c:v>40592.125</c:v>
                </c:pt>
                <c:pt idx="76">
                  <c:v>40592.166666666664</c:v>
                </c:pt>
                <c:pt idx="77">
                  <c:v>40592.208333333336</c:v>
                </c:pt>
                <c:pt idx="78">
                  <c:v>40592.25</c:v>
                </c:pt>
                <c:pt idx="79">
                  <c:v>40592.291666666664</c:v>
                </c:pt>
                <c:pt idx="80">
                  <c:v>40592.333333333336</c:v>
                </c:pt>
                <c:pt idx="81">
                  <c:v>40592.375</c:v>
                </c:pt>
                <c:pt idx="82">
                  <c:v>40592.416666666664</c:v>
                </c:pt>
                <c:pt idx="83">
                  <c:v>40592.458333333336</c:v>
                </c:pt>
                <c:pt idx="84">
                  <c:v>40592.5</c:v>
                </c:pt>
                <c:pt idx="85">
                  <c:v>40592.541666666664</c:v>
                </c:pt>
                <c:pt idx="86">
                  <c:v>40592.583333333336</c:v>
                </c:pt>
                <c:pt idx="87">
                  <c:v>40592.625</c:v>
                </c:pt>
                <c:pt idx="88">
                  <c:v>40592.666666666664</c:v>
                </c:pt>
                <c:pt idx="89">
                  <c:v>40592.708333333336</c:v>
                </c:pt>
                <c:pt idx="90">
                  <c:v>40592.75</c:v>
                </c:pt>
                <c:pt idx="91">
                  <c:v>40592.791666666664</c:v>
                </c:pt>
                <c:pt idx="92">
                  <c:v>40592.833333333336</c:v>
                </c:pt>
                <c:pt idx="93">
                  <c:v>40592.875</c:v>
                </c:pt>
                <c:pt idx="94">
                  <c:v>40592.916666666664</c:v>
                </c:pt>
                <c:pt idx="95">
                  <c:v>40592.958333333336</c:v>
                </c:pt>
                <c:pt idx="96">
                  <c:v>40593</c:v>
                </c:pt>
                <c:pt idx="97">
                  <c:v>40593.041666666664</c:v>
                </c:pt>
                <c:pt idx="98">
                  <c:v>40593.083333333336</c:v>
                </c:pt>
                <c:pt idx="99">
                  <c:v>40593.125</c:v>
                </c:pt>
                <c:pt idx="100">
                  <c:v>40593.166666666664</c:v>
                </c:pt>
                <c:pt idx="101">
                  <c:v>40593.208333333336</c:v>
                </c:pt>
                <c:pt idx="102">
                  <c:v>40593.25</c:v>
                </c:pt>
                <c:pt idx="103">
                  <c:v>40593.291666666664</c:v>
                </c:pt>
                <c:pt idx="104">
                  <c:v>40593.333333333336</c:v>
                </c:pt>
                <c:pt idx="105">
                  <c:v>40593.375</c:v>
                </c:pt>
                <c:pt idx="106">
                  <c:v>40593.416666666664</c:v>
                </c:pt>
                <c:pt idx="107">
                  <c:v>40593.458333333336</c:v>
                </c:pt>
                <c:pt idx="108">
                  <c:v>40593.5</c:v>
                </c:pt>
                <c:pt idx="109">
                  <c:v>40593.541666666664</c:v>
                </c:pt>
                <c:pt idx="110">
                  <c:v>40593.583333333336</c:v>
                </c:pt>
                <c:pt idx="111">
                  <c:v>40593.625</c:v>
                </c:pt>
                <c:pt idx="112">
                  <c:v>40593.666666666664</c:v>
                </c:pt>
                <c:pt idx="113">
                  <c:v>40593.708333333336</c:v>
                </c:pt>
                <c:pt idx="114">
                  <c:v>40593.75</c:v>
                </c:pt>
                <c:pt idx="115">
                  <c:v>40593.791666666664</c:v>
                </c:pt>
                <c:pt idx="116">
                  <c:v>40593.833333333336</c:v>
                </c:pt>
                <c:pt idx="117">
                  <c:v>40593.875</c:v>
                </c:pt>
                <c:pt idx="118">
                  <c:v>40593.916666666664</c:v>
                </c:pt>
                <c:pt idx="119">
                  <c:v>40593.958333333336</c:v>
                </c:pt>
                <c:pt idx="120">
                  <c:v>40594</c:v>
                </c:pt>
                <c:pt idx="121">
                  <c:v>40594.041666666664</c:v>
                </c:pt>
                <c:pt idx="122">
                  <c:v>40594.083333333336</c:v>
                </c:pt>
                <c:pt idx="123">
                  <c:v>40594.125</c:v>
                </c:pt>
                <c:pt idx="124">
                  <c:v>40594.166666666664</c:v>
                </c:pt>
                <c:pt idx="125">
                  <c:v>40594.208333333336</c:v>
                </c:pt>
                <c:pt idx="126">
                  <c:v>40594.25</c:v>
                </c:pt>
                <c:pt idx="127">
                  <c:v>40594.291666666664</c:v>
                </c:pt>
                <c:pt idx="128">
                  <c:v>40594.333333333336</c:v>
                </c:pt>
                <c:pt idx="129">
                  <c:v>40594.375</c:v>
                </c:pt>
                <c:pt idx="130">
                  <c:v>40594.416666666664</c:v>
                </c:pt>
                <c:pt idx="131">
                  <c:v>40594.458333333336</c:v>
                </c:pt>
                <c:pt idx="132">
                  <c:v>40594.5</c:v>
                </c:pt>
                <c:pt idx="133">
                  <c:v>40594.541666666664</c:v>
                </c:pt>
                <c:pt idx="134">
                  <c:v>40594.583333333336</c:v>
                </c:pt>
                <c:pt idx="135">
                  <c:v>40594.625</c:v>
                </c:pt>
                <c:pt idx="136">
                  <c:v>40594.666666666664</c:v>
                </c:pt>
                <c:pt idx="137">
                  <c:v>40594.708333333336</c:v>
                </c:pt>
                <c:pt idx="138">
                  <c:v>40594.75</c:v>
                </c:pt>
                <c:pt idx="139">
                  <c:v>40594.791666666664</c:v>
                </c:pt>
                <c:pt idx="140">
                  <c:v>40594.833333333336</c:v>
                </c:pt>
                <c:pt idx="141">
                  <c:v>40594.875</c:v>
                </c:pt>
                <c:pt idx="142">
                  <c:v>40594.916666666664</c:v>
                </c:pt>
                <c:pt idx="143">
                  <c:v>40594.958333333336</c:v>
                </c:pt>
                <c:pt idx="144">
                  <c:v>40595</c:v>
                </c:pt>
                <c:pt idx="145">
                  <c:v>40595.041666666664</c:v>
                </c:pt>
                <c:pt idx="146">
                  <c:v>40595.083333333336</c:v>
                </c:pt>
                <c:pt idx="147">
                  <c:v>40595.125</c:v>
                </c:pt>
                <c:pt idx="148">
                  <c:v>40595.166666666664</c:v>
                </c:pt>
                <c:pt idx="149">
                  <c:v>40595.208333333336</c:v>
                </c:pt>
                <c:pt idx="150">
                  <c:v>40595.25</c:v>
                </c:pt>
                <c:pt idx="151">
                  <c:v>40595.291666666664</c:v>
                </c:pt>
                <c:pt idx="152">
                  <c:v>40595.333333333336</c:v>
                </c:pt>
                <c:pt idx="153">
                  <c:v>40595.375</c:v>
                </c:pt>
                <c:pt idx="154">
                  <c:v>40595.416666666664</c:v>
                </c:pt>
                <c:pt idx="155">
                  <c:v>40595.458333333336</c:v>
                </c:pt>
                <c:pt idx="156">
                  <c:v>40595.5</c:v>
                </c:pt>
                <c:pt idx="157">
                  <c:v>40595.541666666664</c:v>
                </c:pt>
                <c:pt idx="158">
                  <c:v>40595.583333333336</c:v>
                </c:pt>
                <c:pt idx="159">
                  <c:v>40595.625</c:v>
                </c:pt>
                <c:pt idx="160">
                  <c:v>40595.666666666664</c:v>
                </c:pt>
                <c:pt idx="161">
                  <c:v>40595.708333333336</c:v>
                </c:pt>
                <c:pt idx="162">
                  <c:v>40595.75</c:v>
                </c:pt>
                <c:pt idx="163">
                  <c:v>40595.791666666664</c:v>
                </c:pt>
                <c:pt idx="164">
                  <c:v>40595.833333333336</c:v>
                </c:pt>
                <c:pt idx="165">
                  <c:v>40595.875</c:v>
                </c:pt>
                <c:pt idx="166">
                  <c:v>40595.916666666664</c:v>
                </c:pt>
                <c:pt idx="167">
                  <c:v>40595.958333333336</c:v>
                </c:pt>
                <c:pt idx="168">
                  <c:v>40596</c:v>
                </c:pt>
                <c:pt idx="169">
                  <c:v>40596.041666666664</c:v>
                </c:pt>
                <c:pt idx="170">
                  <c:v>40596.083333333328</c:v>
                </c:pt>
                <c:pt idx="171">
                  <c:v>40596.124999999993</c:v>
                </c:pt>
                <c:pt idx="172">
                  <c:v>40596.166666666657</c:v>
                </c:pt>
                <c:pt idx="173">
                  <c:v>40596.208333333321</c:v>
                </c:pt>
                <c:pt idx="174">
                  <c:v>40596.249999999985</c:v>
                </c:pt>
                <c:pt idx="175">
                  <c:v>40596.29166666665</c:v>
                </c:pt>
                <c:pt idx="176">
                  <c:v>40596.333333333314</c:v>
                </c:pt>
                <c:pt idx="177">
                  <c:v>40596.374999999978</c:v>
                </c:pt>
                <c:pt idx="178">
                  <c:v>40596.416666666642</c:v>
                </c:pt>
                <c:pt idx="179">
                  <c:v>40596.458333333307</c:v>
                </c:pt>
                <c:pt idx="180">
                  <c:v>40596.499999999971</c:v>
                </c:pt>
                <c:pt idx="181">
                  <c:v>40596.541666666635</c:v>
                </c:pt>
                <c:pt idx="182">
                  <c:v>40596.583333333299</c:v>
                </c:pt>
                <c:pt idx="183">
                  <c:v>40596.624999999964</c:v>
                </c:pt>
                <c:pt idx="184">
                  <c:v>40596.666666666628</c:v>
                </c:pt>
                <c:pt idx="185">
                  <c:v>40596.708333333292</c:v>
                </c:pt>
                <c:pt idx="186">
                  <c:v>40596.749999999956</c:v>
                </c:pt>
                <c:pt idx="187">
                  <c:v>40596.791666666621</c:v>
                </c:pt>
                <c:pt idx="188">
                  <c:v>40596.833333333285</c:v>
                </c:pt>
                <c:pt idx="189">
                  <c:v>40596.874999999949</c:v>
                </c:pt>
                <c:pt idx="190">
                  <c:v>40596.916666666613</c:v>
                </c:pt>
                <c:pt idx="191">
                  <c:v>40596.958333333278</c:v>
                </c:pt>
                <c:pt idx="192">
                  <c:v>40596.999999999942</c:v>
                </c:pt>
                <c:pt idx="193">
                  <c:v>40597.041666666606</c:v>
                </c:pt>
                <c:pt idx="194">
                  <c:v>40597.08333333327</c:v>
                </c:pt>
                <c:pt idx="195">
                  <c:v>40597.124999999935</c:v>
                </c:pt>
                <c:pt idx="196">
                  <c:v>40597.166666666599</c:v>
                </c:pt>
                <c:pt idx="197">
                  <c:v>40597.208333333263</c:v>
                </c:pt>
                <c:pt idx="198">
                  <c:v>40597.249999999927</c:v>
                </c:pt>
                <c:pt idx="199">
                  <c:v>40597.291666666591</c:v>
                </c:pt>
                <c:pt idx="200">
                  <c:v>40597.333333333256</c:v>
                </c:pt>
                <c:pt idx="201">
                  <c:v>40597.37499999992</c:v>
                </c:pt>
                <c:pt idx="202">
                  <c:v>40597.416666666584</c:v>
                </c:pt>
                <c:pt idx="203">
                  <c:v>40597.458333333248</c:v>
                </c:pt>
                <c:pt idx="204">
                  <c:v>40597.499999999913</c:v>
                </c:pt>
                <c:pt idx="205">
                  <c:v>40597.541666666577</c:v>
                </c:pt>
                <c:pt idx="206">
                  <c:v>40597.583333333241</c:v>
                </c:pt>
                <c:pt idx="207">
                  <c:v>40597.624999999905</c:v>
                </c:pt>
                <c:pt idx="208">
                  <c:v>40597.66666666657</c:v>
                </c:pt>
                <c:pt idx="209">
                  <c:v>40597.708333333234</c:v>
                </c:pt>
                <c:pt idx="210">
                  <c:v>40597.749999999898</c:v>
                </c:pt>
                <c:pt idx="211">
                  <c:v>40597.791666666562</c:v>
                </c:pt>
                <c:pt idx="212">
                  <c:v>40597.833333333227</c:v>
                </c:pt>
                <c:pt idx="213">
                  <c:v>40597.874999999891</c:v>
                </c:pt>
                <c:pt idx="214">
                  <c:v>40597.916666666555</c:v>
                </c:pt>
                <c:pt idx="215">
                  <c:v>40597.958333333219</c:v>
                </c:pt>
              </c:numCache>
            </c:numRef>
          </c:cat>
          <c:val>
            <c:numRef>
              <c:f>FORECAST_SHEET!$D$2:$D$217</c:f>
              <c:numCache>
                <c:formatCode>General</c:formatCode>
                <c:ptCount val="216"/>
                <c:pt idx="167" formatCode="0.00">
                  <c:v>16.666666666666668</c:v>
                </c:pt>
                <c:pt idx="168" formatCode="0.00">
                  <c:v>-46.839411999581252</c:v>
                </c:pt>
                <c:pt idx="169" formatCode="0.00">
                  <c:v>-51.973205580555664</c:v>
                </c:pt>
                <c:pt idx="170" formatCode="0.00">
                  <c:v>-55.91258981706936</c:v>
                </c:pt>
                <c:pt idx="171" formatCode="0.00">
                  <c:v>-59.291255835306394</c:v>
                </c:pt>
                <c:pt idx="172" formatCode="0.00">
                  <c:v>-61.422901592260395</c:v>
                </c:pt>
                <c:pt idx="173" formatCode="0.00">
                  <c:v>-59.42237513998834</c:v>
                </c:pt>
                <c:pt idx="174" formatCode="0.00">
                  <c:v>-46.5994451488015</c:v>
                </c:pt>
                <c:pt idx="175" formatCode="0.00">
                  <c:v>-15.490651916401958</c:v>
                </c:pt>
                <c:pt idx="176" formatCode="0.00">
                  <c:v>48.123471598722048</c:v>
                </c:pt>
                <c:pt idx="177" formatCode="0.00">
                  <c:v>11.477278750323563</c:v>
                </c:pt>
                <c:pt idx="178" formatCode="0.00">
                  <c:v>-7.3557983327350769</c:v>
                </c:pt>
                <c:pt idx="179" formatCode="0.00">
                  <c:v>-2.2806132939373214</c:v>
                </c:pt>
                <c:pt idx="180" formatCode="0.00">
                  <c:v>17.847890365693054</c:v>
                </c:pt>
                <c:pt idx="181" formatCode="0.00">
                  <c:v>17.833042293957675</c:v>
                </c:pt>
                <c:pt idx="182" formatCode="0.00">
                  <c:v>18.17940356072306</c:v>
                </c:pt>
                <c:pt idx="183" formatCode="0.00">
                  <c:v>17.972240618752458</c:v>
                </c:pt>
                <c:pt idx="184" formatCode="0.00">
                  <c:v>29.452476604303506</c:v>
                </c:pt>
                <c:pt idx="185" formatCode="0.00">
                  <c:v>71.876114957078926</c:v>
                </c:pt>
                <c:pt idx="186" formatCode="0.00">
                  <c:v>54.17149300704888</c:v>
                </c:pt>
                <c:pt idx="187" formatCode="0.00">
                  <c:v>19.38629860959901</c:v>
                </c:pt>
                <c:pt idx="188" formatCode="0.00">
                  <c:v>-4.916184405915331</c:v>
                </c:pt>
                <c:pt idx="189" formatCode="0.00">
                  <c:v>-17.142261230626929</c:v>
                </c:pt>
                <c:pt idx="190" formatCode="0.00">
                  <c:v>-32.613653656914693</c:v>
                </c:pt>
                <c:pt idx="191" formatCode="0.00">
                  <c:v>-41.051044623590883</c:v>
                </c:pt>
                <c:pt idx="192" formatCode="0.00">
                  <c:v>-56.176526664499598</c:v>
                </c:pt>
                <c:pt idx="193" formatCode="0.00">
                  <c:v>-61.32795983210486</c:v>
                </c:pt>
                <c:pt idx="194" formatCode="0.00">
                  <c:v>-65.286133149090205</c:v>
                </c:pt>
                <c:pt idx="195" formatCode="0.00">
                  <c:v>-68.684729975408786</c:v>
                </c:pt>
                <c:pt idx="196" formatCode="0.00">
                  <c:v>-70.83744035479576</c:v>
                </c:pt>
                <c:pt idx="197" formatCode="0.00">
                  <c:v>-68.859104271348443</c:v>
                </c:pt>
                <c:pt idx="198" formatCode="0.00">
                  <c:v>-56.05948216531614</c:v>
                </c:pt>
                <c:pt idx="199" formatCode="0.00">
                  <c:v>-24.975105935117888</c:v>
                </c:pt>
                <c:pt idx="200" formatCode="0.00">
                  <c:v>38.613500036088965</c:v>
                </c:pt>
                <c:pt idx="201" formatCode="0.00">
                  <c:v>1.9406978599609346</c:v>
                </c:pt>
                <c:pt idx="202" formatCode="0.00">
                  <c:v>-16.920071387951275</c:v>
                </c:pt>
                <c:pt idx="203" formatCode="0.00">
                  <c:v>-11.873652209768004</c:v>
                </c:pt>
                <c:pt idx="204" formatCode="0.00">
                  <c:v>8.2250212350812077</c:v>
                </c:pt>
                <c:pt idx="205" formatCode="0.00">
                  <c:v>8.1792881414364373</c:v>
                </c:pt>
                <c:pt idx="206" formatCode="0.00">
                  <c:v>8.4937193365053005</c:v>
                </c:pt>
                <c:pt idx="207" formatCode="0.00">
                  <c:v>8.2535912451889857</c:v>
                </c:pt>
                <c:pt idx="208" formatCode="0.00">
                  <c:v>19.699837194798747</c:v>
                </c:pt>
                <c:pt idx="209" formatCode="0.00">
                  <c:v>62.088471038740444</c:v>
                </c:pt>
                <c:pt idx="210" formatCode="0.00">
                  <c:v>44.347840746675509</c:v>
                </c:pt>
                <c:pt idx="211" formatCode="0.00">
                  <c:v>9.5256450426029673</c:v>
                </c:pt>
                <c:pt idx="212" formatCode="0.00">
                  <c:v>-14.814821144066919</c:v>
                </c:pt>
                <c:pt idx="213" formatCode="0.00">
                  <c:v>-27.079851670873502</c:v>
                </c:pt>
                <c:pt idx="214" formatCode="0.00">
                  <c:v>-42.591156761398793</c:v>
                </c:pt>
                <c:pt idx="215" formatCode="0.00">
                  <c:v>-51.069407549228771</c:v>
                </c:pt>
              </c:numCache>
            </c:numRef>
          </c:val>
          <c:smooth val="0"/>
          <c:extLst>
            <c:ext xmlns:c16="http://schemas.microsoft.com/office/drawing/2014/chart" uri="{C3380CC4-5D6E-409C-BE32-E72D297353CC}">
              <c16:uniqueId val="{00000002-77EF-46EB-9D3C-C6C92DBC576B}"/>
            </c:ext>
          </c:extLst>
        </c:ser>
        <c:ser>
          <c:idx val="3"/>
          <c:order val="3"/>
          <c:tx>
            <c:strRef>
              <c:f>FORECAST_SHEET!$E$1</c:f>
              <c:strCache>
                <c:ptCount val="1"/>
                <c:pt idx="0">
                  <c:v>Upper Confidence Bound(Average rides)</c:v>
                </c:pt>
              </c:strCache>
            </c:strRef>
          </c:tx>
          <c:spPr>
            <a:ln w="12700" cap="rnd">
              <a:solidFill>
                <a:srgbClr val="E97132"/>
              </a:solidFill>
              <a:prstDash val="solid"/>
              <a:round/>
            </a:ln>
            <a:effectLst/>
          </c:spPr>
          <c:marker>
            <c:symbol val="none"/>
          </c:marker>
          <c:cat>
            <c:numRef>
              <c:f>FORECAST_SHEET!$A$2:$A$217</c:f>
              <c:numCache>
                <c:formatCode>dd\-mmm\-yyyy\ hh:mm</c:formatCode>
                <c:ptCount val="216"/>
                <c:pt idx="0">
                  <c:v>40589</c:v>
                </c:pt>
                <c:pt idx="1">
                  <c:v>40589.041666666664</c:v>
                </c:pt>
                <c:pt idx="2">
                  <c:v>40589.083333333336</c:v>
                </c:pt>
                <c:pt idx="3">
                  <c:v>40589.125</c:v>
                </c:pt>
                <c:pt idx="4">
                  <c:v>40589.166666666664</c:v>
                </c:pt>
                <c:pt idx="5">
                  <c:v>40589.208333333336</c:v>
                </c:pt>
                <c:pt idx="6">
                  <c:v>40589.25</c:v>
                </c:pt>
                <c:pt idx="7">
                  <c:v>40589.291666666664</c:v>
                </c:pt>
                <c:pt idx="8">
                  <c:v>40589.333333333336</c:v>
                </c:pt>
                <c:pt idx="9">
                  <c:v>40589.375</c:v>
                </c:pt>
                <c:pt idx="10">
                  <c:v>40589.416666666664</c:v>
                </c:pt>
                <c:pt idx="11">
                  <c:v>40589.458333333336</c:v>
                </c:pt>
                <c:pt idx="12">
                  <c:v>40589.5</c:v>
                </c:pt>
                <c:pt idx="13">
                  <c:v>40589.541666666664</c:v>
                </c:pt>
                <c:pt idx="14">
                  <c:v>40589.583333333336</c:v>
                </c:pt>
                <c:pt idx="15">
                  <c:v>40589.625</c:v>
                </c:pt>
                <c:pt idx="16">
                  <c:v>40589.666666666664</c:v>
                </c:pt>
                <c:pt idx="17">
                  <c:v>40589.708333333336</c:v>
                </c:pt>
                <c:pt idx="18">
                  <c:v>40589.75</c:v>
                </c:pt>
                <c:pt idx="19">
                  <c:v>40589.791666666664</c:v>
                </c:pt>
                <c:pt idx="20">
                  <c:v>40589.833333333336</c:v>
                </c:pt>
                <c:pt idx="21">
                  <c:v>40589.875</c:v>
                </c:pt>
                <c:pt idx="22">
                  <c:v>40589.916666666664</c:v>
                </c:pt>
                <c:pt idx="23">
                  <c:v>40589.958333333336</c:v>
                </c:pt>
                <c:pt idx="24">
                  <c:v>40590</c:v>
                </c:pt>
                <c:pt idx="25">
                  <c:v>40590.041666666664</c:v>
                </c:pt>
                <c:pt idx="26">
                  <c:v>40590.083333333336</c:v>
                </c:pt>
                <c:pt idx="27">
                  <c:v>40590.125</c:v>
                </c:pt>
                <c:pt idx="28">
                  <c:v>40590.166666666664</c:v>
                </c:pt>
                <c:pt idx="29">
                  <c:v>40590.208333333336</c:v>
                </c:pt>
                <c:pt idx="30">
                  <c:v>40590.25</c:v>
                </c:pt>
                <c:pt idx="31">
                  <c:v>40590.291666666664</c:v>
                </c:pt>
                <c:pt idx="32">
                  <c:v>40590.333333333336</c:v>
                </c:pt>
                <c:pt idx="33">
                  <c:v>40590.375</c:v>
                </c:pt>
                <c:pt idx="34">
                  <c:v>40590.416666666664</c:v>
                </c:pt>
                <c:pt idx="35">
                  <c:v>40590.458333333336</c:v>
                </c:pt>
                <c:pt idx="36">
                  <c:v>40590.5</c:v>
                </c:pt>
                <c:pt idx="37">
                  <c:v>40590.541666666664</c:v>
                </c:pt>
                <c:pt idx="38">
                  <c:v>40590.583333333336</c:v>
                </c:pt>
                <c:pt idx="39">
                  <c:v>40590.625</c:v>
                </c:pt>
                <c:pt idx="40">
                  <c:v>40590.666666666664</c:v>
                </c:pt>
                <c:pt idx="41">
                  <c:v>40590.708333333336</c:v>
                </c:pt>
                <c:pt idx="42">
                  <c:v>40590.75</c:v>
                </c:pt>
                <c:pt idx="43">
                  <c:v>40590.791666666664</c:v>
                </c:pt>
                <c:pt idx="44">
                  <c:v>40590.833333333336</c:v>
                </c:pt>
                <c:pt idx="45">
                  <c:v>40590.875</c:v>
                </c:pt>
                <c:pt idx="46">
                  <c:v>40590.916666666664</c:v>
                </c:pt>
                <c:pt idx="47">
                  <c:v>40590.958333333336</c:v>
                </c:pt>
                <c:pt idx="48">
                  <c:v>40591</c:v>
                </c:pt>
                <c:pt idx="49">
                  <c:v>40591.041666666664</c:v>
                </c:pt>
                <c:pt idx="50">
                  <c:v>40591.083333333336</c:v>
                </c:pt>
                <c:pt idx="51">
                  <c:v>40591.125</c:v>
                </c:pt>
                <c:pt idx="52">
                  <c:v>40591.166666666664</c:v>
                </c:pt>
                <c:pt idx="53">
                  <c:v>40591.208333333336</c:v>
                </c:pt>
                <c:pt idx="54">
                  <c:v>40591.25</c:v>
                </c:pt>
                <c:pt idx="55">
                  <c:v>40591.291666666664</c:v>
                </c:pt>
                <c:pt idx="56">
                  <c:v>40591.333333333336</c:v>
                </c:pt>
                <c:pt idx="57">
                  <c:v>40591.375</c:v>
                </c:pt>
                <c:pt idx="58">
                  <c:v>40591.416666666664</c:v>
                </c:pt>
                <c:pt idx="59">
                  <c:v>40591.458333333336</c:v>
                </c:pt>
                <c:pt idx="60">
                  <c:v>40591.5</c:v>
                </c:pt>
                <c:pt idx="61">
                  <c:v>40591.541666666664</c:v>
                </c:pt>
                <c:pt idx="62">
                  <c:v>40591.583333333336</c:v>
                </c:pt>
                <c:pt idx="63">
                  <c:v>40591.625</c:v>
                </c:pt>
                <c:pt idx="64">
                  <c:v>40591.666666666664</c:v>
                </c:pt>
                <c:pt idx="65">
                  <c:v>40591.708333333336</c:v>
                </c:pt>
                <c:pt idx="66">
                  <c:v>40591.75</c:v>
                </c:pt>
                <c:pt idx="67">
                  <c:v>40591.791666666664</c:v>
                </c:pt>
                <c:pt idx="68">
                  <c:v>40591.833333333336</c:v>
                </c:pt>
                <c:pt idx="69">
                  <c:v>40591.875</c:v>
                </c:pt>
                <c:pt idx="70">
                  <c:v>40591.916666666664</c:v>
                </c:pt>
                <c:pt idx="71">
                  <c:v>40591.958333333336</c:v>
                </c:pt>
                <c:pt idx="72">
                  <c:v>40592</c:v>
                </c:pt>
                <c:pt idx="73">
                  <c:v>40592.041666666664</c:v>
                </c:pt>
                <c:pt idx="74">
                  <c:v>40592.083333333336</c:v>
                </c:pt>
                <c:pt idx="75">
                  <c:v>40592.125</c:v>
                </c:pt>
                <c:pt idx="76">
                  <c:v>40592.166666666664</c:v>
                </c:pt>
                <c:pt idx="77">
                  <c:v>40592.208333333336</c:v>
                </c:pt>
                <c:pt idx="78">
                  <c:v>40592.25</c:v>
                </c:pt>
                <c:pt idx="79">
                  <c:v>40592.291666666664</c:v>
                </c:pt>
                <c:pt idx="80">
                  <c:v>40592.333333333336</c:v>
                </c:pt>
                <c:pt idx="81">
                  <c:v>40592.375</c:v>
                </c:pt>
                <c:pt idx="82">
                  <c:v>40592.416666666664</c:v>
                </c:pt>
                <c:pt idx="83">
                  <c:v>40592.458333333336</c:v>
                </c:pt>
                <c:pt idx="84">
                  <c:v>40592.5</c:v>
                </c:pt>
                <c:pt idx="85">
                  <c:v>40592.541666666664</c:v>
                </c:pt>
                <c:pt idx="86">
                  <c:v>40592.583333333336</c:v>
                </c:pt>
                <c:pt idx="87">
                  <c:v>40592.625</c:v>
                </c:pt>
                <c:pt idx="88">
                  <c:v>40592.666666666664</c:v>
                </c:pt>
                <c:pt idx="89">
                  <c:v>40592.708333333336</c:v>
                </c:pt>
                <c:pt idx="90">
                  <c:v>40592.75</c:v>
                </c:pt>
                <c:pt idx="91">
                  <c:v>40592.791666666664</c:v>
                </c:pt>
                <c:pt idx="92">
                  <c:v>40592.833333333336</c:v>
                </c:pt>
                <c:pt idx="93">
                  <c:v>40592.875</c:v>
                </c:pt>
                <c:pt idx="94">
                  <c:v>40592.916666666664</c:v>
                </c:pt>
                <c:pt idx="95">
                  <c:v>40592.958333333336</c:v>
                </c:pt>
                <c:pt idx="96">
                  <c:v>40593</c:v>
                </c:pt>
                <c:pt idx="97">
                  <c:v>40593.041666666664</c:v>
                </c:pt>
                <c:pt idx="98">
                  <c:v>40593.083333333336</c:v>
                </c:pt>
                <c:pt idx="99">
                  <c:v>40593.125</c:v>
                </c:pt>
                <c:pt idx="100">
                  <c:v>40593.166666666664</c:v>
                </c:pt>
                <c:pt idx="101">
                  <c:v>40593.208333333336</c:v>
                </c:pt>
                <c:pt idx="102">
                  <c:v>40593.25</c:v>
                </c:pt>
                <c:pt idx="103">
                  <c:v>40593.291666666664</c:v>
                </c:pt>
                <c:pt idx="104">
                  <c:v>40593.333333333336</c:v>
                </c:pt>
                <c:pt idx="105">
                  <c:v>40593.375</c:v>
                </c:pt>
                <c:pt idx="106">
                  <c:v>40593.416666666664</c:v>
                </c:pt>
                <c:pt idx="107">
                  <c:v>40593.458333333336</c:v>
                </c:pt>
                <c:pt idx="108">
                  <c:v>40593.5</c:v>
                </c:pt>
                <c:pt idx="109">
                  <c:v>40593.541666666664</c:v>
                </c:pt>
                <c:pt idx="110">
                  <c:v>40593.583333333336</c:v>
                </c:pt>
                <c:pt idx="111">
                  <c:v>40593.625</c:v>
                </c:pt>
                <c:pt idx="112">
                  <c:v>40593.666666666664</c:v>
                </c:pt>
                <c:pt idx="113">
                  <c:v>40593.708333333336</c:v>
                </c:pt>
                <c:pt idx="114">
                  <c:v>40593.75</c:v>
                </c:pt>
                <c:pt idx="115">
                  <c:v>40593.791666666664</c:v>
                </c:pt>
                <c:pt idx="116">
                  <c:v>40593.833333333336</c:v>
                </c:pt>
                <c:pt idx="117">
                  <c:v>40593.875</c:v>
                </c:pt>
                <c:pt idx="118">
                  <c:v>40593.916666666664</c:v>
                </c:pt>
                <c:pt idx="119">
                  <c:v>40593.958333333336</c:v>
                </c:pt>
                <c:pt idx="120">
                  <c:v>40594</c:v>
                </c:pt>
                <c:pt idx="121">
                  <c:v>40594.041666666664</c:v>
                </c:pt>
                <c:pt idx="122">
                  <c:v>40594.083333333336</c:v>
                </c:pt>
                <c:pt idx="123">
                  <c:v>40594.125</c:v>
                </c:pt>
                <c:pt idx="124">
                  <c:v>40594.166666666664</c:v>
                </c:pt>
                <c:pt idx="125">
                  <c:v>40594.208333333336</c:v>
                </c:pt>
                <c:pt idx="126">
                  <c:v>40594.25</c:v>
                </c:pt>
                <c:pt idx="127">
                  <c:v>40594.291666666664</c:v>
                </c:pt>
                <c:pt idx="128">
                  <c:v>40594.333333333336</c:v>
                </c:pt>
                <c:pt idx="129">
                  <c:v>40594.375</c:v>
                </c:pt>
                <c:pt idx="130">
                  <c:v>40594.416666666664</c:v>
                </c:pt>
                <c:pt idx="131">
                  <c:v>40594.458333333336</c:v>
                </c:pt>
                <c:pt idx="132">
                  <c:v>40594.5</c:v>
                </c:pt>
                <c:pt idx="133">
                  <c:v>40594.541666666664</c:v>
                </c:pt>
                <c:pt idx="134">
                  <c:v>40594.583333333336</c:v>
                </c:pt>
                <c:pt idx="135">
                  <c:v>40594.625</c:v>
                </c:pt>
                <c:pt idx="136">
                  <c:v>40594.666666666664</c:v>
                </c:pt>
                <c:pt idx="137">
                  <c:v>40594.708333333336</c:v>
                </c:pt>
                <c:pt idx="138">
                  <c:v>40594.75</c:v>
                </c:pt>
                <c:pt idx="139">
                  <c:v>40594.791666666664</c:v>
                </c:pt>
                <c:pt idx="140">
                  <c:v>40594.833333333336</c:v>
                </c:pt>
                <c:pt idx="141">
                  <c:v>40594.875</c:v>
                </c:pt>
                <c:pt idx="142">
                  <c:v>40594.916666666664</c:v>
                </c:pt>
                <c:pt idx="143">
                  <c:v>40594.958333333336</c:v>
                </c:pt>
                <c:pt idx="144">
                  <c:v>40595</c:v>
                </c:pt>
                <c:pt idx="145">
                  <c:v>40595.041666666664</c:v>
                </c:pt>
                <c:pt idx="146">
                  <c:v>40595.083333333336</c:v>
                </c:pt>
                <c:pt idx="147">
                  <c:v>40595.125</c:v>
                </c:pt>
                <c:pt idx="148">
                  <c:v>40595.166666666664</c:v>
                </c:pt>
                <c:pt idx="149">
                  <c:v>40595.208333333336</c:v>
                </c:pt>
                <c:pt idx="150">
                  <c:v>40595.25</c:v>
                </c:pt>
                <c:pt idx="151">
                  <c:v>40595.291666666664</c:v>
                </c:pt>
                <c:pt idx="152">
                  <c:v>40595.333333333336</c:v>
                </c:pt>
                <c:pt idx="153">
                  <c:v>40595.375</c:v>
                </c:pt>
                <c:pt idx="154">
                  <c:v>40595.416666666664</c:v>
                </c:pt>
                <c:pt idx="155">
                  <c:v>40595.458333333336</c:v>
                </c:pt>
                <c:pt idx="156">
                  <c:v>40595.5</c:v>
                </c:pt>
                <c:pt idx="157">
                  <c:v>40595.541666666664</c:v>
                </c:pt>
                <c:pt idx="158">
                  <c:v>40595.583333333336</c:v>
                </c:pt>
                <c:pt idx="159">
                  <c:v>40595.625</c:v>
                </c:pt>
                <c:pt idx="160">
                  <c:v>40595.666666666664</c:v>
                </c:pt>
                <c:pt idx="161">
                  <c:v>40595.708333333336</c:v>
                </c:pt>
                <c:pt idx="162">
                  <c:v>40595.75</c:v>
                </c:pt>
                <c:pt idx="163">
                  <c:v>40595.791666666664</c:v>
                </c:pt>
                <c:pt idx="164">
                  <c:v>40595.833333333336</c:v>
                </c:pt>
                <c:pt idx="165">
                  <c:v>40595.875</c:v>
                </c:pt>
                <c:pt idx="166">
                  <c:v>40595.916666666664</c:v>
                </c:pt>
                <c:pt idx="167">
                  <c:v>40595.958333333336</c:v>
                </c:pt>
                <c:pt idx="168">
                  <c:v>40596</c:v>
                </c:pt>
                <c:pt idx="169">
                  <c:v>40596.041666666664</c:v>
                </c:pt>
                <c:pt idx="170">
                  <c:v>40596.083333333328</c:v>
                </c:pt>
                <c:pt idx="171">
                  <c:v>40596.124999999993</c:v>
                </c:pt>
                <c:pt idx="172">
                  <c:v>40596.166666666657</c:v>
                </c:pt>
                <c:pt idx="173">
                  <c:v>40596.208333333321</c:v>
                </c:pt>
                <c:pt idx="174">
                  <c:v>40596.249999999985</c:v>
                </c:pt>
                <c:pt idx="175">
                  <c:v>40596.29166666665</c:v>
                </c:pt>
                <c:pt idx="176">
                  <c:v>40596.333333333314</c:v>
                </c:pt>
                <c:pt idx="177">
                  <c:v>40596.374999999978</c:v>
                </c:pt>
                <c:pt idx="178">
                  <c:v>40596.416666666642</c:v>
                </c:pt>
                <c:pt idx="179">
                  <c:v>40596.458333333307</c:v>
                </c:pt>
                <c:pt idx="180">
                  <c:v>40596.499999999971</c:v>
                </c:pt>
                <c:pt idx="181">
                  <c:v>40596.541666666635</c:v>
                </c:pt>
                <c:pt idx="182">
                  <c:v>40596.583333333299</c:v>
                </c:pt>
                <c:pt idx="183">
                  <c:v>40596.624999999964</c:v>
                </c:pt>
                <c:pt idx="184">
                  <c:v>40596.666666666628</c:v>
                </c:pt>
                <c:pt idx="185">
                  <c:v>40596.708333333292</c:v>
                </c:pt>
                <c:pt idx="186">
                  <c:v>40596.749999999956</c:v>
                </c:pt>
                <c:pt idx="187">
                  <c:v>40596.791666666621</c:v>
                </c:pt>
                <c:pt idx="188">
                  <c:v>40596.833333333285</c:v>
                </c:pt>
                <c:pt idx="189">
                  <c:v>40596.874999999949</c:v>
                </c:pt>
                <c:pt idx="190">
                  <c:v>40596.916666666613</c:v>
                </c:pt>
                <c:pt idx="191">
                  <c:v>40596.958333333278</c:v>
                </c:pt>
                <c:pt idx="192">
                  <c:v>40596.999999999942</c:v>
                </c:pt>
                <c:pt idx="193">
                  <c:v>40597.041666666606</c:v>
                </c:pt>
                <c:pt idx="194">
                  <c:v>40597.08333333327</c:v>
                </c:pt>
                <c:pt idx="195">
                  <c:v>40597.124999999935</c:v>
                </c:pt>
                <c:pt idx="196">
                  <c:v>40597.166666666599</c:v>
                </c:pt>
                <c:pt idx="197">
                  <c:v>40597.208333333263</c:v>
                </c:pt>
                <c:pt idx="198">
                  <c:v>40597.249999999927</c:v>
                </c:pt>
                <c:pt idx="199">
                  <c:v>40597.291666666591</c:v>
                </c:pt>
                <c:pt idx="200">
                  <c:v>40597.333333333256</c:v>
                </c:pt>
                <c:pt idx="201">
                  <c:v>40597.37499999992</c:v>
                </c:pt>
                <c:pt idx="202">
                  <c:v>40597.416666666584</c:v>
                </c:pt>
                <c:pt idx="203">
                  <c:v>40597.458333333248</c:v>
                </c:pt>
                <c:pt idx="204">
                  <c:v>40597.499999999913</c:v>
                </c:pt>
                <c:pt idx="205">
                  <c:v>40597.541666666577</c:v>
                </c:pt>
                <c:pt idx="206">
                  <c:v>40597.583333333241</c:v>
                </c:pt>
                <c:pt idx="207">
                  <c:v>40597.624999999905</c:v>
                </c:pt>
                <c:pt idx="208">
                  <c:v>40597.66666666657</c:v>
                </c:pt>
                <c:pt idx="209">
                  <c:v>40597.708333333234</c:v>
                </c:pt>
                <c:pt idx="210">
                  <c:v>40597.749999999898</c:v>
                </c:pt>
                <c:pt idx="211">
                  <c:v>40597.791666666562</c:v>
                </c:pt>
                <c:pt idx="212">
                  <c:v>40597.833333333227</c:v>
                </c:pt>
                <c:pt idx="213">
                  <c:v>40597.874999999891</c:v>
                </c:pt>
                <c:pt idx="214">
                  <c:v>40597.916666666555</c:v>
                </c:pt>
                <c:pt idx="215">
                  <c:v>40597.958333333219</c:v>
                </c:pt>
              </c:numCache>
            </c:numRef>
          </c:cat>
          <c:val>
            <c:numRef>
              <c:f>FORECAST_SHEET!$E$2:$E$217</c:f>
              <c:numCache>
                <c:formatCode>General</c:formatCode>
                <c:ptCount val="216"/>
                <c:pt idx="167" formatCode="0.00">
                  <c:v>16.666666666666668</c:v>
                </c:pt>
                <c:pt idx="168" formatCode="0.00">
                  <c:v>64.327288878753336</c:v>
                </c:pt>
                <c:pt idx="169" formatCode="0.00">
                  <c:v>59.193995546807294</c:v>
                </c:pt>
                <c:pt idx="170" formatCode="0.00">
                  <c:v>55.255500636341395</c:v>
                </c:pt>
                <c:pt idx="171" formatCode="0.00">
                  <c:v>51.878224175811418</c:v>
                </c:pt>
                <c:pt idx="172" formatCode="0.00">
                  <c:v>49.74857935144275</c:v>
                </c:pt>
                <c:pt idx="173" formatCode="0.00">
                  <c:v>51.751829237420971</c:v>
                </c:pt>
                <c:pt idx="174" formatCode="0.00">
                  <c:v>64.578316266036154</c:v>
                </c:pt>
                <c:pt idx="175" formatCode="0.00">
                  <c:v>95.691611210774411</c:v>
                </c:pt>
                <c:pt idx="176" formatCode="0.00">
                  <c:v>159.31129214404569</c:v>
                </c:pt>
                <c:pt idx="177" formatCode="0.00">
                  <c:v>122.67182340023246</c:v>
                </c:pt>
                <c:pt idx="178" formatCode="0.00">
                  <c:v>103.84674802748054</c:v>
                </c:pt>
                <c:pt idx="179" formatCode="0.00">
                  <c:v>108.93132322807379</c:v>
                </c:pt>
                <c:pt idx="180" formatCode="0.00">
                  <c:v>129.07071625998117</c:v>
                </c:pt>
                <c:pt idx="181" formatCode="0.00">
                  <c:v>129.06836742888308</c:v>
                </c:pt>
                <c:pt idx="182" formatCode="0.00">
                  <c:v>129.42894834599809</c:v>
                </c:pt>
                <c:pt idx="183" formatCode="0.00">
                  <c:v>129.23783587243784</c:v>
                </c:pt>
                <c:pt idx="184" formatCode="0.00">
                  <c:v>140.73606340227391</c:v>
                </c:pt>
                <c:pt idx="185" formatCode="0.00">
                  <c:v>183.17974446391531</c:v>
                </c:pt>
                <c:pt idx="186" formatCode="0.00">
                  <c:v>165.4973262873292</c:v>
                </c:pt>
                <c:pt idx="187" formatCode="0.00">
                  <c:v>130.73660641857271</c:v>
                </c:pt>
                <c:pt idx="188" formatCode="0.00">
                  <c:v>106.46097814673335</c:v>
                </c:pt>
                <c:pt idx="189" formatCode="0.00">
                  <c:v>94.264245486877485</c:v>
                </c:pt>
                <c:pt idx="190" formatCode="0.00">
                  <c:v>78.824795575738577</c:v>
                </c:pt>
                <c:pt idx="191" formatCode="0.00">
                  <c:v>70.422054102037748</c:v>
                </c:pt>
                <c:pt idx="192" formatCode="0.00">
                  <c:v>69.702079688785204</c:v>
                </c:pt>
                <c:pt idx="193" formatCode="0.00">
                  <c:v>64.586425943470033</c:v>
                </c:pt>
                <c:pt idx="194" formatCode="0.00">
                  <c:v>60.666720113475776</c:v>
                </c:pt>
                <c:pt idx="195" formatCode="0.00">
                  <c:v>57.309374461027346</c:v>
                </c:pt>
                <c:pt idx="196" formatCode="0.00">
                  <c:v>55.200794259091651</c:v>
                </c:pt>
                <c:pt idx="197" formatCode="0.00">
                  <c:v>57.226234513894596</c:v>
                </c:pt>
                <c:pt idx="198" formatCode="0.00">
                  <c:v>70.076029427664324</c:v>
                </c:pt>
                <c:pt idx="199" formatCode="0.00">
                  <c:v>101.21374137460387</c:v>
                </c:pt>
                <c:pt idx="200" formatCode="0.00">
                  <c:v>164.85893985179231</c:v>
                </c:pt>
                <c:pt idx="201" formatCode="0.00">
                  <c:v>128.24608043570862</c:v>
                </c:pt>
                <c:pt idx="202" formatCode="0.00">
                  <c:v>109.44869722781027</c:v>
                </c:pt>
                <c:pt idx="203" formatCode="0.00">
                  <c:v>114.56203828901803</c:v>
                </c:pt>
                <c:pt idx="204" formatCode="0.00">
                  <c:v>134.73126153570652</c:v>
                </c:pt>
                <c:pt idx="205" formatCode="0.00">
                  <c:v>134.75979772651783</c:v>
                </c:pt>
                <c:pt idx="206" formatCode="0.00">
                  <c:v>135.15230871532935</c:v>
                </c:pt>
                <c:pt idx="207" formatCode="0.00">
                  <c:v>134.99416139111486</c:v>
                </c:pt>
                <c:pt idx="208" formatCode="0.00">
                  <c:v>146.52637895689219</c:v>
                </c:pt>
                <c:pt idx="209" formatCode="0.00">
                  <c:v>189.00506452736735</c:v>
                </c:pt>
                <c:pt idx="210" formatCode="0.00">
                  <c:v>171.35865469281609</c:v>
                </c:pt>
                <c:pt idx="211" formatCode="0.00">
                  <c:v>136.63493613068229</c:v>
                </c:pt>
                <c:pt idx="212" formatCode="0.00">
                  <c:v>112.39729102999846</c:v>
                </c:pt>
                <c:pt idx="213" formatCode="0.00">
                  <c:v>100.23951207223757</c:v>
                </c:pt>
                <c:pt idx="214" formatCode="0.00">
                  <c:v>84.839974825336213</c:v>
                </c:pt>
                <c:pt idx="215" formatCode="0.00">
                  <c:v>76.478093172789173</c:v>
                </c:pt>
              </c:numCache>
            </c:numRef>
          </c:val>
          <c:smooth val="0"/>
          <c:extLst>
            <c:ext xmlns:c16="http://schemas.microsoft.com/office/drawing/2014/chart" uri="{C3380CC4-5D6E-409C-BE32-E72D297353CC}">
              <c16:uniqueId val="{00000003-77EF-46EB-9D3C-C6C92DBC576B}"/>
            </c:ext>
          </c:extLst>
        </c:ser>
        <c:dLbls>
          <c:showLegendKey val="0"/>
          <c:showVal val="0"/>
          <c:showCatName val="0"/>
          <c:showSerName val="0"/>
          <c:showPercent val="0"/>
          <c:showBubbleSize val="0"/>
        </c:dLbls>
        <c:smooth val="0"/>
        <c:axId val="785403960"/>
        <c:axId val="785408888"/>
      </c:lineChart>
      <c:catAx>
        <c:axId val="785403960"/>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5408888"/>
        <c:crosses val="autoZero"/>
        <c:auto val="1"/>
        <c:lblAlgn val="ctr"/>
        <c:lblOffset val="100"/>
        <c:noMultiLvlLbl val="0"/>
      </c:catAx>
      <c:valAx>
        <c:axId val="7854088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54039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[NB_BIKE_PROJECT.xlsx]KPI_AND_PIVOT_TABLE!PivotTable1</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KPI_AND_PIVOT_TABLE!$B$1</c:f>
              <c:strCache>
                <c:ptCount val="1"/>
                <c:pt idx="0">
                  <c:v>Total</c:v>
                </c:pt>
              </c:strCache>
            </c:strRef>
          </c:tx>
          <c:spPr>
            <a:solidFill>
              <a:schemeClr val="accent1"/>
            </a:solidFill>
            <a:ln>
              <a:noFill/>
            </a:ln>
            <a:effectLst/>
          </c:spPr>
          <c:invertIfNegative val="0"/>
          <c:cat>
            <c:strRef>
              <c:f>KPI_AND_PIVOT_TABLE!$A$2:$A$5</c:f>
              <c:strCache>
                <c:ptCount val="3"/>
                <c:pt idx="0">
                  <c:v>Holiday</c:v>
                </c:pt>
                <c:pt idx="1">
                  <c:v>Weedend</c:v>
                </c:pt>
                <c:pt idx="2">
                  <c:v>Weekday</c:v>
                </c:pt>
              </c:strCache>
            </c:strRef>
          </c:cat>
          <c:val>
            <c:numRef>
              <c:f>KPI_AND_PIVOT_TABLE!$B$2:$B$5</c:f>
              <c:numCache>
                <c:formatCode>General</c:formatCode>
                <c:ptCount val="3"/>
                <c:pt idx="0">
                  <c:v>1000</c:v>
                </c:pt>
                <c:pt idx="1">
                  <c:v>15869</c:v>
                </c:pt>
                <c:pt idx="2">
                  <c:v>41435</c:v>
                </c:pt>
              </c:numCache>
            </c:numRef>
          </c:val>
          <c:extLst>
            <c:ext xmlns:c16="http://schemas.microsoft.com/office/drawing/2014/chart" uri="{C3380CC4-5D6E-409C-BE32-E72D297353CC}">
              <c16:uniqueId val="{00000000-FD31-4563-ADE5-7ED929BB1D32}"/>
            </c:ext>
          </c:extLst>
        </c:ser>
        <c:dLbls>
          <c:showLegendKey val="0"/>
          <c:showVal val="0"/>
          <c:showCatName val="0"/>
          <c:showSerName val="0"/>
          <c:showPercent val="0"/>
          <c:showBubbleSize val="0"/>
        </c:dLbls>
        <c:gapWidth val="182"/>
        <c:axId val="37530727"/>
        <c:axId val="37534951"/>
      </c:barChart>
      <c:catAx>
        <c:axId val="375307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34951"/>
        <c:crosses val="autoZero"/>
        <c:auto val="1"/>
        <c:lblAlgn val="ctr"/>
        <c:lblOffset val="100"/>
        <c:noMultiLvlLbl val="0"/>
      </c:catAx>
      <c:valAx>
        <c:axId val="375349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30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[NB_BIKE_PROJECT.xlsx]KPI_AND_PIVOT_TABLE!PivotTable2</c:name>
    <c:fmtId val="1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KPI_AND_PIVOT_TABLE!$E$1</c:f>
              <c:strCache>
                <c:ptCount val="1"/>
                <c:pt idx="0">
                  <c:v>Total</c:v>
                </c:pt>
              </c:strCache>
            </c:strRef>
          </c:tx>
          <c:spPr>
            <a:solidFill>
              <a:schemeClr val="accent1"/>
            </a:solidFill>
            <a:ln>
              <a:noFill/>
            </a:ln>
            <a:effectLst/>
          </c:spPr>
          <c:invertIfNegative val="0"/>
          <c:cat>
            <c:strRef>
              <c:f>KPI_AND_PIVOT_TABLE!$D$2:$D$9</c:f>
              <c:strCache>
                <c:ptCount val="7"/>
                <c:pt idx="0">
                  <c:v>Sunday</c:v>
                </c:pt>
                <c:pt idx="1">
                  <c:v>Monday</c:v>
                </c:pt>
                <c:pt idx="2">
                  <c:v>Tuesday</c:v>
                </c:pt>
                <c:pt idx="3">
                  <c:v>Wednesday</c:v>
                </c:pt>
                <c:pt idx="4">
                  <c:v>Thursday</c:v>
                </c:pt>
                <c:pt idx="5">
                  <c:v>Friday</c:v>
                </c:pt>
                <c:pt idx="6">
                  <c:v>Saturday</c:v>
                </c:pt>
              </c:strCache>
            </c:strRef>
          </c:cat>
          <c:val>
            <c:numRef>
              <c:f>KPI_AND_PIVOT_TABLE!$E$2:$E$9</c:f>
              <c:numCache>
                <c:formatCode>General</c:formatCode>
                <c:ptCount val="7"/>
                <c:pt idx="0">
                  <c:v>49.518292682926827</c:v>
                </c:pt>
                <c:pt idx="1">
                  <c:v>56.711409395973156</c:v>
                </c:pt>
                <c:pt idx="2">
                  <c:v>66.00787401574803</c:v>
                </c:pt>
                <c:pt idx="3">
                  <c:v>61.44274809160305</c:v>
                </c:pt>
                <c:pt idx="4">
                  <c:v>67.664000000000001</c:v>
                </c:pt>
                <c:pt idx="5">
                  <c:v>65.905797101449281</c:v>
                </c:pt>
                <c:pt idx="6">
                  <c:v>46.674698795180724</c:v>
                </c:pt>
              </c:numCache>
            </c:numRef>
          </c:val>
          <c:extLst>
            <c:ext xmlns:c16="http://schemas.microsoft.com/office/drawing/2014/chart" uri="{C3380CC4-5D6E-409C-BE32-E72D297353CC}">
              <c16:uniqueId val="{00000000-B058-496B-823D-09828241B395}"/>
            </c:ext>
          </c:extLst>
        </c:ser>
        <c:dLbls>
          <c:showLegendKey val="0"/>
          <c:showVal val="0"/>
          <c:showCatName val="0"/>
          <c:showSerName val="0"/>
          <c:showPercent val="0"/>
          <c:showBubbleSize val="0"/>
        </c:dLbls>
        <c:gapWidth val="182"/>
        <c:axId val="907504136"/>
        <c:axId val="907505896"/>
      </c:barChart>
      <c:catAx>
        <c:axId val="907504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505896"/>
        <c:crosses val="autoZero"/>
        <c:auto val="1"/>
        <c:lblAlgn val="ctr"/>
        <c:lblOffset val="100"/>
        <c:noMultiLvlLbl val="0"/>
      </c:catAx>
      <c:valAx>
        <c:axId val="90750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5041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[NB_BIKE_PROJECT.xlsx]KPI_AND_PIVOT_TABLE!PivotTable3</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KPI_AND_PIVOT_TABLE!$B$7</c:f>
              <c:strCache>
                <c:ptCount val="1"/>
                <c:pt idx="0">
                  <c:v>Total</c:v>
                </c:pt>
              </c:strCache>
            </c:strRef>
          </c:tx>
          <c:spPr>
            <a:ln w="28575" cap="rnd">
              <a:solidFill>
                <a:schemeClr val="accent1"/>
              </a:solidFill>
              <a:round/>
            </a:ln>
            <a:effectLst/>
          </c:spPr>
          <c:marker>
            <c:symbol val="none"/>
          </c:marker>
          <c:cat>
            <c:strRef>
              <c:f>KPI_AND_PIVOT_TABLE!$A$8:$A$32</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KPI_AND_PIVOT_TABLE!$B$8:$B$32</c:f>
              <c:numCache>
                <c:formatCode>General</c:formatCode>
                <c:ptCount val="24"/>
                <c:pt idx="0">
                  <c:v>16.348837209302324</c:v>
                </c:pt>
                <c:pt idx="1">
                  <c:v>10.697674418604651</c:v>
                </c:pt>
                <c:pt idx="2">
                  <c:v>7.1707317073170733</c:v>
                </c:pt>
                <c:pt idx="3">
                  <c:v>4.870967741935484</c:v>
                </c:pt>
                <c:pt idx="4">
                  <c:v>2.15625</c:v>
                </c:pt>
                <c:pt idx="5">
                  <c:v>4.2051282051282053</c:v>
                </c:pt>
                <c:pt idx="6">
                  <c:v>19.571428571428573</c:v>
                </c:pt>
                <c:pt idx="7">
                  <c:v>54.395348837209305</c:v>
                </c:pt>
                <c:pt idx="8">
                  <c:v>128.28571428571428</c:v>
                </c:pt>
                <c:pt idx="9">
                  <c:v>87.428571428571431</c:v>
                </c:pt>
                <c:pt idx="10">
                  <c:v>53.642857142857146</c:v>
                </c:pt>
                <c:pt idx="11">
                  <c:v>59.38095238095238</c:v>
                </c:pt>
                <c:pt idx="12">
                  <c:v>76.348837209302332</c:v>
                </c:pt>
                <c:pt idx="13">
                  <c:v>78.511627906976742</c:v>
                </c:pt>
                <c:pt idx="14">
                  <c:v>74.418604651162795</c:v>
                </c:pt>
                <c:pt idx="15">
                  <c:v>77.95348837209302</c:v>
                </c:pt>
                <c:pt idx="16">
                  <c:v>89.272727272727266</c:v>
                </c:pt>
                <c:pt idx="17">
                  <c:v>140.20454545454547</c:v>
                </c:pt>
                <c:pt idx="18">
                  <c:v>122.86046511627907</c:v>
                </c:pt>
                <c:pt idx="19">
                  <c:v>85.139534883720927</c:v>
                </c:pt>
                <c:pt idx="20">
                  <c:v>61.767441860465119</c:v>
                </c:pt>
                <c:pt idx="21">
                  <c:v>46.418604651162788</c:v>
                </c:pt>
                <c:pt idx="22">
                  <c:v>35.069767441860463</c:v>
                </c:pt>
                <c:pt idx="23">
                  <c:v>25.186046511627907</c:v>
                </c:pt>
              </c:numCache>
            </c:numRef>
          </c:val>
          <c:smooth val="0"/>
          <c:extLst>
            <c:ext xmlns:c16="http://schemas.microsoft.com/office/drawing/2014/chart" uri="{C3380CC4-5D6E-409C-BE32-E72D297353CC}">
              <c16:uniqueId val="{00000000-9209-44D9-B84D-201B7E23DF06}"/>
            </c:ext>
          </c:extLst>
        </c:ser>
        <c:dLbls>
          <c:showLegendKey val="0"/>
          <c:showVal val="0"/>
          <c:showCatName val="0"/>
          <c:showSerName val="0"/>
          <c:showPercent val="0"/>
          <c:showBubbleSize val="0"/>
        </c:dLbls>
        <c:smooth val="0"/>
        <c:axId val="157112847"/>
        <c:axId val="157113199"/>
      </c:lineChart>
      <c:catAx>
        <c:axId val="157112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113199"/>
        <c:crosses val="autoZero"/>
        <c:auto val="1"/>
        <c:lblAlgn val="ctr"/>
        <c:lblOffset val="100"/>
        <c:noMultiLvlLbl val="0"/>
      </c:catAx>
      <c:valAx>
        <c:axId val="157113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112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[NB_BIKE_PROJECT.xlsx]KPI_AND_PIVOT_TABLE!PivotTable5</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KPI_AND_PIVOT_TABLE!$B$34</c:f>
              <c:strCache>
                <c:ptCount val="1"/>
                <c:pt idx="0">
                  <c:v>Total</c:v>
                </c:pt>
              </c:strCache>
            </c:strRef>
          </c:tx>
          <c:spPr>
            <a:solidFill>
              <a:schemeClr val="accent1"/>
            </a:solidFill>
            <a:ln>
              <a:noFill/>
            </a:ln>
            <a:effectLst/>
          </c:spPr>
          <c:invertIfNegative val="0"/>
          <c:cat>
            <c:strRef>
              <c:f>KPI_AND_PIVOT_TABLE!$A$35:$A$39</c:f>
              <c:strCache>
                <c:ptCount val="4"/>
                <c:pt idx="0">
                  <c:v>Clear</c:v>
                </c:pt>
                <c:pt idx="1">
                  <c:v>Cloudy</c:v>
                </c:pt>
                <c:pt idx="2">
                  <c:v>Heavy Rain</c:v>
                </c:pt>
                <c:pt idx="3">
                  <c:v>Rain Fall</c:v>
                </c:pt>
              </c:strCache>
            </c:strRef>
          </c:cat>
          <c:val>
            <c:numRef>
              <c:f>KPI_AND_PIVOT_TABLE!$B$35:$B$39</c:f>
              <c:numCache>
                <c:formatCode>General</c:formatCode>
                <c:ptCount val="4"/>
                <c:pt idx="0">
                  <c:v>12.051155115511552</c:v>
                </c:pt>
                <c:pt idx="1">
                  <c:v>11.407766990291263</c:v>
                </c:pt>
                <c:pt idx="2">
                  <c:v>16</c:v>
                </c:pt>
                <c:pt idx="3">
                  <c:v>10.821428571428571</c:v>
                </c:pt>
              </c:numCache>
            </c:numRef>
          </c:val>
          <c:extLst>
            <c:ext xmlns:c16="http://schemas.microsoft.com/office/drawing/2014/chart" uri="{C3380CC4-5D6E-409C-BE32-E72D297353CC}">
              <c16:uniqueId val="{00000000-18DC-48D9-9E04-1968D9695AC4}"/>
            </c:ext>
          </c:extLst>
        </c:ser>
        <c:dLbls>
          <c:showLegendKey val="0"/>
          <c:showVal val="0"/>
          <c:showCatName val="0"/>
          <c:showSerName val="0"/>
          <c:showPercent val="0"/>
          <c:showBubbleSize val="0"/>
        </c:dLbls>
        <c:gapWidth val="219"/>
        <c:overlap val="-27"/>
        <c:axId val="157156143"/>
        <c:axId val="157156847"/>
      </c:barChart>
      <c:catAx>
        <c:axId val="15715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156847"/>
        <c:crosses val="autoZero"/>
        <c:auto val="1"/>
        <c:lblAlgn val="ctr"/>
        <c:lblOffset val="100"/>
        <c:noMultiLvlLbl val="0"/>
      </c:catAx>
      <c:valAx>
        <c:axId val="157156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15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[NB_BIKE_PROJECT.xlsx]KPI_AND_PIVOT_TABLE!PivotTable6</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pieChart>
        <c:varyColors val="1"/>
        <c:ser>
          <c:idx val="0"/>
          <c:order val="0"/>
          <c:tx>
            <c:strRef>
              <c:f>KPI_AND_PIVOT_TABLE!$E$44</c:f>
              <c:strCache>
                <c:ptCount val="1"/>
                <c:pt idx="0">
                  <c:v>Average of registered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8DF-43EF-80E8-2E58CB0C6D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8DF-43EF-80E8-2E58CB0C6DEA}"/>
              </c:ext>
            </c:extLst>
          </c:dPt>
          <c:cat>
            <c:strRef>
              <c:f>KPI_AND_PIVOT_TABLE!$D$45:$D$47</c:f>
              <c:strCache>
                <c:ptCount val="2"/>
                <c:pt idx="0">
                  <c:v>January</c:v>
                </c:pt>
                <c:pt idx="1">
                  <c:v>February</c:v>
                </c:pt>
              </c:strCache>
            </c:strRef>
          </c:cat>
          <c:val>
            <c:numRef>
              <c:f>KPI_AND_PIVOT_TABLE!$E$45:$E$47</c:f>
              <c:numCache>
                <c:formatCode>General</c:formatCode>
                <c:ptCount val="2"/>
                <c:pt idx="0">
                  <c:v>51.040697674418603</c:v>
                </c:pt>
                <c:pt idx="1">
                  <c:v>58.54807692307692</c:v>
                </c:pt>
              </c:numCache>
            </c:numRef>
          </c:val>
          <c:extLst>
            <c:ext xmlns:c16="http://schemas.microsoft.com/office/drawing/2014/chart" uri="{C3380CC4-5D6E-409C-BE32-E72D297353CC}">
              <c16:uniqueId val="{00000000-468C-4EBE-AB3A-8CDD911784FE}"/>
            </c:ext>
          </c:extLst>
        </c:ser>
        <c:ser>
          <c:idx val="1"/>
          <c:order val="1"/>
          <c:tx>
            <c:strRef>
              <c:f>KPI_AND_PIVOT_TABLE!$F$44</c:f>
              <c:strCache>
                <c:ptCount val="1"/>
                <c:pt idx="0">
                  <c:v>Average of casual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88DF-43EF-80E8-2E58CB0C6D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88DF-43EF-80E8-2E58CB0C6DEA}"/>
              </c:ext>
            </c:extLst>
          </c:dPt>
          <c:cat>
            <c:strRef>
              <c:f>KPI_AND_PIVOT_TABLE!$D$45:$D$47</c:f>
              <c:strCache>
                <c:ptCount val="2"/>
                <c:pt idx="0">
                  <c:v>January</c:v>
                </c:pt>
                <c:pt idx="1">
                  <c:v>February</c:v>
                </c:pt>
              </c:strCache>
            </c:strRef>
          </c:cat>
          <c:val>
            <c:numRef>
              <c:f>KPI_AND_PIVOT_TABLE!$F$45:$F$47</c:f>
              <c:numCache>
                <c:formatCode>General</c:formatCode>
                <c:ptCount val="2"/>
                <c:pt idx="0">
                  <c:v>4.4665697674418601</c:v>
                </c:pt>
                <c:pt idx="1">
                  <c:v>5.9230769230769234</c:v>
                </c:pt>
              </c:numCache>
            </c:numRef>
          </c:val>
          <c:extLst>
            <c:ext xmlns:c16="http://schemas.microsoft.com/office/drawing/2014/chart" uri="{C3380CC4-5D6E-409C-BE32-E72D297353CC}">
              <c16:uniqueId val="{00000001-468C-4EBE-AB3A-8CDD911784F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[NB_BIKE_PROJECT.xlsx]KPI_AND_PIVOT_TABLE!PivotTable2</c:name>
    <c:fmtId val="1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KPI_AND_PIVOT_TABLE!$E$1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KPI_AND_PIVOT_TABLE!$D$2:$D$9</c:f>
              <c:strCache>
                <c:ptCount val="7"/>
                <c:pt idx="0">
                  <c:v>Sunday</c:v>
                </c:pt>
                <c:pt idx="1">
                  <c:v>Monday</c:v>
                </c:pt>
                <c:pt idx="2">
                  <c:v>Tuesday</c:v>
                </c:pt>
                <c:pt idx="3">
                  <c:v>Wednesday</c:v>
                </c:pt>
                <c:pt idx="4">
                  <c:v>Thursday</c:v>
                </c:pt>
                <c:pt idx="5">
                  <c:v>Friday</c:v>
                </c:pt>
                <c:pt idx="6">
                  <c:v>Saturday</c:v>
                </c:pt>
              </c:strCache>
            </c:strRef>
          </c:cat>
          <c:val>
            <c:numRef>
              <c:f>KPI_AND_PIVOT_TABLE!$E$2:$E$9</c:f>
              <c:numCache>
                <c:formatCode>General</c:formatCode>
                <c:ptCount val="7"/>
                <c:pt idx="0">
                  <c:v>49.518292682926827</c:v>
                </c:pt>
                <c:pt idx="1">
                  <c:v>56.711409395973156</c:v>
                </c:pt>
                <c:pt idx="2">
                  <c:v>66.00787401574803</c:v>
                </c:pt>
                <c:pt idx="3">
                  <c:v>61.44274809160305</c:v>
                </c:pt>
                <c:pt idx="4">
                  <c:v>67.664000000000001</c:v>
                </c:pt>
                <c:pt idx="5">
                  <c:v>65.905797101449281</c:v>
                </c:pt>
                <c:pt idx="6">
                  <c:v>46.674698795180724</c:v>
                </c:pt>
              </c:numCache>
            </c:numRef>
          </c:val>
          <c:extLst>
            <c:ext xmlns:c16="http://schemas.microsoft.com/office/drawing/2014/chart" uri="{C3380CC4-5D6E-409C-BE32-E72D297353CC}">
              <c16:uniqueId val="{00000000-C912-4ED0-BB82-B434EE199359}"/>
            </c:ext>
          </c:extLst>
        </c:ser>
        <c:dLbls>
          <c:dLblPos val="outEnd"/>
          <c:showLegendKey val="0"/>
          <c:showVal val="1"/>
          <c:showCatName val="0"/>
          <c:showSerName val="0"/>
          <c:showPercent val="0"/>
          <c:showBubbleSize val="0"/>
        </c:dLbls>
        <c:gapWidth val="182"/>
        <c:axId val="907504136"/>
        <c:axId val="907505896"/>
      </c:barChart>
      <c:catAx>
        <c:axId val="907504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505896"/>
        <c:crosses val="autoZero"/>
        <c:auto val="1"/>
        <c:lblAlgn val="ctr"/>
        <c:lblOffset val="100"/>
        <c:noMultiLvlLbl val="0"/>
      </c:catAx>
      <c:valAx>
        <c:axId val="90750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7504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[NB_BIKE_PROJECT.xlsx]KPI_AND_PIVOT_TABLE!PivotTable3</c:name>
    <c:fmtId val="11"/>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KPI_AND_PIVOT_TABLE!$B$7</c:f>
              <c:strCache>
                <c:ptCount val="1"/>
                <c:pt idx="0">
                  <c:v>Total</c:v>
                </c:pt>
              </c:strCache>
            </c:strRef>
          </c:tx>
          <c:spPr>
            <a:ln w="28575" cap="rnd">
              <a:solidFill>
                <a:schemeClr val="accent1"/>
              </a:solidFill>
              <a:round/>
            </a:ln>
            <a:effectLst/>
          </c:spPr>
          <c:marker>
            <c:symbol val="none"/>
          </c:marker>
          <c:cat>
            <c:strRef>
              <c:f>KPI_AND_PIVOT_TABLE!$A$8:$A$32</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KPI_AND_PIVOT_TABLE!$B$8:$B$32</c:f>
              <c:numCache>
                <c:formatCode>General</c:formatCode>
                <c:ptCount val="24"/>
                <c:pt idx="0">
                  <c:v>16.348837209302324</c:v>
                </c:pt>
                <c:pt idx="1">
                  <c:v>10.697674418604651</c:v>
                </c:pt>
                <c:pt idx="2">
                  <c:v>7.1707317073170733</c:v>
                </c:pt>
                <c:pt idx="3">
                  <c:v>4.870967741935484</c:v>
                </c:pt>
                <c:pt idx="4">
                  <c:v>2.15625</c:v>
                </c:pt>
                <c:pt idx="5">
                  <c:v>4.2051282051282053</c:v>
                </c:pt>
                <c:pt idx="6">
                  <c:v>19.571428571428573</c:v>
                </c:pt>
                <c:pt idx="7">
                  <c:v>54.395348837209305</c:v>
                </c:pt>
                <c:pt idx="8">
                  <c:v>128.28571428571428</c:v>
                </c:pt>
                <c:pt idx="9">
                  <c:v>87.428571428571431</c:v>
                </c:pt>
                <c:pt idx="10">
                  <c:v>53.642857142857146</c:v>
                </c:pt>
                <c:pt idx="11">
                  <c:v>59.38095238095238</c:v>
                </c:pt>
                <c:pt idx="12">
                  <c:v>76.348837209302332</c:v>
                </c:pt>
                <c:pt idx="13">
                  <c:v>78.511627906976742</c:v>
                </c:pt>
                <c:pt idx="14">
                  <c:v>74.418604651162795</c:v>
                </c:pt>
                <c:pt idx="15">
                  <c:v>77.95348837209302</c:v>
                </c:pt>
                <c:pt idx="16">
                  <c:v>89.272727272727266</c:v>
                </c:pt>
                <c:pt idx="17">
                  <c:v>140.20454545454547</c:v>
                </c:pt>
                <c:pt idx="18">
                  <c:v>122.86046511627907</c:v>
                </c:pt>
                <c:pt idx="19">
                  <c:v>85.139534883720927</c:v>
                </c:pt>
                <c:pt idx="20">
                  <c:v>61.767441860465119</c:v>
                </c:pt>
                <c:pt idx="21">
                  <c:v>46.418604651162788</c:v>
                </c:pt>
                <c:pt idx="22">
                  <c:v>35.069767441860463</c:v>
                </c:pt>
                <c:pt idx="23">
                  <c:v>25.186046511627907</c:v>
                </c:pt>
              </c:numCache>
            </c:numRef>
          </c:val>
          <c:smooth val="0"/>
          <c:extLst>
            <c:ext xmlns:c16="http://schemas.microsoft.com/office/drawing/2014/chart" uri="{C3380CC4-5D6E-409C-BE32-E72D297353CC}">
              <c16:uniqueId val="{00000000-939C-4EA2-A3ED-A414D48665D7}"/>
            </c:ext>
          </c:extLst>
        </c:ser>
        <c:dLbls>
          <c:showLegendKey val="0"/>
          <c:showVal val="0"/>
          <c:showCatName val="0"/>
          <c:showSerName val="0"/>
          <c:showPercent val="0"/>
          <c:showBubbleSize val="0"/>
        </c:dLbls>
        <c:smooth val="0"/>
        <c:axId val="157112847"/>
        <c:axId val="157113199"/>
      </c:lineChart>
      <c:catAx>
        <c:axId val="157112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113199"/>
        <c:crosses val="autoZero"/>
        <c:auto val="1"/>
        <c:lblAlgn val="ctr"/>
        <c:lblOffset val="100"/>
        <c:noMultiLvlLbl val="0"/>
      </c:catAx>
      <c:valAx>
        <c:axId val="157113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112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[NB_BIKE_PROJECT.xlsx]KPI_AND_PIVOT_TABLE!PivotTable5</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6469816272965873E-2"/>
          <c:y val="7.407407407407407E-2"/>
          <c:w val="0.90297462817147855"/>
          <c:h val="0.84204505686789155"/>
        </c:manualLayout>
      </c:layout>
      <c:barChart>
        <c:barDir val="col"/>
        <c:grouping val="clustered"/>
        <c:varyColors val="0"/>
        <c:ser>
          <c:idx val="0"/>
          <c:order val="0"/>
          <c:tx>
            <c:strRef>
              <c:f>KPI_AND_PIVOT_TABLE!$B$34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KPI_AND_PIVOT_TABLE!$A$35:$A$39</c:f>
              <c:strCache>
                <c:ptCount val="4"/>
                <c:pt idx="0">
                  <c:v>Clear</c:v>
                </c:pt>
                <c:pt idx="1">
                  <c:v>Cloudy</c:v>
                </c:pt>
                <c:pt idx="2">
                  <c:v>Heavy Rain</c:v>
                </c:pt>
                <c:pt idx="3">
                  <c:v>Rain Fall</c:v>
                </c:pt>
              </c:strCache>
            </c:strRef>
          </c:cat>
          <c:val>
            <c:numRef>
              <c:f>KPI_AND_PIVOT_TABLE!$B$35:$B$39</c:f>
              <c:numCache>
                <c:formatCode>General</c:formatCode>
                <c:ptCount val="4"/>
                <c:pt idx="0">
                  <c:v>12.051155115511552</c:v>
                </c:pt>
                <c:pt idx="1">
                  <c:v>11.407766990291263</c:v>
                </c:pt>
                <c:pt idx="2">
                  <c:v>16</c:v>
                </c:pt>
                <c:pt idx="3">
                  <c:v>10.821428571428571</c:v>
                </c:pt>
              </c:numCache>
            </c:numRef>
          </c:val>
          <c:extLst>
            <c:ext xmlns:c16="http://schemas.microsoft.com/office/drawing/2014/chart" uri="{C3380CC4-5D6E-409C-BE32-E72D297353CC}">
              <c16:uniqueId val="{00000000-7F8A-43B3-AAAC-AC0C1946C5FE}"/>
            </c:ext>
          </c:extLst>
        </c:ser>
        <c:dLbls>
          <c:dLblPos val="outEnd"/>
          <c:showLegendKey val="0"/>
          <c:showVal val="1"/>
          <c:showCatName val="0"/>
          <c:showSerName val="0"/>
          <c:showPercent val="0"/>
          <c:showBubbleSize val="0"/>
        </c:dLbls>
        <c:gapWidth val="219"/>
        <c:overlap val="-27"/>
        <c:axId val="157156143"/>
        <c:axId val="157156847"/>
      </c:barChart>
      <c:catAx>
        <c:axId val="15715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156847"/>
        <c:crosses val="autoZero"/>
        <c:auto val="1"/>
        <c:lblAlgn val="ctr"/>
        <c:lblOffset val="100"/>
        <c:noMultiLvlLbl val="0"/>
      </c:catAx>
      <c:valAx>
        <c:axId val="157156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156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[NB_BIKE_PROJECT.xlsx]KPI_AND_PIVOT_TABLE!PivotTable6</c:name>
    <c:fmtId val="1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s>
    <c:plotArea>
      <c:layout/>
      <c:pieChart>
        <c:varyColors val="1"/>
        <c:ser>
          <c:idx val="0"/>
          <c:order val="0"/>
          <c:tx>
            <c:strRef>
              <c:f>KPI_AND_PIVOT_TABLE!$E$44</c:f>
              <c:strCache>
                <c:ptCount val="1"/>
                <c:pt idx="0">
                  <c:v>Average of registered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B16-4595-AAE9-446A0B280E0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B16-4595-AAE9-446A0B280E0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KPI_AND_PIVOT_TABLE!$D$45:$D$47</c:f>
              <c:strCache>
                <c:ptCount val="2"/>
                <c:pt idx="0">
                  <c:v>January</c:v>
                </c:pt>
                <c:pt idx="1">
                  <c:v>February</c:v>
                </c:pt>
              </c:strCache>
            </c:strRef>
          </c:cat>
          <c:val>
            <c:numRef>
              <c:f>KPI_AND_PIVOT_TABLE!$E$45:$E$47</c:f>
              <c:numCache>
                <c:formatCode>General</c:formatCode>
                <c:ptCount val="2"/>
                <c:pt idx="0">
                  <c:v>51.040697674418603</c:v>
                </c:pt>
                <c:pt idx="1">
                  <c:v>58.54807692307692</c:v>
                </c:pt>
              </c:numCache>
            </c:numRef>
          </c:val>
          <c:extLst>
            <c:ext xmlns:c16="http://schemas.microsoft.com/office/drawing/2014/chart" uri="{C3380CC4-5D6E-409C-BE32-E72D297353CC}">
              <c16:uniqueId val="{00000004-FB16-4595-AAE9-446A0B280E05}"/>
            </c:ext>
          </c:extLst>
        </c:ser>
        <c:ser>
          <c:idx val="1"/>
          <c:order val="1"/>
          <c:tx>
            <c:strRef>
              <c:f>KPI_AND_PIVOT_TABLE!$F$44</c:f>
              <c:strCache>
                <c:ptCount val="1"/>
                <c:pt idx="0">
                  <c:v>Average of casual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FB16-4595-AAE9-446A0B280E0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8-FB16-4595-AAE9-446A0B280E0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KPI_AND_PIVOT_TABLE!$D$45:$D$47</c:f>
              <c:strCache>
                <c:ptCount val="2"/>
                <c:pt idx="0">
                  <c:v>January</c:v>
                </c:pt>
                <c:pt idx="1">
                  <c:v>February</c:v>
                </c:pt>
              </c:strCache>
            </c:strRef>
          </c:cat>
          <c:val>
            <c:numRef>
              <c:f>KPI_AND_PIVOT_TABLE!$F$45:$F$47</c:f>
              <c:numCache>
                <c:formatCode>General</c:formatCode>
                <c:ptCount val="2"/>
                <c:pt idx="0">
                  <c:v>4.4665697674418601</c:v>
                </c:pt>
                <c:pt idx="1">
                  <c:v>5.9230769230769234</c:v>
                </c:pt>
              </c:numCache>
            </c:numRef>
          </c:val>
          <c:extLst>
            <c:ext xmlns:c16="http://schemas.microsoft.com/office/drawing/2014/chart" uri="{C3380CC4-5D6E-409C-BE32-E72D297353CC}">
              <c16:uniqueId val="{00000009-FB16-4595-AAE9-446A0B280E05}"/>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[NB_BIKE_PROJECT.xlsx]KPI_AND_PIVOT_TABLE!PivotTable4</c:name>
    <c:fmtId val="7"/>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5888831653052714E-2"/>
          <c:y val="2.4782938338784598E-2"/>
          <c:w val="0.91532331185874494"/>
          <c:h val="0.72618930036473606"/>
        </c:manualLayout>
      </c:layout>
      <c:lineChart>
        <c:grouping val="standard"/>
        <c:varyColors val="0"/>
        <c:ser>
          <c:idx val="0"/>
          <c:order val="0"/>
          <c:tx>
            <c:strRef>
              <c:f>KPI_AND_PIVOT_TABLE!$B$51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KPI_AND_PIVOT_TABLE!$A$52:$A$97</c:f>
              <c:strCache>
                <c:ptCount val="45"/>
                <c:pt idx="0">
                  <c:v>1/1/2011</c:v>
                </c:pt>
                <c:pt idx="1">
                  <c:v>1/2/2011</c:v>
                </c:pt>
                <c:pt idx="2">
                  <c:v>1/3/2011</c:v>
                </c:pt>
                <c:pt idx="3">
                  <c:v>1/4/2011</c:v>
                </c:pt>
                <c:pt idx="4">
                  <c:v>1/5/2011</c:v>
                </c:pt>
                <c:pt idx="5">
                  <c:v>1/6/2011</c:v>
                </c:pt>
                <c:pt idx="6">
                  <c:v>1/7/2011</c:v>
                </c:pt>
                <c:pt idx="7">
                  <c:v>1/8/2011</c:v>
                </c:pt>
                <c:pt idx="8">
                  <c:v>1/9/2011</c:v>
                </c:pt>
                <c:pt idx="9">
                  <c:v>1/10/2011</c:v>
                </c:pt>
                <c:pt idx="10">
                  <c:v>1/11/2011</c:v>
                </c:pt>
                <c:pt idx="11">
                  <c:v>1/12/2011</c:v>
                </c:pt>
                <c:pt idx="12">
                  <c:v>1/13/2011</c:v>
                </c:pt>
                <c:pt idx="13">
                  <c:v>1/14/2011</c:v>
                </c:pt>
                <c:pt idx="14">
                  <c:v>1/15/2011</c:v>
                </c:pt>
                <c:pt idx="15">
                  <c:v>1/16/2011</c:v>
                </c:pt>
                <c:pt idx="16">
                  <c:v>1/17/2011</c:v>
                </c:pt>
                <c:pt idx="17">
                  <c:v>1/18/2011</c:v>
                </c:pt>
                <c:pt idx="18">
                  <c:v>1/19/2011</c:v>
                </c:pt>
                <c:pt idx="19">
                  <c:v>1/20/2011</c:v>
                </c:pt>
                <c:pt idx="20">
                  <c:v>1/21/2011</c:v>
                </c:pt>
                <c:pt idx="21">
                  <c:v>1/22/2011</c:v>
                </c:pt>
                <c:pt idx="22">
                  <c:v>1/23/2011</c:v>
                </c:pt>
                <c:pt idx="23">
                  <c:v>1/24/2011</c:v>
                </c:pt>
                <c:pt idx="24">
                  <c:v>1/25/2011</c:v>
                </c:pt>
                <c:pt idx="25">
                  <c:v>1/26/2011</c:v>
                </c:pt>
                <c:pt idx="26">
                  <c:v>1/27/2011</c:v>
                </c:pt>
                <c:pt idx="27">
                  <c:v>1/28/2011</c:v>
                </c:pt>
                <c:pt idx="28">
                  <c:v>1/29/2011</c:v>
                </c:pt>
                <c:pt idx="29">
                  <c:v>1/30/2011</c:v>
                </c:pt>
                <c:pt idx="30">
                  <c:v>1/31/2011</c:v>
                </c:pt>
                <c:pt idx="31">
                  <c:v>2/1/2011</c:v>
                </c:pt>
                <c:pt idx="32">
                  <c:v>2/2/2011</c:v>
                </c:pt>
                <c:pt idx="33">
                  <c:v>2/3/2011</c:v>
                </c:pt>
                <c:pt idx="34">
                  <c:v>2/4/2011</c:v>
                </c:pt>
                <c:pt idx="35">
                  <c:v>2/5/2011</c:v>
                </c:pt>
                <c:pt idx="36">
                  <c:v>2/6/2011</c:v>
                </c:pt>
                <c:pt idx="37">
                  <c:v>2/7/2011</c:v>
                </c:pt>
                <c:pt idx="38">
                  <c:v>2/8/2011</c:v>
                </c:pt>
                <c:pt idx="39">
                  <c:v>2/9/2011</c:v>
                </c:pt>
                <c:pt idx="40">
                  <c:v>2/10/2011</c:v>
                </c:pt>
                <c:pt idx="41">
                  <c:v>2/11/2011</c:v>
                </c:pt>
                <c:pt idx="42">
                  <c:v>2/12/2011</c:v>
                </c:pt>
                <c:pt idx="43">
                  <c:v>2/13/2011</c:v>
                </c:pt>
                <c:pt idx="44">
                  <c:v>2/14/2011</c:v>
                </c:pt>
              </c:strCache>
            </c:strRef>
          </c:cat>
          <c:val>
            <c:numRef>
              <c:f>KPI_AND_PIVOT_TABLE!$B$52:$B$97</c:f>
              <c:numCache>
                <c:formatCode>General</c:formatCode>
                <c:ptCount val="45"/>
                <c:pt idx="0">
                  <c:v>27.25</c:v>
                </c:pt>
                <c:pt idx="1">
                  <c:v>29.130434782608695</c:v>
                </c:pt>
                <c:pt idx="2">
                  <c:v>55.863636363636367</c:v>
                </c:pt>
                <c:pt idx="3">
                  <c:v>63.217391304347828</c:v>
                </c:pt>
                <c:pt idx="4">
                  <c:v>66</c:v>
                </c:pt>
                <c:pt idx="5">
                  <c:v>66</c:v>
                </c:pt>
                <c:pt idx="6">
                  <c:v>59.217391304347828</c:v>
                </c:pt>
                <c:pt idx="7">
                  <c:v>37.125</c:v>
                </c:pt>
                <c:pt idx="8">
                  <c:v>32</c:v>
                </c:pt>
                <c:pt idx="9">
                  <c:v>53.333333333333336</c:v>
                </c:pt>
                <c:pt idx="10">
                  <c:v>55.454545454545453</c:v>
                </c:pt>
                <c:pt idx="11">
                  <c:v>51.68181818181818</c:v>
                </c:pt>
                <c:pt idx="12">
                  <c:v>57</c:v>
                </c:pt>
                <c:pt idx="13">
                  <c:v>59.434782608695649</c:v>
                </c:pt>
                <c:pt idx="14">
                  <c:v>42.75</c:v>
                </c:pt>
                <c:pt idx="15">
                  <c:v>39.708333333333336</c:v>
                </c:pt>
                <c:pt idx="16">
                  <c:v>36.791666666666664</c:v>
                </c:pt>
                <c:pt idx="17">
                  <c:v>56.166666666666664</c:v>
                </c:pt>
                <c:pt idx="18">
                  <c:v>68.347826086956516</c:v>
                </c:pt>
                <c:pt idx="19">
                  <c:v>76.833333333333329</c:v>
                </c:pt>
                <c:pt idx="20">
                  <c:v>61.166666666666664</c:v>
                </c:pt>
                <c:pt idx="21">
                  <c:v>38.608695652173914</c:v>
                </c:pt>
                <c:pt idx="22">
                  <c:v>36.347826086956523</c:v>
                </c:pt>
                <c:pt idx="23">
                  <c:v>57.826086956521742</c:v>
                </c:pt>
                <c:pt idx="24">
                  <c:v>78.217391304347828</c:v>
                </c:pt>
                <c:pt idx="25">
                  <c:v>29.5</c:v>
                </c:pt>
                <c:pt idx="26">
                  <c:v>52</c:v>
                </c:pt>
                <c:pt idx="27">
                  <c:v>49.086956521739133</c:v>
                </c:pt>
                <c:pt idx="28">
                  <c:v>42.391304347826086</c:v>
                </c:pt>
                <c:pt idx="29">
                  <c:v>41.565217391304351</c:v>
                </c:pt>
                <c:pt idx="30">
                  <c:v>60.791666666666664</c:v>
                </c:pt>
                <c:pt idx="31">
                  <c:v>57.086956521739133</c:v>
                </c:pt>
                <c:pt idx="32">
                  <c:v>60.583333333333336</c:v>
                </c:pt>
                <c:pt idx="33">
                  <c:v>64.739130434782609</c:v>
                </c:pt>
                <c:pt idx="34">
                  <c:v>70.434782608695656</c:v>
                </c:pt>
                <c:pt idx="35">
                  <c:v>37.708333333333336</c:v>
                </c:pt>
                <c:pt idx="36">
                  <c:v>52.875</c:v>
                </c:pt>
                <c:pt idx="37">
                  <c:v>66.333333333333329</c:v>
                </c:pt>
                <c:pt idx="38">
                  <c:v>61.083333333333336</c:v>
                </c:pt>
                <c:pt idx="39">
                  <c:v>67.478260869565219</c:v>
                </c:pt>
                <c:pt idx="40">
                  <c:v>64.826086956521735</c:v>
                </c:pt>
                <c:pt idx="41">
                  <c:v>72.590909090909093</c:v>
                </c:pt>
                <c:pt idx="42">
                  <c:v>49.333333333333336</c:v>
                </c:pt>
                <c:pt idx="43">
                  <c:v>51.826086956521742</c:v>
                </c:pt>
                <c:pt idx="44">
                  <c:v>17.875</c:v>
                </c:pt>
              </c:numCache>
            </c:numRef>
          </c:val>
          <c:smooth val="0"/>
          <c:extLst>
            <c:ext xmlns:c16="http://schemas.microsoft.com/office/drawing/2014/chart" uri="{C3380CC4-5D6E-409C-BE32-E72D297353CC}">
              <c16:uniqueId val="{00000000-9192-4574-A330-C1E628E565BF}"/>
            </c:ext>
          </c:extLst>
        </c:ser>
        <c:dLbls>
          <c:showLegendKey val="0"/>
          <c:showVal val="0"/>
          <c:showCatName val="0"/>
          <c:showSerName val="0"/>
          <c:showPercent val="0"/>
          <c:showBubbleSize val="0"/>
        </c:dLbls>
        <c:marker val="1"/>
        <c:smooth val="0"/>
        <c:axId val="758618616"/>
        <c:axId val="758618968"/>
      </c:lineChart>
      <c:catAx>
        <c:axId val="758618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8618968"/>
        <c:crosses val="autoZero"/>
        <c:auto val="1"/>
        <c:lblAlgn val="ctr"/>
        <c:lblOffset val="100"/>
        <c:noMultiLvlLbl val="0"/>
      </c:catAx>
      <c:valAx>
        <c:axId val="7586189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8618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iagrams/colors1.xml><?xml version="1.0" encoding="utf-8"?>
<dgm:colorsDef xmlns:dgm="http://schemas.openxmlformats.org/drawingml/2006/diagram" xmlns:a="http://schemas.openxmlformats.org/drawingml/2006/main" uniqueId="urn:microsoft.com/office/officeart/2005/8/colors/colorful5">
  <dgm:title val=""/>
  <dgm:desc val=""/>
  <dgm:catLst>
    <dgm:cat type="colorful" pri="10500"/>
  </dgm:catLst>
  <dgm:styleLbl name="node0">
    <dgm:fillClrLst meth="repeat">
      <a:schemeClr val="accent4"/>
    </dgm:fillClrLst>
    <dgm:linClrLst meth="repeat">
      <a:schemeClr val="lt1"/>
    </dgm:linClrLst>
    <dgm:effectClrLst/>
    <dgm:txLinClrLst/>
    <dgm:txFillClrLst/>
    <dgm:txEffectClrLst/>
  </dgm:styleLbl>
  <dgm:styleLbl name="node1">
    <dgm:fillClrLst>
      <a:schemeClr val="accent5"/>
      <a:schemeClr val="accent6"/>
    </dgm:fillClrLst>
    <dgm:linClrLst meth="repeat">
      <a:schemeClr val="lt1"/>
    </dgm:linClrLst>
    <dgm:effectClrLst/>
    <dgm:txLinClrLst/>
    <dgm:txFillClrLst/>
    <dgm:txEffectClrLst/>
  </dgm:styleLbl>
  <dgm:styleLbl name="alignNode1">
    <dgm:fillClrLst>
      <a:schemeClr val="accent5"/>
      <a:schemeClr val="accent6"/>
    </dgm:fillClrLst>
    <dgm:linClrLst>
      <a:schemeClr val="accent5"/>
      <a:schemeClr val="accent6"/>
    </dgm:linClrLst>
    <dgm:effectClrLst/>
    <dgm:txLinClrLst/>
    <dgm:txFillClrLst/>
    <dgm:txEffectClrLst/>
  </dgm:styleLbl>
  <dgm:styleLbl name="lnNode1">
    <dgm:fillClrLst>
      <a:schemeClr val="accent5"/>
      <a:schemeClr val="accent6"/>
    </dgm:fillClrLst>
    <dgm:linClrLst meth="repeat">
      <a:schemeClr val="lt1"/>
    </dgm:linClrLst>
    <dgm:effectClrLst/>
    <dgm:txLinClrLst/>
    <dgm:txFillClrLst/>
    <dgm:txEffectClrLst/>
  </dgm:styleLbl>
  <dgm:styleLbl name="vennNode1">
    <dgm:fillClrLst>
      <a:schemeClr val="accent5">
        <a:alpha val="50000"/>
      </a:schemeClr>
      <a:schemeClr val="accent6">
        <a:alpha val="50000"/>
      </a:schemeClr>
    </dgm:fillClrLst>
    <dgm:linClrLst meth="repeat">
      <a:schemeClr val="lt1"/>
    </dgm:linClrLst>
    <dgm:effectClrLst/>
    <dgm:txLinClrLst/>
    <dgm:txFillClrLst/>
    <dgm:txEffectClrLst/>
  </dgm:styleLbl>
  <dgm:styleLbl name="node2">
    <dgm:fillClrLst>
      <a:schemeClr val="accent6"/>
    </dgm:fillClrLst>
    <dgm:linClrLst meth="repeat">
      <a:schemeClr val="lt1"/>
    </dgm:linClrLst>
    <dgm:effectClrLst/>
    <dgm:txLinClrLst/>
    <dgm:txFillClrLst/>
    <dgm:txEffectClrLst/>
  </dgm:styleLbl>
  <dgm:styleLbl name="node3">
    <dgm:fillClrLst>
      <a:schemeClr val="accent1"/>
    </dgm:fillClrLst>
    <dgm:linClrLst meth="repeat">
      <a:schemeClr val="lt1"/>
    </dgm:linClrLst>
    <dgm:effectClrLst/>
    <dgm:txLinClrLst/>
    <dgm:txFillClrLst/>
    <dgm:txEffectClrLst/>
  </dgm:styleLbl>
  <dgm:styleLbl name="node4">
    <dgm:fillClrLst>
      <a:schemeClr val="accent2"/>
    </dgm:fillClrLst>
    <dgm:linClrLst meth="repeat">
      <a:schemeClr val="lt1"/>
    </dgm:linClrLst>
    <dgm:effectClrLst/>
    <dgm:txLinClrLst/>
    <dgm:txFillClrLst/>
    <dgm:txEffectClrLst/>
  </dgm:styleLbl>
  <dgm:styleLbl name="fgImgPlace1">
    <dgm:fillClrLst>
      <a:schemeClr val="accent5">
        <a:tint val="50000"/>
      </a:schemeClr>
      <a:schemeClr val="accent6">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5">
        <a:tint val="50000"/>
      </a:schemeClr>
      <a:schemeClr val="accent6">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5">
        <a:tint val="50000"/>
      </a:schemeClr>
      <a:schemeClr val="accent6">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5"/>
      <a:schemeClr val="accent6"/>
    </dgm:fillClrLst>
    <dgm:linClrLst meth="repeat">
      <a:schemeClr val="lt1"/>
    </dgm:linClrLst>
    <dgm:effectClrLst/>
    <dgm:txLinClrLst/>
    <dgm:txFillClrLst/>
    <dgm:txEffectClrLst/>
  </dgm:styleLbl>
  <dgm:styleLbl name="fgSibTrans2D1">
    <dgm:fillClrLst>
      <a:schemeClr val="accent5"/>
      <a:schemeClr val="accent6"/>
    </dgm:fillClrLst>
    <dgm:linClrLst meth="repeat">
      <a:schemeClr val="lt1"/>
    </dgm:linClrLst>
    <dgm:effectClrLst/>
    <dgm:txLinClrLst/>
    <dgm:txFillClrLst meth="repeat">
      <a:schemeClr val="lt1"/>
    </dgm:txFillClrLst>
    <dgm:txEffectClrLst/>
  </dgm:styleLbl>
  <dgm:styleLbl name="bgSibTrans2D1">
    <dgm:fillClrLst>
      <a:schemeClr val="accent5"/>
      <a:schemeClr val="accent6"/>
    </dgm:fillClrLst>
    <dgm:linClrLst meth="repeat">
      <a:schemeClr val="lt1"/>
    </dgm:linClrLst>
    <dgm:effectClrLst/>
    <dgm:txLinClrLst/>
    <dgm:txFillClrLst meth="repeat">
      <a:schemeClr val="lt1"/>
    </dgm:txFillClrLst>
    <dgm:txEffectClrLst/>
  </dgm:styleLbl>
  <dgm:styleLbl name="sibTrans1D1">
    <dgm:fillClrLst/>
    <dgm:linClrLst>
      <a:schemeClr val="accent5"/>
      <a:schemeClr val="accent6"/>
    </dgm:linClrLst>
    <dgm:effectClrLst/>
    <dgm:txLinClrLst/>
    <dgm:txFillClrLst meth="repeat">
      <a:schemeClr val="tx1"/>
    </dgm:txFillClrLst>
    <dgm:txEffectClrLst/>
  </dgm:styleLbl>
  <dgm:styleLbl name="callout">
    <dgm:fillClrLst meth="repeat">
      <a:schemeClr val="accent5"/>
    </dgm:fillClrLst>
    <dgm:linClrLst meth="repeat">
      <a:schemeClr val="accent5">
        <a:tint val="50000"/>
      </a:schemeClr>
    </dgm:linClrLst>
    <dgm:effectClrLst/>
    <dgm:txLinClrLst/>
    <dgm:txFillClrLst meth="repeat">
      <a:schemeClr val="tx1"/>
    </dgm:txFillClrLst>
    <dgm:txEffectClrLst/>
  </dgm:styleLbl>
  <dgm:styleLbl name="asst0">
    <dgm:fillClrLst meth="repeat">
      <a:schemeClr val="accent5"/>
    </dgm:fillClrLst>
    <dgm:linClrLst meth="repeat">
      <a:schemeClr val="lt1">
        <a:shade val="80000"/>
      </a:schemeClr>
    </dgm:linClrLst>
    <dgm:effectClrLst/>
    <dgm:txLinClrLst/>
    <dgm:txFillClrLst/>
    <dgm:txEffectClrLst/>
  </dgm:styleLbl>
  <dgm:styleLbl name="asst1">
    <dgm:fillClrLst meth="repeat">
      <a:schemeClr val="accent6"/>
    </dgm:fillClrLst>
    <dgm:linClrLst meth="repeat">
      <a:schemeClr val="lt1">
        <a:shade val="80000"/>
      </a:schemeClr>
    </dgm:linClrLst>
    <dgm:effectClrLst/>
    <dgm:txLinClrLst/>
    <dgm:txFillClrLst/>
    <dgm:txEffectClrLst/>
  </dgm:styleLbl>
  <dgm:styleLbl name="asst2">
    <dgm:fillClrLst>
      <a:schemeClr val="accent1"/>
    </dgm:fillClrLst>
    <dgm:linClrLst meth="repeat">
      <a:schemeClr val="lt1"/>
    </dgm:linClrLst>
    <dgm:effectClrLst/>
    <dgm:txLinClrLst/>
    <dgm:txFillClrLst/>
    <dgm:txEffectClrLst/>
  </dgm:styleLbl>
  <dgm:styleLbl name="asst3">
    <dgm:fillClrLst>
      <a:schemeClr val="accent2"/>
    </dgm:fillClrLst>
    <dgm:linClrLst meth="repeat">
      <a:schemeClr val="lt1"/>
    </dgm:linClrLst>
    <dgm:effectClrLst/>
    <dgm:txLinClrLst/>
    <dgm:txFillClrLst/>
    <dgm:txEffectClrLst/>
  </dgm:styleLbl>
  <dgm:styleLbl name="asst4">
    <dgm:fillClrLst>
      <a:schemeClr val="accent3"/>
    </dgm:fillClrLst>
    <dgm:linClrLst meth="repeat">
      <a:schemeClr val="lt1"/>
    </dgm:linClrLst>
    <dgm:effectClrLst/>
    <dgm:txLinClrLst/>
    <dgm:txFillClrLst/>
    <dgm:txEffectClrLst/>
  </dgm:styleLbl>
  <dgm:styleLbl name="parChTrans2D1">
    <dgm:fillClrLst meth="repeat">
      <a:schemeClr val="accent5"/>
    </dgm:fillClrLst>
    <dgm:linClrLst meth="repeat">
      <a:schemeClr val="lt1"/>
    </dgm:linClrLst>
    <dgm:effectClrLst/>
    <dgm:txLinClrLst/>
    <dgm:txFillClrLst meth="repeat">
      <a:schemeClr val="lt1"/>
    </dgm:txFillClrLst>
    <dgm:txEffectClrLst/>
  </dgm:styleLbl>
  <dgm:styleLbl name="parChTrans2D2">
    <dgm:fillClrLst meth="repeat">
      <a:schemeClr val="accent6"/>
    </dgm:fillClrLst>
    <dgm:linClrLst meth="repeat">
      <a:schemeClr val="lt1"/>
    </dgm:linClrLst>
    <dgm:effectClrLst/>
    <dgm:txLinClrLst/>
    <dgm:txFillClrLst/>
    <dgm:txEffectClrLst/>
  </dgm:styleLbl>
  <dgm:styleLbl name="parChTrans2D3">
    <dgm:fillClrLst meth="repeat">
      <a:schemeClr val="accent6"/>
    </dgm:fillClrLst>
    <dgm:linClrLst meth="repeat">
      <a:schemeClr val="lt1"/>
    </dgm:linClrLst>
    <dgm:effectClrLst/>
    <dgm:txLinClrLst/>
    <dgm:txFillClrLst/>
    <dgm:txEffectClrLst/>
  </dgm:styleLbl>
  <dgm:styleLbl name="parChTrans2D4">
    <dgm:fillClrLst meth="repeat">
      <a:schemeClr val="accent1"/>
    </dgm:fillClrLst>
    <dgm:linClrLst meth="repeat">
      <a:schemeClr val="lt1"/>
    </dgm:linClrLst>
    <dgm:effectClrLst/>
    <dgm:txLinClrLst/>
    <dgm:txFillClrLst meth="repeat">
      <a:schemeClr val="lt1"/>
    </dgm:txFillClrLst>
    <dgm:txEffectClrLst/>
  </dgm:styleLbl>
  <dgm:styleLbl name="parChTrans1D1">
    <dgm:fillClrLst meth="repeat">
      <a:schemeClr val="accent5"/>
    </dgm:fillClrLst>
    <dgm:linClrLst meth="repeat">
      <a:schemeClr val="accent5"/>
    </dgm:linClrLst>
    <dgm:effectClrLst/>
    <dgm:txLinClrLst/>
    <dgm:txFillClrLst meth="repeat">
      <a:schemeClr val="tx1"/>
    </dgm:txFillClrLst>
    <dgm:txEffectClrLst/>
  </dgm:styleLbl>
  <dgm:styleLbl name="parChTrans1D2">
    <dgm:fillClrLst meth="repeat">
      <a:schemeClr val="accent6">
        <a:tint val="90000"/>
      </a:schemeClr>
    </dgm:fillClrLst>
    <dgm:linClrLst meth="repeat">
      <a:schemeClr val="accent6"/>
    </dgm:linClrLst>
    <dgm:effectClrLst/>
    <dgm:txLinClrLst/>
    <dgm:txFillClrLst meth="repeat">
      <a:schemeClr val="tx1"/>
    </dgm:txFillClrLst>
    <dgm:txEffectClrLst/>
  </dgm:styleLbl>
  <dgm:styleLbl name="parChTrans1D3">
    <dgm:fillClrLst meth="repeat">
      <a:schemeClr val="accent6">
        <a:tint val="70000"/>
      </a:schemeClr>
    </dgm:fillClrLst>
    <dgm:linClrLst meth="repeat">
      <a:schemeClr val="accent1"/>
    </dgm:linClrLst>
    <dgm:effectClrLst/>
    <dgm:txLinClrLst/>
    <dgm:txFillClrLst meth="repeat">
      <a:schemeClr val="tx1"/>
    </dgm:txFillClrLst>
    <dgm:txEffectClrLst/>
  </dgm:styleLbl>
  <dgm:styleLbl name="parChTrans1D4">
    <dgm:fillClrLst meth="repeat">
      <a:schemeClr val="accent6">
        <a:tint val="50000"/>
      </a:schemeClr>
    </dgm:fillClrLst>
    <dgm:linClrLst meth="repeat">
      <a:schemeClr val="accent2"/>
    </dgm:linClrLst>
    <dgm:effectClrLst/>
    <dgm:txLinClrLst/>
    <dgm:txFillClrLst meth="repeat">
      <a:schemeClr val="tx1"/>
    </dgm:txFillClrLst>
    <dgm:txEffectClrLst/>
  </dgm:styleLbl>
  <dgm:styleLbl name="fgAcc1">
    <dgm:fillClrLst meth="repeat">
      <a:schemeClr val="lt1">
        <a:alpha val="90000"/>
      </a:schemeClr>
    </dgm:fillClrLst>
    <dgm:linClrLst>
      <a:schemeClr val="accent5"/>
      <a:schemeClr val="accent6"/>
    </dgm:linClrLst>
    <dgm:effectClrLst/>
    <dgm:txLinClrLst/>
    <dgm:txFillClrLst meth="repeat">
      <a:schemeClr val="dk1"/>
    </dgm:txFillClrLst>
    <dgm:txEffectClrLst/>
  </dgm:styleLbl>
  <dgm:styleLbl name="conFgAcc1">
    <dgm:fillClrLst meth="repeat">
      <a:schemeClr val="lt1">
        <a:alpha val="90000"/>
      </a:schemeClr>
    </dgm:fillClrLst>
    <dgm:linClrLst>
      <a:schemeClr val="accent5"/>
      <a:schemeClr val="accent6"/>
    </dgm:linClrLst>
    <dgm:effectClrLst/>
    <dgm:txLinClrLst/>
    <dgm:txFillClrLst meth="repeat">
      <a:schemeClr val="dk1"/>
    </dgm:txFillClrLst>
    <dgm:txEffectClrLst/>
  </dgm:styleLbl>
  <dgm:styleLbl name="alignAcc1">
    <dgm:fillClrLst meth="repeat">
      <a:schemeClr val="lt1">
        <a:alpha val="90000"/>
      </a:schemeClr>
    </dgm:fillClrLst>
    <dgm:linClrLst>
      <a:schemeClr val="accent5"/>
      <a:schemeClr val="accent6"/>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5"/>
    </dgm:linClrLst>
    <dgm:effectClrLst/>
    <dgm:txLinClrLst/>
    <dgm:txFillClrLst meth="repeat">
      <a:schemeClr val="dk1"/>
    </dgm:txFillClrLst>
    <dgm:txEffectClrLst/>
  </dgm:styleLbl>
  <dgm:styleLbl name="bgAcc1">
    <dgm:fillClrLst meth="repeat">
      <a:schemeClr val="lt1">
        <a:alpha val="90000"/>
      </a:schemeClr>
    </dgm:fillClrLst>
    <dgm:linClrLst>
      <a:schemeClr val="accent5"/>
      <a:schemeClr val="accent6"/>
    </dgm:linClrLst>
    <dgm:effectClrLst/>
    <dgm:txLinClrLst/>
    <dgm:txFillClrLst meth="repeat">
      <a:schemeClr val="dk1"/>
    </dgm:txFillClrLst>
    <dgm:txEffectClrLst/>
  </dgm:styleLbl>
  <dgm:styleLbl name="solidFgAcc1">
    <dgm:fillClrLst meth="repeat">
      <a:schemeClr val="lt1"/>
    </dgm:fillClrLst>
    <dgm:linClrLst>
      <a:schemeClr val="accent5"/>
      <a:schemeClr val="accent6"/>
    </dgm:linClrLst>
    <dgm:effectClrLst/>
    <dgm:txLinClrLst/>
    <dgm:txFillClrLst meth="repeat">
      <a:schemeClr val="dk1"/>
    </dgm:txFillClrLst>
    <dgm:txEffectClrLst/>
  </dgm:styleLbl>
  <dgm:styleLbl name="solidAlignAcc1">
    <dgm:fillClrLst meth="repeat">
      <a:schemeClr val="lt1"/>
    </dgm:fillClrLst>
    <dgm:linClrLst>
      <a:schemeClr val="accent5"/>
      <a:schemeClr val="accent6"/>
    </dgm:linClrLst>
    <dgm:effectClrLst/>
    <dgm:txLinClrLst/>
    <dgm:txFillClrLst meth="repeat">
      <a:schemeClr val="dk1"/>
    </dgm:txFillClrLst>
    <dgm:txEffectClrLst/>
  </dgm:styleLbl>
  <dgm:styleLbl name="solidBgAcc1">
    <dgm:fillClrLst meth="repeat">
      <a:schemeClr val="lt1"/>
    </dgm:fillClrLst>
    <dgm:linClrLst>
      <a:schemeClr val="accent5"/>
      <a:schemeClr val="accent6"/>
    </dgm:linClrLst>
    <dgm:effectClrLst/>
    <dgm:txLinClrLst/>
    <dgm:txFillClrLst meth="repeat">
      <a:schemeClr val="dk1"/>
    </dgm:txFillClrLst>
    <dgm:txEffectClrLst/>
  </dgm:styleLbl>
  <dgm:styleLbl name="fgAccFollowNode1">
    <dgm:fillClrLst>
      <a:schemeClr val="accent5">
        <a:tint val="40000"/>
        <a:alpha val="90000"/>
      </a:schemeClr>
      <a:schemeClr val="accent6">
        <a:tint val="40000"/>
        <a:alpha val="90000"/>
      </a:schemeClr>
    </dgm:fillClrLst>
    <dgm:linClrLst>
      <a:schemeClr val="accent5">
        <a:tint val="40000"/>
        <a:alpha val="90000"/>
      </a:schemeClr>
      <a:schemeClr val="accent5">
        <a:tint val="40000"/>
        <a:alpha val="90000"/>
      </a:schemeClr>
    </dgm:linClrLst>
    <dgm:effectClrLst/>
    <dgm:txLinClrLst/>
    <dgm:txFillClrLst meth="repeat">
      <a:schemeClr val="dk1"/>
    </dgm:txFillClrLst>
    <dgm:txEffectClrLst/>
  </dgm:styleLbl>
  <dgm:styleLbl name="alignAccFollowNode1">
    <dgm:fillClrLst>
      <a:schemeClr val="accent5">
        <a:tint val="40000"/>
        <a:alpha val="90000"/>
      </a:schemeClr>
      <a:schemeClr val="accent6">
        <a:tint val="40000"/>
        <a:alpha val="90000"/>
      </a:schemeClr>
    </dgm:fillClrLst>
    <dgm:linClrLst>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bgAccFollowNode1">
    <dgm:fillClrLst>
      <a:schemeClr val="accent5">
        <a:tint val="40000"/>
        <a:alpha val="90000"/>
      </a:schemeClr>
      <a:schemeClr val="accent6">
        <a:tint val="40000"/>
        <a:alpha val="90000"/>
      </a:schemeClr>
    </dgm:fillClrLst>
    <dgm:linClrLst>
      <a:schemeClr val="accent5">
        <a:tint val="40000"/>
        <a:alpha val="90000"/>
      </a:schemeClr>
      <a:schemeClr val="accent6">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4"/>
    </dgm:linClrLst>
    <dgm:effectClrLst/>
    <dgm:txLinClrLst/>
    <dgm:txFillClrLst meth="repeat">
      <a:schemeClr val="dk1"/>
    </dgm:txFillClrLst>
    <dgm:txEffectClrLst/>
  </dgm:styleLbl>
  <dgm:styleLbl name="fgAcc2">
    <dgm:fillClrLst meth="repeat">
      <a:schemeClr val="lt1">
        <a:alpha val="90000"/>
      </a:schemeClr>
    </dgm:fillClrLst>
    <dgm:linClrLst>
      <a:schemeClr val="accent6"/>
    </dgm:linClrLst>
    <dgm:effectClrLst/>
    <dgm:txLinClrLst/>
    <dgm:txFillClrLst meth="repeat">
      <a:schemeClr val="dk1"/>
    </dgm:txFillClrLst>
    <dgm:txEffectClrLst/>
  </dgm:styleLbl>
  <dgm:styleLbl name="fgAcc3">
    <dgm:fillClrLst meth="repeat">
      <a:schemeClr val="lt1">
        <a:alpha val="90000"/>
      </a:schemeClr>
    </dgm:fillClrLst>
    <dgm:linClrLst>
      <a:schemeClr val="accent1"/>
    </dgm:linClrLst>
    <dgm:effectClrLst/>
    <dgm:txLinClrLst/>
    <dgm:txFillClrLst meth="repeat">
      <a:schemeClr val="dk1"/>
    </dgm:txFillClrLst>
    <dgm:txEffectClrLst/>
  </dgm:styleLbl>
  <dgm:styleLbl name="fgAcc4">
    <dgm:fillClrLst meth="repeat">
      <a:schemeClr val="lt1">
        <a:alpha val="90000"/>
      </a:schemeClr>
    </dgm:fillClrLst>
    <dgm:linClrLst>
      <a:schemeClr val="accent2"/>
    </dgm:linClrLst>
    <dgm:effectClrLst/>
    <dgm:txLinClrLst/>
    <dgm:txFillClrLst meth="repeat">
      <a:schemeClr val="dk1"/>
    </dgm:txFillClrLst>
    <dgm:txEffectClrLst/>
  </dgm:styleLbl>
  <dgm:styleLbl name="bgShp">
    <dgm:fillClrLst meth="repeat">
      <a:schemeClr val="accent5">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5">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5">
        <a:tint val="50000"/>
        <a:alpha val="40000"/>
      </a:schemeClr>
    </dgm:fillClrLst>
    <dgm:linClrLst meth="repeat">
      <a:schemeClr val="accent5"/>
    </dgm:linClrLst>
    <dgm:effectClrLst/>
    <dgm:txLinClrLst/>
    <dgm:txFillClrLst meth="repeat">
      <a:schemeClr val="lt1"/>
    </dgm:txFillClrLst>
    <dgm:txEffectClrLst/>
  </dgm:styleLbl>
  <dgm:styleLbl name="fgShp">
    <dgm:fillClrLst meth="repeat">
      <a:schemeClr val="accent5">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57E87866-B5A1-45BC-935C-8E20D3E44770}" type="doc">
      <dgm:prSet loTypeId="urn:microsoft.com/office/officeart/2005/8/layout/chevronAccent+Icon" loCatId="officeonline" qsTypeId="urn:microsoft.com/office/officeart/2005/8/quickstyle/simple1" qsCatId="simple" csTypeId="urn:microsoft.com/office/officeart/2005/8/colors/colorful5" csCatId="colorful" phldr="1"/>
      <dgm:spPr/>
    </dgm:pt>
    <dgm:pt modelId="{C5F62557-5C8C-4614-84B7-1485AC23C239}">
      <dgm:prSet phldrT="[Text]"/>
      <dgm:spPr/>
      <dgm:t>
        <a:bodyPr/>
        <a:lstStyle/>
        <a:p>
          <a:r>
            <a:rPr lang="en-US"/>
            <a:t>Total Riders</a:t>
          </a:r>
        </a:p>
      </dgm:t>
    </dgm:pt>
    <dgm:pt modelId="{3301FC9D-28D0-4CC8-90BF-95755DC6C3A4}" type="parTrans" cxnId="{37A32AB6-2C34-456E-BDEA-1F5EBFEBB55A}">
      <dgm:prSet/>
      <dgm:spPr/>
      <dgm:t>
        <a:bodyPr/>
        <a:lstStyle/>
        <a:p>
          <a:endParaRPr lang="en-US"/>
        </a:p>
      </dgm:t>
    </dgm:pt>
    <dgm:pt modelId="{CBA6125B-7640-4442-B0CB-DE330D446FD7}" type="sibTrans" cxnId="{37A32AB6-2C34-456E-BDEA-1F5EBFEBB55A}">
      <dgm:prSet/>
      <dgm:spPr/>
      <dgm:t>
        <a:bodyPr/>
        <a:lstStyle/>
        <a:p>
          <a:endParaRPr lang="en-US"/>
        </a:p>
      </dgm:t>
    </dgm:pt>
    <dgm:pt modelId="{A1E042CE-9391-46BE-8179-1EDA0553C671}">
      <dgm:prSet phldrT="[Text]"/>
      <dgm:spPr/>
      <dgm:t>
        <a:bodyPr/>
        <a:lstStyle/>
        <a:p>
          <a:r>
            <a:rPr lang="en-US"/>
            <a:t>AVG Riders</a:t>
          </a:r>
        </a:p>
      </dgm:t>
    </dgm:pt>
    <dgm:pt modelId="{97FE4D3D-2386-47FD-868D-DDC4DA578091}" type="parTrans" cxnId="{EF99E113-56F9-4D8F-9C5B-63E8CFD8B302}">
      <dgm:prSet/>
      <dgm:spPr/>
      <dgm:t>
        <a:bodyPr/>
        <a:lstStyle/>
        <a:p>
          <a:endParaRPr lang="en-US"/>
        </a:p>
      </dgm:t>
    </dgm:pt>
    <dgm:pt modelId="{4FB260A1-2C01-4CFE-9632-EA51B1B7020D}" type="sibTrans" cxnId="{EF99E113-56F9-4D8F-9C5B-63E8CFD8B302}">
      <dgm:prSet/>
      <dgm:spPr/>
      <dgm:t>
        <a:bodyPr/>
        <a:lstStyle/>
        <a:p>
          <a:endParaRPr lang="en-US"/>
        </a:p>
      </dgm:t>
    </dgm:pt>
    <dgm:pt modelId="{FD39DFC0-B7B6-4CBA-B9E1-936A34A29001}">
      <dgm:prSet phldrT="[Text]"/>
      <dgm:spPr/>
      <dgm:t>
        <a:bodyPr/>
        <a:lstStyle/>
        <a:p>
          <a:r>
            <a:rPr lang="en-US"/>
            <a:t>AVG Peak Hours</a:t>
          </a:r>
        </a:p>
      </dgm:t>
    </dgm:pt>
    <dgm:pt modelId="{7D55DD58-15F1-40D7-A789-EB223FA530CE}" type="parTrans" cxnId="{00ABE480-CF72-4C95-BCDB-7FB7AE6B4CE4}">
      <dgm:prSet/>
      <dgm:spPr/>
      <dgm:t>
        <a:bodyPr/>
        <a:lstStyle/>
        <a:p>
          <a:endParaRPr lang="en-US"/>
        </a:p>
      </dgm:t>
    </dgm:pt>
    <dgm:pt modelId="{22CCDC53-7C78-43B6-B14E-6868390ECAD8}" type="sibTrans" cxnId="{00ABE480-CF72-4C95-BCDB-7FB7AE6B4CE4}">
      <dgm:prSet/>
      <dgm:spPr/>
      <dgm:t>
        <a:bodyPr/>
        <a:lstStyle/>
        <a:p>
          <a:endParaRPr lang="en-US"/>
        </a:p>
      </dgm:t>
    </dgm:pt>
    <dgm:pt modelId="{7B36075B-2C4E-42C5-A058-EC2286271D1B}">
      <dgm:prSet phldrT="[Text]"/>
      <dgm:spPr/>
      <dgm:t>
        <a:bodyPr/>
        <a:lstStyle/>
        <a:p>
          <a:r>
            <a:rPr lang="en-US"/>
            <a:t>Rigestered Riders</a:t>
          </a:r>
        </a:p>
      </dgm:t>
    </dgm:pt>
    <dgm:pt modelId="{8CAEFBB6-DCB6-40BE-8321-3670A27418EA}" type="parTrans" cxnId="{F6941379-203A-42C9-9FF3-BCBE346705A0}">
      <dgm:prSet/>
      <dgm:spPr/>
      <dgm:t>
        <a:bodyPr/>
        <a:lstStyle/>
        <a:p>
          <a:endParaRPr lang="en-US"/>
        </a:p>
      </dgm:t>
    </dgm:pt>
    <dgm:pt modelId="{43C74EA9-9182-40CA-8A13-505C64E012B2}" type="sibTrans" cxnId="{F6941379-203A-42C9-9FF3-BCBE346705A0}">
      <dgm:prSet/>
      <dgm:spPr/>
      <dgm:t>
        <a:bodyPr/>
        <a:lstStyle/>
        <a:p>
          <a:endParaRPr lang="en-US"/>
        </a:p>
      </dgm:t>
    </dgm:pt>
    <dgm:pt modelId="{A3D15561-3B86-4173-B262-B56BA8120FD8}" type="pres">
      <dgm:prSet presAssocID="{57E87866-B5A1-45BC-935C-8E20D3E44770}" presName="Name0" presStyleCnt="0">
        <dgm:presLayoutVars>
          <dgm:dir/>
          <dgm:resizeHandles val="exact"/>
        </dgm:presLayoutVars>
      </dgm:prSet>
      <dgm:spPr/>
    </dgm:pt>
    <dgm:pt modelId="{87EF0E15-86A3-489C-93C6-B649826059E3}" type="pres">
      <dgm:prSet presAssocID="{C5F62557-5C8C-4614-84B7-1485AC23C239}" presName="composite" presStyleCnt="0"/>
      <dgm:spPr/>
    </dgm:pt>
    <dgm:pt modelId="{DD82362B-FC36-42B5-958D-CD47D0BAB8F8}" type="pres">
      <dgm:prSet presAssocID="{C5F62557-5C8C-4614-84B7-1485AC23C239}" presName="bgChev" presStyleLbl="node1" presStyleIdx="0" presStyleCnt="4"/>
      <dgm:spPr/>
    </dgm:pt>
    <dgm:pt modelId="{1EFE7454-E695-4242-B119-AF78675E6E9A}" type="pres">
      <dgm:prSet presAssocID="{C5F62557-5C8C-4614-84B7-1485AC23C239}" presName="txNode" presStyleLbl="fgAcc1" presStyleIdx="0" presStyleCnt="4">
        <dgm:presLayoutVars>
          <dgm:bulletEnabled val="1"/>
        </dgm:presLayoutVars>
      </dgm:prSet>
      <dgm:spPr/>
    </dgm:pt>
    <dgm:pt modelId="{BCBD7BA6-CC66-4F35-896C-0240BEDD048F}" type="pres">
      <dgm:prSet presAssocID="{CBA6125B-7640-4442-B0CB-DE330D446FD7}" presName="compositeSpace" presStyleCnt="0"/>
      <dgm:spPr/>
    </dgm:pt>
    <dgm:pt modelId="{FBEE3D57-0253-418C-973F-57BF01EFF2E5}" type="pres">
      <dgm:prSet presAssocID="{7B36075B-2C4E-42C5-A058-EC2286271D1B}" presName="composite" presStyleCnt="0"/>
      <dgm:spPr/>
    </dgm:pt>
    <dgm:pt modelId="{559E6618-1F0A-4615-9C6A-E6CE6929216C}" type="pres">
      <dgm:prSet presAssocID="{7B36075B-2C4E-42C5-A058-EC2286271D1B}" presName="bgChev" presStyleLbl="node1" presStyleIdx="1" presStyleCnt="4"/>
      <dgm:spPr/>
    </dgm:pt>
    <dgm:pt modelId="{C73C4EF4-1E62-4D52-B344-C0D61BE8DAF8}" type="pres">
      <dgm:prSet presAssocID="{7B36075B-2C4E-42C5-A058-EC2286271D1B}" presName="txNode" presStyleLbl="fgAcc1" presStyleIdx="1" presStyleCnt="4">
        <dgm:presLayoutVars>
          <dgm:bulletEnabled val="1"/>
        </dgm:presLayoutVars>
      </dgm:prSet>
      <dgm:spPr/>
    </dgm:pt>
    <dgm:pt modelId="{DBCBE3B6-8EB3-4211-8794-D298C4F217C3}" type="pres">
      <dgm:prSet presAssocID="{43C74EA9-9182-40CA-8A13-505C64E012B2}" presName="compositeSpace" presStyleCnt="0"/>
      <dgm:spPr/>
    </dgm:pt>
    <dgm:pt modelId="{EE643913-CD36-4BA8-ACFC-34792B28B6EE}" type="pres">
      <dgm:prSet presAssocID="{A1E042CE-9391-46BE-8179-1EDA0553C671}" presName="composite" presStyleCnt="0"/>
      <dgm:spPr/>
    </dgm:pt>
    <dgm:pt modelId="{90DB3C21-16EE-4F75-B8FC-50CB830F6B5A}" type="pres">
      <dgm:prSet presAssocID="{A1E042CE-9391-46BE-8179-1EDA0553C671}" presName="bgChev" presStyleLbl="node1" presStyleIdx="2" presStyleCnt="4"/>
      <dgm:spPr/>
    </dgm:pt>
    <dgm:pt modelId="{32B531FF-A254-425A-A4FA-FC3270D4A3AB}" type="pres">
      <dgm:prSet presAssocID="{A1E042CE-9391-46BE-8179-1EDA0553C671}" presName="txNode" presStyleLbl="fgAcc1" presStyleIdx="2" presStyleCnt="4" custLinFactNeighborX="2787" custLinFactNeighborY="34375">
        <dgm:presLayoutVars>
          <dgm:bulletEnabled val="1"/>
        </dgm:presLayoutVars>
      </dgm:prSet>
      <dgm:spPr/>
    </dgm:pt>
    <dgm:pt modelId="{FB66F712-FAF0-42D2-B6DB-A352DDD38ECF}" type="pres">
      <dgm:prSet presAssocID="{4FB260A1-2C01-4CFE-9632-EA51B1B7020D}" presName="compositeSpace" presStyleCnt="0"/>
      <dgm:spPr/>
    </dgm:pt>
    <dgm:pt modelId="{BA24B5C7-ABC8-42C6-BA3B-EEA8EC7677E5}" type="pres">
      <dgm:prSet presAssocID="{FD39DFC0-B7B6-4CBA-B9E1-936A34A29001}" presName="composite" presStyleCnt="0"/>
      <dgm:spPr/>
    </dgm:pt>
    <dgm:pt modelId="{84614EA1-AF45-489E-AB04-6D061B08CE47}" type="pres">
      <dgm:prSet presAssocID="{FD39DFC0-B7B6-4CBA-B9E1-936A34A29001}" presName="bgChev" presStyleLbl="node1" presStyleIdx="3" presStyleCnt="4"/>
      <dgm:spPr/>
    </dgm:pt>
    <dgm:pt modelId="{605B255B-D10F-4525-A82B-A47D5C70295B}" type="pres">
      <dgm:prSet presAssocID="{FD39DFC0-B7B6-4CBA-B9E1-936A34A29001}" presName="txNode" presStyleLbl="fgAcc1" presStyleIdx="3" presStyleCnt="4">
        <dgm:presLayoutVars>
          <dgm:bulletEnabled val="1"/>
        </dgm:presLayoutVars>
      </dgm:prSet>
      <dgm:spPr/>
    </dgm:pt>
  </dgm:ptLst>
  <dgm:cxnLst>
    <dgm:cxn modelId="{EF99E113-56F9-4D8F-9C5B-63E8CFD8B302}" srcId="{57E87866-B5A1-45BC-935C-8E20D3E44770}" destId="{A1E042CE-9391-46BE-8179-1EDA0553C671}" srcOrd="2" destOrd="0" parTransId="{97FE4D3D-2386-47FD-868D-DDC4DA578091}" sibTransId="{4FB260A1-2C01-4CFE-9632-EA51B1B7020D}"/>
    <dgm:cxn modelId="{DF77AB6C-BFF5-4CFB-BF0F-C1D6A918EA86}" type="presOf" srcId="{7B36075B-2C4E-42C5-A058-EC2286271D1B}" destId="{C73C4EF4-1E62-4D52-B344-C0D61BE8DAF8}" srcOrd="0" destOrd="0" presId="urn:microsoft.com/office/officeart/2005/8/layout/chevronAccent+Icon"/>
    <dgm:cxn modelId="{F6941379-203A-42C9-9FF3-BCBE346705A0}" srcId="{57E87866-B5A1-45BC-935C-8E20D3E44770}" destId="{7B36075B-2C4E-42C5-A058-EC2286271D1B}" srcOrd="1" destOrd="0" parTransId="{8CAEFBB6-DCB6-40BE-8321-3670A27418EA}" sibTransId="{43C74EA9-9182-40CA-8A13-505C64E012B2}"/>
    <dgm:cxn modelId="{00ABE480-CF72-4C95-BCDB-7FB7AE6B4CE4}" srcId="{57E87866-B5A1-45BC-935C-8E20D3E44770}" destId="{FD39DFC0-B7B6-4CBA-B9E1-936A34A29001}" srcOrd="3" destOrd="0" parTransId="{7D55DD58-15F1-40D7-A789-EB223FA530CE}" sibTransId="{22CCDC53-7C78-43B6-B14E-6868390ECAD8}"/>
    <dgm:cxn modelId="{30188699-68C0-4548-837B-AD90136214F7}" type="presOf" srcId="{A1E042CE-9391-46BE-8179-1EDA0553C671}" destId="{32B531FF-A254-425A-A4FA-FC3270D4A3AB}" srcOrd="0" destOrd="0" presId="urn:microsoft.com/office/officeart/2005/8/layout/chevronAccent+Icon"/>
    <dgm:cxn modelId="{F0516AAB-D60E-4EFD-B2F2-53268614DB40}" type="presOf" srcId="{57E87866-B5A1-45BC-935C-8E20D3E44770}" destId="{A3D15561-3B86-4173-B262-B56BA8120FD8}" srcOrd="0" destOrd="0" presId="urn:microsoft.com/office/officeart/2005/8/layout/chevronAccent+Icon"/>
    <dgm:cxn modelId="{2F862CB1-455E-42A7-AEBD-8D7E8D677E58}" type="presOf" srcId="{FD39DFC0-B7B6-4CBA-B9E1-936A34A29001}" destId="{605B255B-D10F-4525-A82B-A47D5C70295B}" srcOrd="0" destOrd="0" presId="urn:microsoft.com/office/officeart/2005/8/layout/chevronAccent+Icon"/>
    <dgm:cxn modelId="{37A32AB6-2C34-456E-BDEA-1F5EBFEBB55A}" srcId="{57E87866-B5A1-45BC-935C-8E20D3E44770}" destId="{C5F62557-5C8C-4614-84B7-1485AC23C239}" srcOrd="0" destOrd="0" parTransId="{3301FC9D-28D0-4CC8-90BF-95755DC6C3A4}" sibTransId="{CBA6125B-7640-4442-B0CB-DE330D446FD7}"/>
    <dgm:cxn modelId="{D9C24AF5-ACC7-49C3-A0E5-179720E1DBEE}" type="presOf" srcId="{C5F62557-5C8C-4614-84B7-1485AC23C239}" destId="{1EFE7454-E695-4242-B119-AF78675E6E9A}" srcOrd="0" destOrd="0" presId="urn:microsoft.com/office/officeart/2005/8/layout/chevronAccent+Icon"/>
    <dgm:cxn modelId="{A85F736A-9513-43DE-B331-BF9632723783}" type="presParOf" srcId="{A3D15561-3B86-4173-B262-B56BA8120FD8}" destId="{87EF0E15-86A3-489C-93C6-B649826059E3}" srcOrd="0" destOrd="0" presId="urn:microsoft.com/office/officeart/2005/8/layout/chevronAccent+Icon"/>
    <dgm:cxn modelId="{645F8C17-034E-493D-B706-B71B3EB75BFC}" type="presParOf" srcId="{87EF0E15-86A3-489C-93C6-B649826059E3}" destId="{DD82362B-FC36-42B5-958D-CD47D0BAB8F8}" srcOrd="0" destOrd="0" presId="urn:microsoft.com/office/officeart/2005/8/layout/chevronAccent+Icon"/>
    <dgm:cxn modelId="{DBBA8E74-3BB3-4A2C-8068-9E5B5A26E518}" type="presParOf" srcId="{87EF0E15-86A3-489C-93C6-B649826059E3}" destId="{1EFE7454-E695-4242-B119-AF78675E6E9A}" srcOrd="1" destOrd="0" presId="urn:microsoft.com/office/officeart/2005/8/layout/chevronAccent+Icon"/>
    <dgm:cxn modelId="{D541B5C5-AD7F-4E7C-9859-A908939A8561}" type="presParOf" srcId="{A3D15561-3B86-4173-B262-B56BA8120FD8}" destId="{BCBD7BA6-CC66-4F35-896C-0240BEDD048F}" srcOrd="1" destOrd="0" presId="urn:microsoft.com/office/officeart/2005/8/layout/chevronAccent+Icon"/>
    <dgm:cxn modelId="{D93A3579-300F-4BC2-8F92-D75CC57C7395}" type="presParOf" srcId="{A3D15561-3B86-4173-B262-B56BA8120FD8}" destId="{FBEE3D57-0253-418C-973F-57BF01EFF2E5}" srcOrd="2" destOrd="0" presId="urn:microsoft.com/office/officeart/2005/8/layout/chevronAccent+Icon"/>
    <dgm:cxn modelId="{975C7AA7-0A10-4866-94EB-4BAE67A6C638}" type="presParOf" srcId="{FBEE3D57-0253-418C-973F-57BF01EFF2E5}" destId="{559E6618-1F0A-4615-9C6A-E6CE6929216C}" srcOrd="0" destOrd="0" presId="urn:microsoft.com/office/officeart/2005/8/layout/chevronAccent+Icon"/>
    <dgm:cxn modelId="{71237E42-6F69-4B1E-823A-026A28DB7EF0}" type="presParOf" srcId="{FBEE3D57-0253-418C-973F-57BF01EFF2E5}" destId="{C73C4EF4-1E62-4D52-B344-C0D61BE8DAF8}" srcOrd="1" destOrd="0" presId="urn:microsoft.com/office/officeart/2005/8/layout/chevronAccent+Icon"/>
    <dgm:cxn modelId="{12CA2C01-E20D-41CC-9E13-80ACBDD540D8}" type="presParOf" srcId="{A3D15561-3B86-4173-B262-B56BA8120FD8}" destId="{DBCBE3B6-8EB3-4211-8794-D298C4F217C3}" srcOrd="3" destOrd="0" presId="urn:microsoft.com/office/officeart/2005/8/layout/chevronAccent+Icon"/>
    <dgm:cxn modelId="{DCC4A30D-FF45-49D4-8353-339A99ABBD69}" type="presParOf" srcId="{A3D15561-3B86-4173-B262-B56BA8120FD8}" destId="{EE643913-CD36-4BA8-ACFC-34792B28B6EE}" srcOrd="4" destOrd="0" presId="urn:microsoft.com/office/officeart/2005/8/layout/chevronAccent+Icon"/>
    <dgm:cxn modelId="{6FC84A9F-923B-466A-8870-B47FBD4AA1EF}" type="presParOf" srcId="{EE643913-CD36-4BA8-ACFC-34792B28B6EE}" destId="{90DB3C21-16EE-4F75-B8FC-50CB830F6B5A}" srcOrd="0" destOrd="0" presId="urn:microsoft.com/office/officeart/2005/8/layout/chevronAccent+Icon"/>
    <dgm:cxn modelId="{5803E5B6-BA22-4142-8E27-3CE7194EDBEC}" type="presParOf" srcId="{EE643913-CD36-4BA8-ACFC-34792B28B6EE}" destId="{32B531FF-A254-425A-A4FA-FC3270D4A3AB}" srcOrd="1" destOrd="0" presId="urn:microsoft.com/office/officeart/2005/8/layout/chevronAccent+Icon"/>
    <dgm:cxn modelId="{7882F849-9240-479D-877A-419E8FB9147C}" type="presParOf" srcId="{A3D15561-3B86-4173-B262-B56BA8120FD8}" destId="{FB66F712-FAF0-42D2-B6DB-A352DDD38ECF}" srcOrd="5" destOrd="0" presId="urn:microsoft.com/office/officeart/2005/8/layout/chevronAccent+Icon"/>
    <dgm:cxn modelId="{01BFD6D1-B4AF-4447-9872-2DED9DD8C74C}" type="presParOf" srcId="{A3D15561-3B86-4173-B262-B56BA8120FD8}" destId="{BA24B5C7-ABC8-42C6-BA3B-EEA8EC7677E5}" srcOrd="6" destOrd="0" presId="urn:microsoft.com/office/officeart/2005/8/layout/chevronAccent+Icon"/>
    <dgm:cxn modelId="{69C5AE5E-6C92-48AF-9164-3EA04A85E011}" type="presParOf" srcId="{BA24B5C7-ABC8-42C6-BA3B-EEA8EC7677E5}" destId="{84614EA1-AF45-489E-AB04-6D061B08CE47}" srcOrd="0" destOrd="0" presId="urn:microsoft.com/office/officeart/2005/8/layout/chevronAccent+Icon"/>
    <dgm:cxn modelId="{C62203DC-CDEF-4E53-947F-3A8BD1D600F6}" type="presParOf" srcId="{BA24B5C7-ABC8-42C6-BA3B-EEA8EC7677E5}" destId="{605B255B-D10F-4525-A82B-A47D5C70295B}" srcOrd="1" destOrd="0" presId="urn:microsoft.com/office/officeart/2005/8/layout/chevronAccent+Icon"/>
  </dgm:cxnLst>
  <dgm:bg/>
  <dgm:whole/>
  <dgm:extLst>
    <a:ext uri="http://schemas.microsoft.com/office/drawing/2008/diagram">
      <dsp:dataModelExt xmlns:dsp="http://schemas.microsoft.com/office/drawing/2008/diagram" relId="rId6"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DD82362B-FC36-42B5-958D-CD47D0BAB8F8}">
      <dsp:nvSpPr>
        <dsp:cNvPr id="0" name=""/>
        <dsp:cNvSpPr/>
      </dsp:nvSpPr>
      <dsp:spPr>
        <a:xfrm>
          <a:off x="3582" y="0"/>
          <a:ext cx="1686053" cy="419100"/>
        </a:xfrm>
        <a:prstGeom prst="chevron">
          <a:avLst>
            <a:gd name="adj" fmla="val 40000"/>
          </a:avLst>
        </a:prstGeom>
        <a:solidFill>
          <a:schemeClr val="accent5">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1EFE7454-E695-4242-B119-AF78675E6E9A}">
      <dsp:nvSpPr>
        <dsp:cNvPr id="0" name=""/>
        <dsp:cNvSpPr/>
      </dsp:nvSpPr>
      <dsp:spPr>
        <a:xfrm>
          <a:off x="453196" y="104775"/>
          <a:ext cx="1423778" cy="419100"/>
        </a:xfrm>
        <a:prstGeom prst="roundRect">
          <a:avLst>
            <a:gd name="adj" fmla="val 10000"/>
          </a:avLst>
        </a:prstGeom>
        <a:solidFill>
          <a:schemeClr val="lt1">
            <a:alpha val="90000"/>
            <a:hueOff val="0"/>
            <a:satOff val="0"/>
            <a:lumOff val="0"/>
            <a:alphaOff val="0"/>
          </a:schemeClr>
        </a:solidFill>
        <a:ln w="19050" cap="flat" cmpd="sng" algn="ctr">
          <a:solidFill>
            <a:schemeClr val="accent5">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92456" tIns="92456" rIns="92456" bIns="92456" numCol="1" spcCol="1270" anchor="ctr" anchorCtr="0">
          <a:noAutofit/>
        </a:bodyPr>
        <a:lstStyle/>
        <a:p>
          <a:pPr marL="0" lvl="0" indent="0" algn="ctr" defTabSz="577850">
            <a:lnSpc>
              <a:spcPct val="90000"/>
            </a:lnSpc>
            <a:spcBef>
              <a:spcPct val="0"/>
            </a:spcBef>
            <a:spcAft>
              <a:spcPct val="35000"/>
            </a:spcAft>
            <a:buNone/>
          </a:pPr>
          <a:r>
            <a:rPr lang="en-US" sz="1300" kern="1200"/>
            <a:t>Total Riders</a:t>
          </a:r>
        </a:p>
      </dsp:txBody>
      <dsp:txXfrm>
        <a:off x="465471" y="117050"/>
        <a:ext cx="1399228" cy="394550"/>
      </dsp:txXfrm>
    </dsp:sp>
    <dsp:sp modelId="{559E6618-1F0A-4615-9C6A-E6CE6929216C}">
      <dsp:nvSpPr>
        <dsp:cNvPr id="0" name=""/>
        <dsp:cNvSpPr/>
      </dsp:nvSpPr>
      <dsp:spPr>
        <a:xfrm>
          <a:off x="1929429" y="0"/>
          <a:ext cx="1686053" cy="419100"/>
        </a:xfrm>
        <a:prstGeom prst="chevron">
          <a:avLst>
            <a:gd name="adj" fmla="val 40000"/>
          </a:avLst>
        </a:prstGeom>
        <a:solidFill>
          <a:schemeClr val="accent5">
            <a:hueOff val="-4050717"/>
            <a:satOff val="-275"/>
            <a:lumOff val="654"/>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C73C4EF4-1E62-4D52-B344-C0D61BE8DAF8}">
      <dsp:nvSpPr>
        <dsp:cNvPr id="0" name=""/>
        <dsp:cNvSpPr/>
      </dsp:nvSpPr>
      <dsp:spPr>
        <a:xfrm>
          <a:off x="2379044" y="104775"/>
          <a:ext cx="1423778" cy="419100"/>
        </a:xfrm>
        <a:prstGeom prst="roundRect">
          <a:avLst>
            <a:gd name="adj" fmla="val 10000"/>
          </a:avLst>
        </a:prstGeom>
        <a:solidFill>
          <a:schemeClr val="lt1">
            <a:alpha val="90000"/>
            <a:hueOff val="0"/>
            <a:satOff val="0"/>
            <a:lumOff val="0"/>
            <a:alphaOff val="0"/>
          </a:schemeClr>
        </a:solidFill>
        <a:ln w="19050" cap="flat" cmpd="sng" algn="ctr">
          <a:solidFill>
            <a:schemeClr val="accent5">
              <a:hueOff val="-4050717"/>
              <a:satOff val="-275"/>
              <a:lumOff val="654"/>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92456" tIns="92456" rIns="92456" bIns="92456" numCol="1" spcCol="1270" anchor="ctr" anchorCtr="0">
          <a:noAutofit/>
        </a:bodyPr>
        <a:lstStyle/>
        <a:p>
          <a:pPr marL="0" lvl="0" indent="0" algn="ctr" defTabSz="577850">
            <a:lnSpc>
              <a:spcPct val="90000"/>
            </a:lnSpc>
            <a:spcBef>
              <a:spcPct val="0"/>
            </a:spcBef>
            <a:spcAft>
              <a:spcPct val="35000"/>
            </a:spcAft>
            <a:buNone/>
          </a:pPr>
          <a:r>
            <a:rPr lang="en-US" sz="1300" kern="1200"/>
            <a:t>Rigestered Riders</a:t>
          </a:r>
        </a:p>
      </dsp:txBody>
      <dsp:txXfrm>
        <a:off x="2391319" y="117050"/>
        <a:ext cx="1399228" cy="394550"/>
      </dsp:txXfrm>
    </dsp:sp>
    <dsp:sp modelId="{90DB3C21-16EE-4F75-B8FC-50CB830F6B5A}">
      <dsp:nvSpPr>
        <dsp:cNvPr id="0" name=""/>
        <dsp:cNvSpPr/>
      </dsp:nvSpPr>
      <dsp:spPr>
        <a:xfrm>
          <a:off x="3855277" y="0"/>
          <a:ext cx="1686053" cy="419099"/>
        </a:xfrm>
        <a:prstGeom prst="chevron">
          <a:avLst>
            <a:gd name="adj" fmla="val 40000"/>
          </a:avLst>
        </a:prstGeom>
        <a:solidFill>
          <a:schemeClr val="accent5">
            <a:hueOff val="-8101434"/>
            <a:satOff val="-551"/>
            <a:lumOff val="1307"/>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32B531FF-A254-425A-A4FA-FC3270D4A3AB}">
      <dsp:nvSpPr>
        <dsp:cNvPr id="0" name=""/>
        <dsp:cNvSpPr/>
      </dsp:nvSpPr>
      <dsp:spPr>
        <a:xfrm>
          <a:off x="4344572" y="104775"/>
          <a:ext cx="1423778" cy="419099"/>
        </a:xfrm>
        <a:prstGeom prst="roundRect">
          <a:avLst>
            <a:gd name="adj" fmla="val 10000"/>
          </a:avLst>
        </a:prstGeom>
        <a:solidFill>
          <a:schemeClr val="lt1">
            <a:alpha val="90000"/>
            <a:hueOff val="0"/>
            <a:satOff val="0"/>
            <a:lumOff val="0"/>
            <a:alphaOff val="0"/>
          </a:schemeClr>
        </a:solidFill>
        <a:ln w="19050" cap="flat" cmpd="sng" algn="ctr">
          <a:solidFill>
            <a:schemeClr val="accent5">
              <a:hueOff val="-8101434"/>
              <a:satOff val="-551"/>
              <a:lumOff val="1307"/>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92456" tIns="92456" rIns="92456" bIns="92456" numCol="1" spcCol="1270" anchor="ctr" anchorCtr="0">
          <a:noAutofit/>
        </a:bodyPr>
        <a:lstStyle/>
        <a:p>
          <a:pPr marL="0" lvl="0" indent="0" algn="ctr" defTabSz="577850">
            <a:lnSpc>
              <a:spcPct val="90000"/>
            </a:lnSpc>
            <a:spcBef>
              <a:spcPct val="0"/>
            </a:spcBef>
            <a:spcAft>
              <a:spcPct val="35000"/>
            </a:spcAft>
            <a:buNone/>
          </a:pPr>
          <a:r>
            <a:rPr lang="en-US" sz="1300" kern="1200"/>
            <a:t>AVG Riders</a:t>
          </a:r>
        </a:p>
      </dsp:txBody>
      <dsp:txXfrm>
        <a:off x="4356847" y="117050"/>
        <a:ext cx="1399228" cy="394549"/>
      </dsp:txXfrm>
    </dsp:sp>
    <dsp:sp modelId="{84614EA1-AF45-489E-AB04-6D061B08CE47}">
      <dsp:nvSpPr>
        <dsp:cNvPr id="0" name=""/>
        <dsp:cNvSpPr/>
      </dsp:nvSpPr>
      <dsp:spPr>
        <a:xfrm>
          <a:off x="5781125" y="0"/>
          <a:ext cx="1686053" cy="419100"/>
        </a:xfrm>
        <a:prstGeom prst="chevron">
          <a:avLst>
            <a:gd name="adj" fmla="val 40000"/>
          </a:avLst>
        </a:prstGeom>
        <a:solidFill>
          <a:schemeClr val="accent5">
            <a:hueOff val="-12152150"/>
            <a:satOff val="-826"/>
            <a:lumOff val="1961"/>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605B255B-D10F-4525-A82B-A47D5C70295B}">
      <dsp:nvSpPr>
        <dsp:cNvPr id="0" name=""/>
        <dsp:cNvSpPr/>
      </dsp:nvSpPr>
      <dsp:spPr>
        <a:xfrm>
          <a:off x="6230739" y="104775"/>
          <a:ext cx="1423778" cy="419100"/>
        </a:xfrm>
        <a:prstGeom prst="roundRect">
          <a:avLst>
            <a:gd name="adj" fmla="val 10000"/>
          </a:avLst>
        </a:prstGeom>
        <a:solidFill>
          <a:schemeClr val="lt1">
            <a:alpha val="90000"/>
            <a:hueOff val="0"/>
            <a:satOff val="0"/>
            <a:lumOff val="0"/>
            <a:alphaOff val="0"/>
          </a:schemeClr>
        </a:solidFill>
        <a:ln w="19050" cap="flat" cmpd="sng" algn="ctr">
          <a:solidFill>
            <a:schemeClr val="accent5">
              <a:hueOff val="-12152150"/>
              <a:satOff val="-826"/>
              <a:lumOff val="1961"/>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92456" tIns="92456" rIns="92456" bIns="92456" numCol="1" spcCol="1270" anchor="ctr" anchorCtr="0">
          <a:noAutofit/>
        </a:bodyPr>
        <a:lstStyle/>
        <a:p>
          <a:pPr marL="0" lvl="0" indent="0" algn="ctr" defTabSz="577850">
            <a:lnSpc>
              <a:spcPct val="90000"/>
            </a:lnSpc>
            <a:spcBef>
              <a:spcPct val="0"/>
            </a:spcBef>
            <a:spcAft>
              <a:spcPct val="35000"/>
            </a:spcAft>
            <a:buNone/>
          </a:pPr>
          <a:r>
            <a:rPr lang="en-US" sz="1300" kern="1200"/>
            <a:t>AVG Peak Hours</a:t>
          </a:r>
        </a:p>
      </dsp:txBody>
      <dsp:txXfrm>
        <a:off x="6243014" y="117050"/>
        <a:ext cx="1399228" cy="394550"/>
      </dsp:txXfrm>
    </dsp:sp>
  </dsp:spTree>
</dsp:drawing>
</file>

<file path=xl/diagrams/layout1.xml><?xml version="1.0" encoding="utf-8"?>
<dgm:layoutDef xmlns:dgm="http://schemas.openxmlformats.org/drawingml/2006/diagram" xmlns:a="http://schemas.openxmlformats.org/drawingml/2006/main" uniqueId="urn:microsoft.com/office/officeart/2005/8/layout/chevronAccent+Icon">
  <dgm:title val="Chevron Accent Process"/>
  <dgm:desc val="Use to show sequential steps in a task, process, or workflow, or to emphasize movement or direction. Works best with minimal Level 1 and Level 2 text."/>
  <dgm:catLst>
    <dgm:cat type="process" pri="9500"/>
    <dgm:cat type="officeonline" pri="2000"/>
  </dgm:catLst>
  <dgm:sampData useDef="1">
    <dgm:dataModel>
      <dgm:ptLst/>
      <dgm:bg/>
      <dgm:whole/>
    </dgm:dataModel>
  </dgm:sampData>
  <dgm:styleData>
    <dgm:dataModel>
      <dgm:ptLst>
        <dgm:pt modelId="0" type="doc"/>
        <dgm:pt modelId="1"/>
        <dgm:pt modelId="2"/>
      </dgm:ptLst>
      <dgm:cxnLst>
        <dgm:cxn modelId="4" srcId="0" destId="1" srcOrd="0" destOrd="0"/>
        <dgm:cxn modelId="5" srcId="0" destId="2" srcOrd="1" destOrd="0"/>
      </dgm:cxnLst>
      <dgm:bg/>
      <dgm:whole/>
    </dgm:dataModel>
  </dgm:styleData>
  <dgm:clrData>
    <dgm:dataModel>
      <dgm:ptLst>
        <dgm:pt modelId="0" type="doc"/>
        <dgm:pt modelId="1"/>
        <dgm:pt modelId="2"/>
        <dgm:pt modelId="3"/>
        <dgm:pt modelId="4"/>
      </dgm:ptLst>
      <dgm:cxnLst>
        <dgm:cxn modelId="5" srcId="0" destId="1" srcOrd="0" destOrd="0"/>
        <dgm:cxn modelId="6" srcId="0" destId="2" srcOrd="1" destOrd="0"/>
        <dgm:cxn modelId="7" srcId="0" destId="3" srcOrd="2" destOrd="0"/>
        <dgm:cxn modelId="8" srcId="0" destId="4" srcOrd="3" destOrd="0"/>
      </dgm:cxnLst>
      <dgm:bg/>
      <dgm:whole/>
    </dgm:dataModel>
  </dgm:clrData>
  <dgm:layoutNode name="Name0">
    <dgm:varLst>
      <dgm:dir/>
      <dgm:resizeHandles val="exact"/>
    </dgm:varLst>
    <dgm:choose name="Name1">
      <dgm:if name="Name2" func="var" arg="dir" op="equ" val="norm">
        <dgm:alg type="lin"/>
      </dgm:if>
      <dgm:else name="Name3">
        <dgm:alg type="lin">
          <dgm:param type="linDir" val="fromR"/>
        </dgm:alg>
      </dgm:else>
    </dgm:choose>
    <dgm:shape xmlns:r="http://schemas.openxmlformats.org/officeDocument/2006/relationships" r:blip="">
      <dgm:adjLst/>
    </dgm:shape>
    <dgm:presOf/>
    <dgm:constrLst>
      <dgm:constr type="w" for="ch" forName="composite" refType="w"/>
      <dgm:constr type="primFontSz" for="des" forName="txNode" op="equ" val="65"/>
      <dgm:constr type="w" for="ch" forName="compositeSpace" refType="w" refFor="ch" refForName="composite" fact="0.028"/>
    </dgm:constrLst>
    <dgm:ruleLst/>
    <dgm:forEach name="Name4" axis="ch" ptType="node">
      <dgm:layoutNode name="composite">
        <dgm:alg type="composite"/>
        <dgm:shape xmlns:r="http://schemas.openxmlformats.org/officeDocument/2006/relationships" r:blip="">
          <dgm:adjLst/>
        </dgm:shape>
        <dgm:presOf/>
        <dgm:choose name="Name5">
          <dgm:if name="Name6" func="var" arg="dir" op="equ" val="norm">
            <dgm:constrLst>
              <dgm:constr type="l" for="ch" forName="bgChev"/>
              <dgm:constr type="w" for="ch" forName="bgChev" refType="w" fact="0.9"/>
              <dgm:constr type="t" for="ch" forName="bgChev"/>
              <dgm:constr type="h" for="ch" forName="bgChev" refType="w" refFor="ch" refForName="bgChev" fact="0.386"/>
              <dgm:constr type="l" for="ch" forName="txNode" refType="w" fact="0.24"/>
              <dgm:constr type="w" for="ch" forName="txNode" refType="w" fact="0.76"/>
              <dgm:constr type="t" for="ch" forName="txNode" refType="h" refFor="ch" refForName="bgChev" fact="0.25"/>
              <dgm:constr type="h" for="ch" forName="txNode" refType="h" refFor="ch" refForName="bgChev"/>
            </dgm:constrLst>
          </dgm:if>
          <dgm:else name="Name7">
            <dgm:constrLst>
              <dgm:constr type="l" for="ch" forName="bgChev" refType="w" fact="0.1"/>
              <dgm:constr type="w" for="ch" forName="bgChev" refType="w" fact="0.9"/>
              <dgm:constr type="t" for="ch" forName="bgChev"/>
              <dgm:constr type="h" for="ch" forName="bgChev" refType="w" refFor="ch" refForName="bgChev" fact="0.386"/>
              <dgm:constr type="l" for="ch" forName="txNode"/>
              <dgm:constr type="w" for="ch" forName="txNode" refType="w" fact="0.76"/>
              <dgm:constr type="t" for="ch" forName="txNode" refType="h" refFor="ch" refForName="bgChev" fact="0.25"/>
              <dgm:constr type="h" for="ch" forName="txNode" refType="h" refFor="ch" refForName="bgChev"/>
            </dgm:constrLst>
          </dgm:else>
        </dgm:choose>
        <dgm:ruleLst/>
        <dgm:layoutNode name="bgChev" styleLbl="node1">
          <dgm:alg type="sp"/>
          <dgm:choose name="Name8">
            <dgm:if name="Name9" func="var" arg="dir" op="equ" val="norm">
              <dgm:shape xmlns:r="http://schemas.openxmlformats.org/officeDocument/2006/relationships" type="chevron" r:blip="">
                <dgm:adjLst>
                  <dgm:adj idx="1" val="0.4"/>
                </dgm:adjLst>
              </dgm:shape>
            </dgm:if>
            <dgm:else name="Name10">
              <dgm:shape xmlns:r="http://schemas.openxmlformats.org/officeDocument/2006/relationships" rot="180" type="chevron" r:blip="">
                <dgm:adjLst>
                  <dgm:adj idx="1" val="0.4"/>
                </dgm:adjLst>
              </dgm:shape>
            </dgm:else>
          </dgm:choose>
          <dgm:presOf/>
          <dgm:constrLst/>
        </dgm:layoutNode>
        <dgm:layoutNode name="txNode" styleLbl="fgAcc1">
          <dgm:varLst>
            <dgm:bulletEnabled val="1"/>
          </dgm:varLst>
          <dgm:alg type="tx"/>
          <dgm:shape xmlns:r="http://schemas.openxmlformats.org/officeDocument/2006/relationships" type="roundRect" r:blip="">
            <dgm:adjLst>
              <dgm:adj idx="1" val="0.1"/>
            </dgm:adjLst>
          </dgm:shape>
          <dgm:presOf axis="desOrSelf" ptType="node"/>
          <dgm:ruleLst>
            <dgm:rule type="primFontSz" val="5" fact="NaN" max="NaN"/>
          </dgm:ruleLst>
        </dgm:layoutNode>
      </dgm:layoutNode>
      <dgm:forEach name="Name11" axis="followSib" ptType="sibTrans" cnt="1">
        <dgm:layoutNode name="compositeSpace">
          <dgm:alg type="sp"/>
          <dgm:shape xmlns:r="http://schemas.openxmlformats.org/officeDocument/2006/relationships" r:blip="">
            <dgm:adjLst/>
          </dgm:shape>
          <dgm:presOf axis="self"/>
          <dgm:constrLst/>
          <dgm:ruleLst/>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diagramLayout" Target="../diagrams/layout1.xml"/><Relationship Id="rId7" Type="http://schemas.openxmlformats.org/officeDocument/2006/relationships/chart" Target="../charts/chart7.xml"/><Relationship Id="rId12" Type="http://schemas.openxmlformats.org/officeDocument/2006/relationships/chart" Target="../charts/chart11.xml"/><Relationship Id="rId2" Type="http://schemas.openxmlformats.org/officeDocument/2006/relationships/diagramData" Target="../diagrams/data1.xml"/><Relationship Id="rId1" Type="http://schemas.openxmlformats.org/officeDocument/2006/relationships/image" Target="../media/image1.png"/><Relationship Id="rId6" Type="http://schemas.microsoft.com/office/2007/relationships/diagramDrawing" Target="../diagrams/drawing1.xml"/><Relationship Id="rId11" Type="http://schemas.openxmlformats.org/officeDocument/2006/relationships/chart" Target="../charts/chart10.xml"/><Relationship Id="rId5" Type="http://schemas.openxmlformats.org/officeDocument/2006/relationships/diagramColors" Target="../diagrams/colors1.xml"/><Relationship Id="rId10" Type="http://schemas.openxmlformats.org/officeDocument/2006/relationships/image" Target="../media/image2.png"/><Relationship Id="rId4" Type="http://schemas.openxmlformats.org/officeDocument/2006/relationships/diagramQuickStyle" Target="../diagrams/quickStyle1.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1590675</xdr:colOff>
      <xdr:row>2</xdr:row>
      <xdr:rowOff>90487</xdr:rowOff>
    </xdr:from>
    <xdr:to>
      <xdr:col>6</xdr:col>
      <xdr:colOff>247650</xdr:colOff>
      <xdr:row>17</xdr:row>
      <xdr:rowOff>166687</xdr:rowOff>
    </xdr:to>
    <xdr:graphicFrame macro="">
      <xdr:nvGraphicFramePr>
        <xdr:cNvPr id="2" name="Chart 1">
          <a:extLst>
            <a:ext uri="{FF2B5EF4-FFF2-40B4-BE49-F238E27FC236}">
              <a16:creationId xmlns:a16="http://schemas.microsoft.com/office/drawing/2014/main" id="{DFC1E325-552E-2B00-C98B-D718252244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304800</xdr:colOff>
      <xdr:row>0</xdr:row>
      <xdr:rowOff>133350</xdr:rowOff>
    </xdr:from>
    <xdr:to>
      <xdr:col>8</xdr:col>
      <xdr:colOff>533400</xdr:colOff>
      <xdr:row>14</xdr:row>
      <xdr:rowOff>133350</xdr:rowOff>
    </xdr:to>
    <mc:AlternateContent xmlns:mc="http://schemas.openxmlformats.org/markup-compatibility/2006" xmlns:a14="http://schemas.microsoft.com/office/drawing/2010/main">
      <mc:Choice Requires="a14">
        <xdr:graphicFrame macro="">
          <xdr:nvGraphicFramePr>
            <xdr:cNvPr id="3" name="Weekday_lookup">
              <a:extLst>
                <a:ext uri="{FF2B5EF4-FFF2-40B4-BE49-F238E27FC236}">
                  <a16:creationId xmlns:a16="http://schemas.microsoft.com/office/drawing/2014/main" id="{1C55E070-C40B-E0D2-027A-A788EBBCA010}"/>
                </a:ext>
              </a:extLst>
            </xdr:cNvPr>
            <xdr:cNvGraphicFramePr/>
          </xdr:nvGraphicFramePr>
          <xdr:xfrm>
            <a:off x="0" y="0"/>
            <a:ext cx="0" cy="0"/>
          </xdr:xfrm>
          <a:graphic>
            <a:graphicData uri="http://schemas.microsoft.com/office/drawing/2010/slicer">
              <sle:slicer xmlns:sle="http://schemas.microsoft.com/office/drawing/2010/slicer" name="Weekday_lookup"/>
            </a:graphicData>
          </a:graphic>
        </xdr:graphicFrame>
      </mc:Choice>
      <mc:Fallback xmlns="">
        <xdr:sp macro="" textlink="">
          <xdr:nvSpPr>
            <xdr:cNvPr id="0" name=""/>
            <xdr:cNvSpPr>
              <a:spLocks noTextEdit="1"/>
            </xdr:cNvSpPr>
          </xdr:nvSpPr>
          <xdr:spPr>
            <a:xfrm>
              <a:off x="6057900" y="13335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457200</xdr:colOff>
      <xdr:row>15</xdr:row>
      <xdr:rowOff>4762</xdr:rowOff>
    </xdr:from>
    <xdr:to>
      <xdr:col>17</xdr:col>
      <xdr:colOff>28575</xdr:colOff>
      <xdr:row>29</xdr:row>
      <xdr:rowOff>80962</xdr:rowOff>
    </xdr:to>
    <xdr:graphicFrame macro="">
      <xdr:nvGraphicFramePr>
        <xdr:cNvPr id="4" name="Chart 3">
          <a:extLst>
            <a:ext uri="{FF2B5EF4-FFF2-40B4-BE49-F238E27FC236}">
              <a16:creationId xmlns:a16="http://schemas.microsoft.com/office/drawing/2014/main" id="{DB499A6A-4808-822F-7D18-0708223D65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485775</xdr:colOff>
      <xdr:row>7</xdr:row>
      <xdr:rowOff>90487</xdr:rowOff>
    </xdr:from>
    <xdr:to>
      <xdr:col>15</xdr:col>
      <xdr:colOff>180975</xdr:colOff>
      <xdr:row>21</xdr:row>
      <xdr:rowOff>166687</xdr:rowOff>
    </xdr:to>
    <xdr:graphicFrame macro="">
      <xdr:nvGraphicFramePr>
        <xdr:cNvPr id="5" name="Chart 4">
          <a:extLst>
            <a:ext uri="{FF2B5EF4-FFF2-40B4-BE49-F238E27FC236}">
              <a16:creationId xmlns:a16="http://schemas.microsoft.com/office/drawing/2014/main" id="{931562D3-EF27-C48A-B850-D38070A248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219075</xdr:colOff>
      <xdr:row>15</xdr:row>
      <xdr:rowOff>38100</xdr:rowOff>
    </xdr:from>
    <xdr:to>
      <xdr:col>8</xdr:col>
      <xdr:colOff>447675</xdr:colOff>
      <xdr:row>22</xdr:row>
      <xdr:rowOff>28575</xdr:rowOff>
    </xdr:to>
    <mc:AlternateContent xmlns:mc="http://schemas.openxmlformats.org/markup-compatibility/2006" xmlns:a14="http://schemas.microsoft.com/office/drawing/2010/main">
      <mc:Choice Requires="a14">
        <xdr:graphicFrame macro="">
          <xdr:nvGraphicFramePr>
            <xdr:cNvPr id="6" name="weekday_weedend_lookup">
              <a:extLst>
                <a:ext uri="{FF2B5EF4-FFF2-40B4-BE49-F238E27FC236}">
                  <a16:creationId xmlns:a16="http://schemas.microsoft.com/office/drawing/2014/main" id="{3367CF0B-56B0-FB2A-FCF9-AB34958ADDA4}"/>
                </a:ext>
              </a:extLst>
            </xdr:cNvPr>
            <xdr:cNvGraphicFramePr/>
          </xdr:nvGraphicFramePr>
          <xdr:xfrm>
            <a:off x="0" y="0"/>
            <a:ext cx="0" cy="0"/>
          </xdr:xfrm>
          <a:graphic>
            <a:graphicData uri="http://schemas.microsoft.com/office/drawing/2010/slicer">
              <sle:slicer xmlns:sle="http://schemas.microsoft.com/office/drawing/2010/slicer" name="weekday_weedend_lookup"/>
            </a:graphicData>
          </a:graphic>
        </xdr:graphicFrame>
      </mc:Choice>
      <mc:Fallback xmlns="">
        <xdr:sp macro="" textlink="">
          <xdr:nvSpPr>
            <xdr:cNvPr id="0" name=""/>
            <xdr:cNvSpPr>
              <a:spLocks noTextEdit="1"/>
            </xdr:cNvSpPr>
          </xdr:nvSpPr>
          <xdr:spPr>
            <a:xfrm>
              <a:off x="5972175" y="2895600"/>
              <a:ext cx="1828800" cy="1323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838200</xdr:colOff>
      <xdr:row>10</xdr:row>
      <xdr:rowOff>76200</xdr:rowOff>
    </xdr:from>
    <xdr:to>
      <xdr:col>5</xdr:col>
      <xdr:colOff>847725</xdr:colOff>
      <xdr:row>24</xdr:row>
      <xdr:rowOff>76200</xdr:rowOff>
    </xdr:to>
    <mc:AlternateContent xmlns:mc="http://schemas.openxmlformats.org/markup-compatibility/2006" xmlns:a14="http://schemas.microsoft.com/office/drawing/2010/main">
      <mc:Choice Requires="a14">
        <xdr:graphicFrame macro="">
          <xdr:nvGraphicFramePr>
            <xdr:cNvPr id="7" name="hr">
              <a:extLst>
                <a:ext uri="{FF2B5EF4-FFF2-40B4-BE49-F238E27FC236}">
                  <a16:creationId xmlns:a16="http://schemas.microsoft.com/office/drawing/2014/main" id="{9DB5CC9E-EA46-172E-B7E2-D185A839AD02}"/>
                </a:ext>
              </a:extLst>
            </xdr:cNvPr>
            <xdr:cNvGraphicFramePr/>
          </xdr:nvGraphicFramePr>
          <xdr:xfrm>
            <a:off x="0" y="0"/>
            <a:ext cx="0" cy="0"/>
          </xdr:xfrm>
          <a:graphic>
            <a:graphicData uri="http://schemas.microsoft.com/office/drawing/2010/slicer">
              <sle:slicer xmlns:sle="http://schemas.microsoft.com/office/drawing/2010/slicer" name="hr"/>
            </a:graphicData>
          </a:graphic>
        </xdr:graphicFrame>
      </mc:Choice>
      <mc:Fallback xmlns="">
        <xdr:sp macro="" textlink="">
          <xdr:nvSpPr>
            <xdr:cNvPr id="0" name=""/>
            <xdr:cNvSpPr>
              <a:spLocks noTextEdit="1"/>
            </xdr:cNvSpPr>
          </xdr:nvSpPr>
          <xdr:spPr>
            <a:xfrm>
              <a:off x="3219450" y="1981200"/>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571500</xdr:colOff>
      <xdr:row>50</xdr:row>
      <xdr:rowOff>4762</xdr:rowOff>
    </xdr:from>
    <xdr:to>
      <xdr:col>8</xdr:col>
      <xdr:colOff>342900</xdr:colOff>
      <xdr:row>64</xdr:row>
      <xdr:rowOff>80962</xdr:rowOff>
    </xdr:to>
    <xdr:graphicFrame macro="">
      <xdr:nvGraphicFramePr>
        <xdr:cNvPr id="8" name="Chart 7">
          <a:extLst>
            <a:ext uri="{FF2B5EF4-FFF2-40B4-BE49-F238E27FC236}">
              <a16:creationId xmlns:a16="http://schemas.microsoft.com/office/drawing/2014/main" id="{E8633B28-E2B5-F736-6C78-44B475325A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581025</xdr:colOff>
      <xdr:row>27</xdr:row>
      <xdr:rowOff>90487</xdr:rowOff>
    </xdr:from>
    <xdr:to>
      <xdr:col>9</xdr:col>
      <xdr:colOff>161925</xdr:colOff>
      <xdr:row>41</xdr:row>
      <xdr:rowOff>166687</xdr:rowOff>
    </xdr:to>
    <xdr:graphicFrame macro="">
      <xdr:nvGraphicFramePr>
        <xdr:cNvPr id="9" name="Chart 8">
          <a:extLst>
            <a:ext uri="{FF2B5EF4-FFF2-40B4-BE49-F238E27FC236}">
              <a16:creationId xmlns:a16="http://schemas.microsoft.com/office/drawing/2014/main" id="{E191778F-2951-2E61-7FF8-D06D8BDD8A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57150</xdr:rowOff>
    </xdr:from>
    <xdr:to>
      <xdr:col>1</xdr:col>
      <xdr:colOff>933450</xdr:colOff>
      <xdr:row>47</xdr:row>
      <xdr:rowOff>104775</xdr:rowOff>
    </xdr:to>
    <mc:AlternateContent xmlns:mc="http://schemas.openxmlformats.org/markup-compatibility/2006" xmlns:a14="http://schemas.microsoft.com/office/drawing/2010/main">
      <mc:Choice Requires="a14">
        <xdr:graphicFrame macro="">
          <xdr:nvGraphicFramePr>
            <xdr:cNvPr id="10" name="Weathersit_lookup">
              <a:extLst>
                <a:ext uri="{FF2B5EF4-FFF2-40B4-BE49-F238E27FC236}">
                  <a16:creationId xmlns:a16="http://schemas.microsoft.com/office/drawing/2014/main" id="{2CFBFDD6-55AE-2099-CE72-514EDFE10320}"/>
                </a:ext>
              </a:extLst>
            </xdr:cNvPr>
            <xdr:cNvGraphicFramePr/>
          </xdr:nvGraphicFramePr>
          <xdr:xfrm>
            <a:off x="0" y="0"/>
            <a:ext cx="0" cy="0"/>
          </xdr:xfrm>
          <a:graphic>
            <a:graphicData uri="http://schemas.microsoft.com/office/drawing/2010/slicer">
              <sle:slicer xmlns:sle="http://schemas.microsoft.com/office/drawing/2010/slicer" name="Weathersit_lookup"/>
            </a:graphicData>
          </a:graphic>
        </xdr:graphicFrame>
      </mc:Choice>
      <mc:Fallback xmlns="">
        <xdr:sp macro="" textlink="">
          <xdr:nvSpPr>
            <xdr:cNvPr id="0" name=""/>
            <xdr:cNvSpPr>
              <a:spLocks noTextEdit="1"/>
            </xdr:cNvSpPr>
          </xdr:nvSpPr>
          <xdr:spPr>
            <a:xfrm>
              <a:off x="0" y="7486650"/>
              <a:ext cx="1828800" cy="1571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581025</xdr:colOff>
      <xdr:row>33</xdr:row>
      <xdr:rowOff>23812</xdr:rowOff>
    </xdr:from>
    <xdr:to>
      <xdr:col>7</xdr:col>
      <xdr:colOff>533400</xdr:colOff>
      <xdr:row>47</xdr:row>
      <xdr:rowOff>100012</xdr:rowOff>
    </xdr:to>
    <xdr:graphicFrame macro="">
      <xdr:nvGraphicFramePr>
        <xdr:cNvPr id="11" name="Chart 10">
          <a:extLst>
            <a:ext uri="{FF2B5EF4-FFF2-40B4-BE49-F238E27FC236}">
              <a16:creationId xmlns:a16="http://schemas.microsoft.com/office/drawing/2014/main" id="{7BC73D0E-2D77-5F31-DFF6-64417F5CFC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5</xdr:col>
      <xdr:colOff>533400</xdr:colOff>
      <xdr:row>43</xdr:row>
      <xdr:rowOff>114300</xdr:rowOff>
    </xdr:from>
    <xdr:to>
      <xdr:col>7</xdr:col>
      <xdr:colOff>447675</xdr:colOff>
      <xdr:row>48</xdr:row>
      <xdr:rowOff>161925</xdr:rowOff>
    </xdr:to>
    <mc:AlternateContent xmlns:mc="http://schemas.openxmlformats.org/markup-compatibility/2006" xmlns:a14="http://schemas.microsoft.com/office/drawing/2010/main">
      <mc:Choice Requires="a14">
        <xdr:graphicFrame macro="">
          <xdr:nvGraphicFramePr>
            <xdr:cNvPr id="12" name="Month_lookup">
              <a:extLst>
                <a:ext uri="{FF2B5EF4-FFF2-40B4-BE49-F238E27FC236}">
                  <a16:creationId xmlns:a16="http://schemas.microsoft.com/office/drawing/2014/main" id="{A1AD5609-8B0B-D0A1-4084-E6E426EE1AFC}"/>
                </a:ext>
              </a:extLst>
            </xdr:cNvPr>
            <xdr:cNvGraphicFramePr/>
          </xdr:nvGraphicFramePr>
          <xdr:xfrm>
            <a:off x="0" y="0"/>
            <a:ext cx="0" cy="0"/>
          </xdr:xfrm>
          <a:graphic>
            <a:graphicData uri="http://schemas.microsoft.com/office/drawing/2010/slicer">
              <sle:slicer xmlns:sle="http://schemas.microsoft.com/office/drawing/2010/slicer" name="Month_lookup"/>
            </a:graphicData>
          </a:graphic>
        </xdr:graphicFrame>
      </mc:Choice>
      <mc:Fallback xmlns="">
        <xdr:sp macro="" textlink="">
          <xdr:nvSpPr>
            <xdr:cNvPr id="0" name=""/>
            <xdr:cNvSpPr>
              <a:spLocks noTextEdit="1"/>
            </xdr:cNvSpPr>
          </xdr:nvSpPr>
          <xdr:spPr>
            <a:xfrm>
              <a:off x="5172075" y="8305800"/>
              <a:ext cx="1828800" cy="1000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19050</xdr:colOff>
      <xdr:row>0</xdr:row>
      <xdr:rowOff>28575</xdr:rowOff>
    </xdr:from>
    <xdr:to>
      <xdr:col>17</xdr:col>
      <xdr:colOff>76200</xdr:colOff>
      <xdr:row>1</xdr:row>
      <xdr:rowOff>180975</xdr:rowOff>
    </xdr:to>
    <xdr:sp macro="" textlink="">
      <xdr:nvSpPr>
        <xdr:cNvPr id="2" name="Rectangle: Rounded Corners 1">
          <a:extLst>
            <a:ext uri="{FF2B5EF4-FFF2-40B4-BE49-F238E27FC236}">
              <a16:creationId xmlns:a16="http://schemas.microsoft.com/office/drawing/2014/main" id="{34F78A53-F8D0-4887-9063-58EA02B1C253}"/>
            </a:ext>
          </a:extLst>
        </xdr:cNvPr>
        <xdr:cNvSpPr/>
      </xdr:nvSpPr>
      <xdr:spPr>
        <a:xfrm>
          <a:off x="19050" y="28575"/>
          <a:ext cx="12363450" cy="3429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latin typeface="Times New Roman" panose="02020603050405020304" pitchFamily="18" charset="0"/>
              <a:cs typeface="Times New Roman" panose="02020603050405020304" pitchFamily="18" charset="0"/>
            </a:rPr>
            <a:t>BIKE SHARE DASHBOARD</a:t>
          </a:r>
        </a:p>
      </xdr:txBody>
    </xdr:sp>
    <xdr:clientData/>
  </xdr:twoCellAnchor>
  <xdr:twoCellAnchor editAs="oneCell">
    <xdr:from>
      <xdr:col>2</xdr:col>
      <xdr:colOff>285750</xdr:colOff>
      <xdr:row>2</xdr:row>
      <xdr:rowOff>47625</xdr:rowOff>
    </xdr:from>
    <xdr:to>
      <xdr:col>4</xdr:col>
      <xdr:colOff>285750</xdr:colOff>
      <xdr:row>8</xdr:row>
      <xdr:rowOff>47625</xdr:rowOff>
    </xdr:to>
    <xdr:pic>
      <xdr:nvPicPr>
        <xdr:cNvPr id="3" name="Picture 2">
          <a:extLst>
            <a:ext uri="{FF2B5EF4-FFF2-40B4-BE49-F238E27FC236}">
              <a16:creationId xmlns:a16="http://schemas.microsoft.com/office/drawing/2014/main" id="{18230C1F-B412-4638-B65F-F21D4324A09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04950" y="428625"/>
          <a:ext cx="1219200" cy="1162050"/>
        </a:xfrm>
        <a:prstGeom prst="rect">
          <a:avLst/>
        </a:prstGeom>
      </xdr:spPr>
    </xdr:pic>
    <xdr:clientData/>
  </xdr:twoCellAnchor>
  <xdr:twoCellAnchor>
    <xdr:from>
      <xdr:col>6</xdr:col>
      <xdr:colOff>400050</xdr:colOff>
      <xdr:row>2</xdr:row>
      <xdr:rowOff>47625</xdr:rowOff>
    </xdr:from>
    <xdr:to>
      <xdr:col>13</xdr:col>
      <xdr:colOff>504825</xdr:colOff>
      <xdr:row>3</xdr:row>
      <xdr:rowOff>95250</xdr:rowOff>
    </xdr:to>
    <xdr:sp macro="" textlink="">
      <xdr:nvSpPr>
        <xdr:cNvPr id="4" name="Rectangle 3">
          <a:extLst>
            <a:ext uri="{FF2B5EF4-FFF2-40B4-BE49-F238E27FC236}">
              <a16:creationId xmlns:a16="http://schemas.microsoft.com/office/drawing/2014/main" id="{1FE8512D-4D0E-49AA-8936-200C7E208332}"/>
            </a:ext>
          </a:extLst>
        </xdr:cNvPr>
        <xdr:cNvSpPr/>
      </xdr:nvSpPr>
      <xdr:spPr>
        <a:xfrm>
          <a:off x="4057650" y="428625"/>
          <a:ext cx="5076825" cy="238125"/>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200" b="0"/>
            <a:t>1,000 hourly records | 1 Jan–14 Feb 2011 | Season: Spring</a:t>
          </a:r>
          <a:r>
            <a:rPr lang="en-US" sz="1100" b="0">
              <a:solidFill>
                <a:schemeClr val="dk1"/>
              </a:solidFill>
              <a:effectLst/>
              <a:latin typeface="+mn-lt"/>
              <a:ea typeface="+mn-ea"/>
              <a:cs typeface="+mn-cs"/>
            </a:rPr>
            <a:t>| Source: dataset_b</a:t>
          </a:r>
          <a:endParaRPr lang="en-US" sz="1200" b="0"/>
        </a:p>
      </xdr:txBody>
    </xdr:sp>
    <xdr:clientData/>
  </xdr:twoCellAnchor>
  <xdr:twoCellAnchor>
    <xdr:from>
      <xdr:col>4</xdr:col>
      <xdr:colOff>381000</xdr:colOff>
      <xdr:row>3</xdr:row>
      <xdr:rowOff>171450</xdr:rowOff>
    </xdr:from>
    <xdr:to>
      <xdr:col>14</xdr:col>
      <xdr:colOff>0</xdr:colOff>
      <xdr:row>6</xdr:row>
      <xdr:rowOff>28575</xdr:rowOff>
    </xdr:to>
    <xdr:graphicFrame macro="">
      <xdr:nvGraphicFramePr>
        <xdr:cNvPr id="5" name="Diagram 4">
          <a:extLst>
            <a:ext uri="{FF2B5EF4-FFF2-40B4-BE49-F238E27FC236}">
              <a16:creationId xmlns:a16="http://schemas.microsoft.com/office/drawing/2014/main" id="{71840ED3-3A80-49C3-8C69-375720C9E733}"/>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2" r:lo="rId3" r:qs="rId4" r:cs="rId5"/>
        </a:graphicData>
      </a:graphic>
    </xdr:graphicFrame>
    <xdr:clientData/>
  </xdr:twoCellAnchor>
  <xdr:twoCellAnchor>
    <xdr:from>
      <xdr:col>0</xdr:col>
      <xdr:colOff>0</xdr:colOff>
      <xdr:row>9</xdr:row>
      <xdr:rowOff>47624</xdr:rowOff>
    </xdr:from>
    <xdr:to>
      <xdr:col>17</xdr:col>
      <xdr:colOff>57150</xdr:colOff>
      <xdr:row>11</xdr:row>
      <xdr:rowOff>47623</xdr:rowOff>
    </xdr:to>
    <xdr:sp macro="" textlink="">
      <xdr:nvSpPr>
        <xdr:cNvPr id="6" name="Rectangle: Rounded Corners 5">
          <a:extLst>
            <a:ext uri="{FF2B5EF4-FFF2-40B4-BE49-F238E27FC236}">
              <a16:creationId xmlns:a16="http://schemas.microsoft.com/office/drawing/2014/main" id="{BD1E50DB-8A1F-4751-92A4-3A6249003A4E}"/>
            </a:ext>
          </a:extLst>
        </xdr:cNvPr>
        <xdr:cNvSpPr/>
      </xdr:nvSpPr>
      <xdr:spPr>
        <a:xfrm>
          <a:off x="0" y="1790699"/>
          <a:ext cx="12363450" cy="38099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latin typeface="Times New Roman" panose="02020603050405020304" pitchFamily="18" charset="0"/>
              <a:cs typeface="Times New Roman" panose="02020603050405020304" pitchFamily="18" charset="0"/>
            </a:rPr>
            <a:t>ANALYTICS</a:t>
          </a:r>
        </a:p>
      </xdr:txBody>
    </xdr:sp>
    <xdr:clientData/>
  </xdr:twoCellAnchor>
  <xdr:twoCellAnchor>
    <xdr:from>
      <xdr:col>11</xdr:col>
      <xdr:colOff>714374</xdr:colOff>
      <xdr:row>15</xdr:row>
      <xdr:rowOff>238124</xdr:rowOff>
    </xdr:from>
    <xdr:to>
      <xdr:col>16</xdr:col>
      <xdr:colOff>581024</xdr:colOff>
      <xdr:row>34</xdr:row>
      <xdr:rowOff>190499</xdr:rowOff>
    </xdr:to>
    <xdr:graphicFrame macro="">
      <xdr:nvGraphicFramePr>
        <xdr:cNvPr id="10" name="Chart 9">
          <a:extLst>
            <a:ext uri="{FF2B5EF4-FFF2-40B4-BE49-F238E27FC236}">
              <a16:creationId xmlns:a16="http://schemas.microsoft.com/office/drawing/2014/main" id="{7F9BCDC5-891F-486C-B6A8-9FB0EFB5AE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47625</xdr:colOff>
      <xdr:row>15</xdr:row>
      <xdr:rowOff>238124</xdr:rowOff>
    </xdr:from>
    <xdr:to>
      <xdr:col>9</xdr:col>
      <xdr:colOff>9525</xdr:colOff>
      <xdr:row>34</xdr:row>
      <xdr:rowOff>190499</xdr:rowOff>
    </xdr:to>
    <xdr:graphicFrame macro="">
      <xdr:nvGraphicFramePr>
        <xdr:cNvPr id="12" name="Chart 11">
          <a:extLst>
            <a:ext uri="{FF2B5EF4-FFF2-40B4-BE49-F238E27FC236}">
              <a16:creationId xmlns:a16="http://schemas.microsoft.com/office/drawing/2014/main" id="{9CAE8EAE-78EE-4CB1-8219-7A9DC64DD5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11</xdr:row>
      <xdr:rowOff>28574</xdr:rowOff>
    </xdr:from>
    <xdr:to>
      <xdr:col>17</xdr:col>
      <xdr:colOff>57150</xdr:colOff>
      <xdr:row>14</xdr:row>
      <xdr:rowOff>133349</xdr:rowOff>
    </xdr:to>
    <xdr:sp macro="" textlink="">
      <xdr:nvSpPr>
        <xdr:cNvPr id="14" name="Rectangle: Rounded Corners 13">
          <a:extLst>
            <a:ext uri="{FF2B5EF4-FFF2-40B4-BE49-F238E27FC236}">
              <a16:creationId xmlns:a16="http://schemas.microsoft.com/office/drawing/2014/main" id="{7F7B0F03-36F8-4DF4-9E7F-AF7C6C1ECF75}"/>
            </a:ext>
          </a:extLst>
        </xdr:cNvPr>
        <xdr:cNvSpPr/>
      </xdr:nvSpPr>
      <xdr:spPr>
        <a:xfrm>
          <a:off x="0" y="1952624"/>
          <a:ext cx="12363450" cy="6762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2000">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0</xdr:colOff>
      <xdr:row>11</xdr:row>
      <xdr:rowOff>28575</xdr:rowOff>
    </xdr:from>
    <xdr:to>
      <xdr:col>17</xdr:col>
      <xdr:colOff>57150</xdr:colOff>
      <xdr:row>14</xdr:row>
      <xdr:rowOff>152400</xdr:rowOff>
    </xdr:to>
    <mc:AlternateContent xmlns:mc="http://schemas.openxmlformats.org/markup-compatibility/2006" xmlns:a14="http://schemas.microsoft.com/office/drawing/2010/main">
      <mc:Choice Requires="a14">
        <xdr:graphicFrame macro="">
          <xdr:nvGraphicFramePr>
            <xdr:cNvPr id="15" name="hr 1">
              <a:extLst>
                <a:ext uri="{FF2B5EF4-FFF2-40B4-BE49-F238E27FC236}">
                  <a16:creationId xmlns:a16="http://schemas.microsoft.com/office/drawing/2014/main" id="{EED8F3CF-0088-4C4F-8FF8-CBB26A7CAB7A}"/>
                </a:ext>
              </a:extLst>
            </xdr:cNvPr>
            <xdr:cNvGraphicFramePr/>
          </xdr:nvGraphicFramePr>
          <xdr:xfrm>
            <a:off x="0" y="0"/>
            <a:ext cx="0" cy="0"/>
          </xdr:xfrm>
          <a:graphic>
            <a:graphicData uri="http://schemas.microsoft.com/office/drawing/2010/slicer">
              <sle:slicer xmlns:sle="http://schemas.microsoft.com/office/drawing/2010/slicer" name="hr 1"/>
            </a:graphicData>
          </a:graphic>
        </xdr:graphicFrame>
      </mc:Choice>
      <mc:Fallback xmlns="">
        <xdr:sp macro="" textlink="">
          <xdr:nvSpPr>
            <xdr:cNvPr id="0" name=""/>
            <xdr:cNvSpPr>
              <a:spLocks noTextEdit="1"/>
            </xdr:cNvSpPr>
          </xdr:nvSpPr>
          <xdr:spPr>
            <a:xfrm>
              <a:off x="0" y="2152650"/>
              <a:ext cx="12363450" cy="695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219075</xdr:colOff>
      <xdr:row>15</xdr:row>
      <xdr:rowOff>9525</xdr:rowOff>
    </xdr:from>
    <xdr:to>
      <xdr:col>11</xdr:col>
      <xdr:colOff>495300</xdr:colOff>
      <xdr:row>50</xdr:row>
      <xdr:rowOff>123825</xdr:rowOff>
    </xdr:to>
    <xdr:sp macro="" textlink="">
      <xdr:nvSpPr>
        <xdr:cNvPr id="16" name="Rectangle: Rounded Corners 15">
          <a:extLst>
            <a:ext uri="{FF2B5EF4-FFF2-40B4-BE49-F238E27FC236}">
              <a16:creationId xmlns:a16="http://schemas.microsoft.com/office/drawing/2014/main" id="{CC1A63F3-B025-AEEF-F44F-19CE7FC0B25F}"/>
            </a:ext>
          </a:extLst>
        </xdr:cNvPr>
        <xdr:cNvSpPr/>
      </xdr:nvSpPr>
      <xdr:spPr>
        <a:xfrm>
          <a:off x="5705475" y="2895600"/>
          <a:ext cx="1943100" cy="6838950"/>
        </a:xfrm>
        <a:prstGeom prst="roundRect">
          <a:avLst>
            <a:gd name="adj" fmla="val 3922"/>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9</xdr:col>
      <xdr:colOff>295275</xdr:colOff>
      <xdr:row>15</xdr:row>
      <xdr:rowOff>76200</xdr:rowOff>
    </xdr:from>
    <xdr:to>
      <xdr:col>11</xdr:col>
      <xdr:colOff>457200</xdr:colOff>
      <xdr:row>27</xdr:row>
      <xdr:rowOff>123825</xdr:rowOff>
    </xdr:to>
    <mc:AlternateContent xmlns:mc="http://schemas.openxmlformats.org/markup-compatibility/2006" xmlns:a14="http://schemas.microsoft.com/office/drawing/2010/main">
      <mc:Choice Requires="a14">
        <xdr:graphicFrame macro="">
          <xdr:nvGraphicFramePr>
            <xdr:cNvPr id="17" name="Weekday_lookup 1">
              <a:extLst>
                <a:ext uri="{FF2B5EF4-FFF2-40B4-BE49-F238E27FC236}">
                  <a16:creationId xmlns:a16="http://schemas.microsoft.com/office/drawing/2014/main" id="{C90BAC2E-C70A-467B-8F28-8F97893CA92D}"/>
                </a:ext>
              </a:extLst>
            </xdr:cNvPr>
            <xdr:cNvGraphicFramePr/>
          </xdr:nvGraphicFramePr>
          <xdr:xfrm>
            <a:off x="0" y="0"/>
            <a:ext cx="0" cy="0"/>
          </xdr:xfrm>
          <a:graphic>
            <a:graphicData uri="http://schemas.microsoft.com/office/drawing/2010/slicer">
              <sle:slicer xmlns:sle="http://schemas.microsoft.com/office/drawing/2010/slicer" name="Weekday_lookup 1"/>
            </a:graphicData>
          </a:graphic>
        </xdr:graphicFrame>
      </mc:Choice>
      <mc:Fallback xmlns="">
        <xdr:sp macro="" textlink="">
          <xdr:nvSpPr>
            <xdr:cNvPr id="0" name=""/>
            <xdr:cNvSpPr>
              <a:spLocks noTextEdit="1"/>
            </xdr:cNvSpPr>
          </xdr:nvSpPr>
          <xdr:spPr>
            <a:xfrm>
              <a:off x="5781675" y="2962275"/>
              <a:ext cx="1828800" cy="2390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285750</xdr:colOff>
      <xdr:row>28</xdr:row>
      <xdr:rowOff>66675</xdr:rowOff>
    </xdr:from>
    <xdr:to>
      <xdr:col>11</xdr:col>
      <xdr:colOff>447675</xdr:colOff>
      <xdr:row>35</xdr:row>
      <xdr:rowOff>57150</xdr:rowOff>
    </xdr:to>
    <mc:AlternateContent xmlns:mc="http://schemas.openxmlformats.org/markup-compatibility/2006" xmlns:a14="http://schemas.microsoft.com/office/drawing/2010/main">
      <mc:Choice Requires="a14">
        <xdr:graphicFrame macro="">
          <xdr:nvGraphicFramePr>
            <xdr:cNvPr id="18" name="weekday_weedend_lookup 1">
              <a:extLst>
                <a:ext uri="{FF2B5EF4-FFF2-40B4-BE49-F238E27FC236}">
                  <a16:creationId xmlns:a16="http://schemas.microsoft.com/office/drawing/2014/main" id="{02AEDF2C-DD0C-4743-A5ED-CCE0B038CEB5}"/>
                </a:ext>
              </a:extLst>
            </xdr:cNvPr>
            <xdr:cNvGraphicFramePr/>
          </xdr:nvGraphicFramePr>
          <xdr:xfrm>
            <a:off x="0" y="0"/>
            <a:ext cx="0" cy="0"/>
          </xdr:xfrm>
          <a:graphic>
            <a:graphicData uri="http://schemas.microsoft.com/office/drawing/2010/slicer">
              <sle:slicer xmlns:sle="http://schemas.microsoft.com/office/drawing/2010/slicer" name="weekday_weedend_lookup 1"/>
            </a:graphicData>
          </a:graphic>
        </xdr:graphicFrame>
      </mc:Choice>
      <mc:Fallback xmlns="">
        <xdr:sp macro="" textlink="">
          <xdr:nvSpPr>
            <xdr:cNvPr id="0" name=""/>
            <xdr:cNvSpPr>
              <a:spLocks noTextEdit="1"/>
            </xdr:cNvSpPr>
          </xdr:nvSpPr>
          <xdr:spPr>
            <a:xfrm>
              <a:off x="5772150" y="5486400"/>
              <a:ext cx="1828800" cy="1323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28575</xdr:colOff>
      <xdr:row>36</xdr:row>
      <xdr:rowOff>9524</xdr:rowOff>
    </xdr:from>
    <xdr:to>
      <xdr:col>8</xdr:col>
      <xdr:colOff>590551</xdr:colOff>
      <xdr:row>50</xdr:row>
      <xdr:rowOff>38099</xdr:rowOff>
    </xdr:to>
    <xdr:graphicFrame macro="">
      <xdr:nvGraphicFramePr>
        <xdr:cNvPr id="19" name="Chart 18">
          <a:extLst>
            <a:ext uri="{FF2B5EF4-FFF2-40B4-BE49-F238E27FC236}">
              <a16:creationId xmlns:a16="http://schemas.microsoft.com/office/drawing/2014/main" id="{61A6C02C-1F23-45E1-B232-78E7B06E6A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9</xdr:col>
      <xdr:colOff>285750</xdr:colOff>
      <xdr:row>41</xdr:row>
      <xdr:rowOff>114300</xdr:rowOff>
    </xdr:from>
    <xdr:to>
      <xdr:col>11</xdr:col>
      <xdr:colOff>447675</xdr:colOff>
      <xdr:row>49</xdr:row>
      <xdr:rowOff>161925</xdr:rowOff>
    </xdr:to>
    <mc:AlternateContent xmlns:mc="http://schemas.openxmlformats.org/markup-compatibility/2006" xmlns:a14="http://schemas.microsoft.com/office/drawing/2010/main">
      <mc:Choice Requires="a14">
        <xdr:graphicFrame macro="">
          <xdr:nvGraphicFramePr>
            <xdr:cNvPr id="20" name="Weathersit_lookup 1">
              <a:extLst>
                <a:ext uri="{FF2B5EF4-FFF2-40B4-BE49-F238E27FC236}">
                  <a16:creationId xmlns:a16="http://schemas.microsoft.com/office/drawing/2014/main" id="{D00F074D-F2CB-4E92-B964-58F18E89A45D}"/>
                </a:ext>
              </a:extLst>
            </xdr:cNvPr>
            <xdr:cNvGraphicFramePr/>
          </xdr:nvGraphicFramePr>
          <xdr:xfrm>
            <a:off x="0" y="0"/>
            <a:ext cx="0" cy="0"/>
          </xdr:xfrm>
          <a:graphic>
            <a:graphicData uri="http://schemas.microsoft.com/office/drawing/2010/slicer">
              <sle:slicer xmlns:sle="http://schemas.microsoft.com/office/drawing/2010/slicer" name="Weathersit_lookup 1"/>
            </a:graphicData>
          </a:graphic>
        </xdr:graphicFrame>
      </mc:Choice>
      <mc:Fallback xmlns="">
        <xdr:sp macro="" textlink="">
          <xdr:nvSpPr>
            <xdr:cNvPr id="0" name=""/>
            <xdr:cNvSpPr>
              <a:spLocks noTextEdit="1"/>
            </xdr:cNvSpPr>
          </xdr:nvSpPr>
          <xdr:spPr>
            <a:xfrm>
              <a:off x="5772150" y="8010525"/>
              <a:ext cx="1828800" cy="1571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428626</xdr:colOff>
      <xdr:row>9</xdr:row>
      <xdr:rowOff>76200</xdr:rowOff>
    </xdr:from>
    <xdr:to>
      <xdr:col>8</xdr:col>
      <xdr:colOff>390525</xdr:colOff>
      <xdr:row>11</xdr:row>
      <xdr:rowOff>38098</xdr:rowOff>
    </xdr:to>
    <xdr:pic>
      <xdr:nvPicPr>
        <xdr:cNvPr id="22" name="Picture 21">
          <a:extLst>
            <a:ext uri="{FF2B5EF4-FFF2-40B4-BE49-F238E27FC236}">
              <a16:creationId xmlns:a16="http://schemas.microsoft.com/office/drawing/2014/main" id="{5322E7F7-F59D-4E77-BD1C-2F527C9E499E}"/>
            </a:ext>
          </a:extLst>
        </xdr:cNvPr>
        <xdr:cNvPicPr>
          <a:picLocks noChangeAspect="1"/>
        </xdr:cNvPicPr>
      </xdr:nvPicPr>
      <xdr:blipFill>
        <a:blip xmlns:r="http://schemas.openxmlformats.org/officeDocument/2006/relationships" r:embed="rId10">
          <a:alphaModFix amt="20000"/>
        </a:blip>
        <a:stretch>
          <a:fillRect/>
        </a:stretch>
      </xdr:blipFill>
      <xdr:spPr>
        <a:xfrm>
          <a:off x="4695826" y="1819275"/>
          <a:ext cx="571499" cy="342898"/>
        </a:xfrm>
        <a:prstGeom prst="rect">
          <a:avLst/>
        </a:prstGeom>
      </xdr:spPr>
    </xdr:pic>
    <xdr:clientData/>
  </xdr:twoCellAnchor>
  <xdr:twoCellAnchor>
    <xdr:from>
      <xdr:col>11</xdr:col>
      <xdr:colOff>704849</xdr:colOff>
      <xdr:row>36</xdr:row>
      <xdr:rowOff>9526</xdr:rowOff>
    </xdr:from>
    <xdr:to>
      <xdr:col>16</xdr:col>
      <xdr:colOff>552449</xdr:colOff>
      <xdr:row>50</xdr:row>
      <xdr:rowOff>9526</xdr:rowOff>
    </xdr:to>
    <xdr:graphicFrame macro="">
      <xdr:nvGraphicFramePr>
        <xdr:cNvPr id="23" name="Chart 22">
          <a:extLst>
            <a:ext uri="{FF2B5EF4-FFF2-40B4-BE49-F238E27FC236}">
              <a16:creationId xmlns:a16="http://schemas.microsoft.com/office/drawing/2014/main" id="{EDD4AF79-E093-44BC-B252-023BC583CB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9</xdr:col>
      <xdr:colOff>276225</xdr:colOff>
      <xdr:row>35</xdr:row>
      <xdr:rowOff>123825</xdr:rowOff>
    </xdr:from>
    <xdr:to>
      <xdr:col>11</xdr:col>
      <xdr:colOff>438150</xdr:colOff>
      <xdr:row>40</xdr:row>
      <xdr:rowOff>171450</xdr:rowOff>
    </xdr:to>
    <mc:AlternateContent xmlns:mc="http://schemas.openxmlformats.org/markup-compatibility/2006" xmlns:a14="http://schemas.microsoft.com/office/drawing/2010/main">
      <mc:Choice Requires="a14">
        <xdr:graphicFrame macro="">
          <xdr:nvGraphicFramePr>
            <xdr:cNvPr id="24" name="Month_lookup 1">
              <a:extLst>
                <a:ext uri="{FF2B5EF4-FFF2-40B4-BE49-F238E27FC236}">
                  <a16:creationId xmlns:a16="http://schemas.microsoft.com/office/drawing/2014/main" id="{37E73349-058E-4039-8774-672AD734F4AE}"/>
                </a:ext>
              </a:extLst>
            </xdr:cNvPr>
            <xdr:cNvGraphicFramePr/>
          </xdr:nvGraphicFramePr>
          <xdr:xfrm>
            <a:off x="0" y="0"/>
            <a:ext cx="0" cy="0"/>
          </xdr:xfrm>
          <a:graphic>
            <a:graphicData uri="http://schemas.microsoft.com/office/drawing/2010/slicer">
              <sle:slicer xmlns:sle="http://schemas.microsoft.com/office/drawing/2010/slicer" name="Month_lookup 1"/>
            </a:graphicData>
          </a:graphic>
        </xdr:graphicFrame>
      </mc:Choice>
      <mc:Fallback xmlns="">
        <xdr:sp macro="" textlink="">
          <xdr:nvSpPr>
            <xdr:cNvPr id="0" name=""/>
            <xdr:cNvSpPr>
              <a:spLocks noTextEdit="1"/>
            </xdr:cNvSpPr>
          </xdr:nvSpPr>
          <xdr:spPr>
            <a:xfrm>
              <a:off x="5762625" y="6877050"/>
              <a:ext cx="1828800" cy="1000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28575</xdr:colOff>
      <xdr:row>52</xdr:row>
      <xdr:rowOff>9525</xdr:rowOff>
    </xdr:from>
    <xdr:to>
      <xdr:col>16</xdr:col>
      <xdr:colOff>600075</xdr:colOff>
      <xdr:row>66</xdr:row>
      <xdr:rowOff>138113</xdr:rowOff>
    </xdr:to>
    <xdr:graphicFrame macro="">
      <xdr:nvGraphicFramePr>
        <xdr:cNvPr id="7" name="Chart 6">
          <a:extLst>
            <a:ext uri="{FF2B5EF4-FFF2-40B4-BE49-F238E27FC236}">
              <a16:creationId xmlns:a16="http://schemas.microsoft.com/office/drawing/2014/main" id="{3C0A4686-9E29-48DA-9576-BC72CA8B22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302.816677430557" createdVersion="8" refreshedVersion="8" minRefreshableVersion="3" recordCount="1000" xr:uid="{FC653573-07E3-4BFD-8726-08E77B829D75}">
  <cacheSource type="worksheet">
    <worksheetSource name="dataset_b"/>
  </cacheSource>
  <cacheFields count="25">
    <cacheField name="instant" numFmtId="0">
      <sharedItems containsSemiMixedTypes="0" containsString="0" containsNumber="1" containsInteger="1" minValue="1" maxValue="1000"/>
    </cacheField>
    <cacheField name="dteday" numFmtId="14">
      <sharedItems containsSemiMixedTypes="0" containsNonDate="0" containsDate="1" containsString="0" minDate="2011-01-01T00:00:00" maxDate="2011-02-15T00:00:00" count="45">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sharedItems>
      <fieldGroup par="24"/>
    </cacheField>
    <cacheField name="season" numFmtId="0">
      <sharedItems containsSemiMixedTypes="0" containsString="0" containsNumber="1" containsInteger="1" minValue="1" maxValue="4"/>
    </cacheField>
    <cacheField name="yr" numFmtId="0">
      <sharedItems containsSemiMixedTypes="0" containsString="0" containsNumber="1" containsInteger="1" minValue="0" maxValue="0"/>
    </cacheField>
    <cacheField name="mnth" numFmtId="0">
      <sharedItems containsSemiMixedTypes="0" containsString="0" containsNumber="1" containsInteger="1" minValue="1" maxValue="2"/>
    </cacheField>
    <cacheField name="hr" numFmtId="0">
      <sharedItems containsSemiMixedTypes="0" containsString="0" containsNumber="1" containsInteger="1" minValue="0" maxValue="23" count="24">
        <n v="0"/>
        <n v="1"/>
        <n v="2"/>
        <n v="3"/>
        <n v="4"/>
        <n v="5"/>
        <n v="6"/>
        <n v="7"/>
        <n v="8"/>
        <n v="9"/>
        <n v="10"/>
        <n v="11"/>
        <n v="12"/>
        <n v="13"/>
        <n v="14"/>
        <n v="15"/>
        <n v="16"/>
        <n v="17"/>
        <n v="18"/>
        <n v="19"/>
        <n v="20"/>
        <n v="21"/>
        <n v="22"/>
        <n v="23"/>
      </sharedItems>
    </cacheField>
    <cacheField name="holiday" numFmtId="0">
      <sharedItems/>
    </cacheField>
    <cacheField name="weekday" numFmtId="0">
      <sharedItems containsSemiMixedTypes="0" containsString="0" containsNumber="1" containsInteger="1" minValue="0" maxValue="6"/>
    </cacheField>
    <cacheField name="weathersit" numFmtId="0">
      <sharedItems containsSemiMixedTypes="0" containsString="0" containsNumber="1" containsInteger="1" minValue="1" maxValue="4"/>
    </cacheField>
    <cacheField name="temp" numFmtId="0">
      <sharedItems containsSemiMixedTypes="0" containsString="0" containsNumber="1" minValue="0.02" maxValue="0.46"/>
    </cacheField>
    <cacheField name="atemp" numFmtId="0">
      <sharedItems containsSemiMixedTypes="0" containsString="0" containsNumber="1" minValue="0" maxValue="0.45450000000000002"/>
    </cacheField>
    <cacheField name="hum" numFmtId="0">
      <sharedItems containsSemiMixedTypes="0" containsString="0" containsNumber="1" minValue="0.21" maxValue="1"/>
    </cacheField>
    <cacheField name="windspeed" numFmtId="0">
      <sharedItems containsSemiMixedTypes="0" containsString="0" containsNumber="1" minValue="0" maxValue="0.58209999999999995"/>
    </cacheField>
    <cacheField name="casual" numFmtId="0">
      <sharedItems containsSemiMixedTypes="0" containsString="0" containsNumber="1" containsInteger="1" minValue="0" maxValue="62"/>
    </cacheField>
    <cacheField name="registered" numFmtId="0">
      <sharedItems containsSemiMixedTypes="0" containsString="0" containsNumber="1" containsInteger="1" minValue="0" maxValue="247"/>
    </cacheField>
    <cacheField name="cnt" numFmtId="0">
      <sharedItems containsSemiMixedTypes="0" containsString="0" containsNumber="1" containsInteger="1" minValue="1" maxValue="249"/>
    </cacheField>
    <cacheField name="Month_lookup" numFmtId="0">
      <sharedItems count="2">
        <s v="January"/>
        <s v="February"/>
      </sharedItems>
    </cacheField>
    <cacheField name="season_name" numFmtId="0">
      <sharedItems/>
    </cacheField>
    <cacheField name="Weathersit_lookup" numFmtId="0">
      <sharedItems count="4">
        <s v="Clear"/>
        <s v="Cloudy"/>
        <s v="Rain Fall"/>
        <s v="Heavy Rain"/>
      </sharedItems>
    </cacheField>
    <cacheField name="Weekday_lookup" numFmtId="0">
      <sharedItems count="7">
        <s v="Saturday"/>
        <s v="Sunday"/>
        <s v="Monday"/>
        <s v="Tuesday"/>
        <s v="Wednesday"/>
        <s v="Thursday"/>
        <s v="Friday"/>
      </sharedItems>
    </cacheField>
    <cacheField name="Year_lookup" numFmtId="0">
      <sharedItems containsSemiMixedTypes="0" containsString="0" containsNumber="1" containsInteger="1" minValue="2011" maxValue="2011"/>
    </cacheField>
    <cacheField name="MOST_HUMID_DAY" numFmtId="0">
      <sharedItems containsSemiMixedTypes="0" containsDate="1" containsString="0" containsMixedTypes="1" minDate="2011-01-01T00:00:00" maxDate="2011-02-15T00:00:00"/>
    </cacheField>
    <cacheField name="weekday_weedend_lookup" numFmtId="0">
      <sharedItems count="3">
        <s v="Weedend"/>
        <s v="Weekday"/>
        <s v="Holiday"/>
      </sharedItems>
    </cacheField>
    <cacheField name="Days (dteday)" numFmtId="0" databaseField="0">
      <fieldGroup base="1">
        <rangePr groupBy="days" startDate="2011-01-01T00:00:00" endDate="2011-02-15T00:00:00"/>
        <groupItems count="368">
          <s v="&lt;1/1/2011"/>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15/2011"/>
        </groupItems>
      </fieldGroup>
    </cacheField>
    <cacheField name="Months (dteday)" numFmtId="0" databaseField="0">
      <fieldGroup base="1">
        <rangePr groupBy="months" startDate="2011-01-01T00:00:00" endDate="2011-02-15T00:00:00"/>
        <groupItems count="14">
          <s v="&lt;1/1/2011"/>
          <s v="Jan"/>
          <s v="Feb"/>
          <s v="Mar"/>
          <s v="Apr"/>
          <s v="May"/>
          <s v="Jun"/>
          <s v="Jul"/>
          <s v="Aug"/>
          <s v="Sep"/>
          <s v="Oct"/>
          <s v="Nov"/>
          <s v="Dec"/>
          <s v="&gt;2/15/2011"/>
        </groupItems>
      </fieldGroup>
    </cacheField>
  </cacheFields>
  <extLst>
    <ext xmlns:x14="http://schemas.microsoft.com/office/spreadsheetml/2009/9/main" uri="{725AE2AE-9491-48be-B2B4-4EB974FC3084}">
      <x14:pivotCacheDefinition pivotCacheId="21300511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x v="0"/>
    <n v="1"/>
    <n v="0"/>
    <n v="1"/>
    <x v="0"/>
    <b v="0"/>
    <n v="6"/>
    <n v="1"/>
    <n v="0.24"/>
    <n v="0.28789999999999999"/>
    <n v="0.81"/>
    <n v="0"/>
    <n v="3"/>
    <n v="13"/>
    <n v="16"/>
    <x v="0"/>
    <s v="Spring"/>
    <x v="0"/>
    <x v="0"/>
    <n v="2011"/>
    <d v="2011-01-01T00:00:00"/>
    <x v="0"/>
  </r>
  <r>
    <n v="2"/>
    <x v="0"/>
    <n v="1"/>
    <n v="0"/>
    <n v="1"/>
    <x v="1"/>
    <b v="0"/>
    <n v="6"/>
    <n v="1"/>
    <n v="0.22"/>
    <n v="0.2727"/>
    <n v="0.8"/>
    <n v="0"/>
    <n v="8"/>
    <n v="32"/>
    <n v="40"/>
    <x v="0"/>
    <s v="Spring"/>
    <x v="0"/>
    <x v="0"/>
    <n v="2011"/>
    <d v="2011-01-01T00:00:00"/>
    <x v="0"/>
  </r>
  <r>
    <n v="3"/>
    <x v="0"/>
    <n v="1"/>
    <n v="0"/>
    <n v="1"/>
    <x v="2"/>
    <b v="0"/>
    <n v="6"/>
    <n v="1"/>
    <n v="0.22"/>
    <n v="0.2727"/>
    <n v="0.8"/>
    <n v="0"/>
    <n v="5"/>
    <n v="27"/>
    <n v="32"/>
    <x v="0"/>
    <s v="Spring"/>
    <x v="0"/>
    <x v="0"/>
    <n v="2011"/>
    <d v="2011-01-01T00:00:00"/>
    <x v="0"/>
  </r>
  <r>
    <n v="4"/>
    <x v="0"/>
    <n v="1"/>
    <n v="0"/>
    <n v="1"/>
    <x v="3"/>
    <b v="0"/>
    <n v="6"/>
    <n v="1"/>
    <n v="0.24"/>
    <n v="0.28789999999999999"/>
    <n v="0.75"/>
    <n v="0"/>
    <n v="3"/>
    <n v="10"/>
    <n v="13"/>
    <x v="0"/>
    <s v="Spring"/>
    <x v="0"/>
    <x v="0"/>
    <n v="2011"/>
    <d v="2011-01-01T00:00:00"/>
    <x v="0"/>
  </r>
  <r>
    <n v="5"/>
    <x v="0"/>
    <n v="1"/>
    <n v="0"/>
    <n v="1"/>
    <x v="4"/>
    <b v="0"/>
    <n v="6"/>
    <n v="1"/>
    <n v="0.24"/>
    <n v="0.28789999999999999"/>
    <n v="0.75"/>
    <n v="0"/>
    <n v="0"/>
    <n v="1"/>
    <n v="1"/>
    <x v="0"/>
    <s v="Spring"/>
    <x v="0"/>
    <x v="0"/>
    <n v="2011"/>
    <d v="2011-01-01T00:00:00"/>
    <x v="0"/>
  </r>
  <r>
    <n v="6"/>
    <x v="0"/>
    <n v="1"/>
    <n v="0"/>
    <n v="1"/>
    <x v="5"/>
    <b v="0"/>
    <n v="6"/>
    <n v="2"/>
    <n v="0.24"/>
    <n v="0.2576"/>
    <n v="0.75"/>
    <n v="8.9599999999999999E-2"/>
    <n v="0"/>
    <n v="1"/>
    <n v="1"/>
    <x v="0"/>
    <s v="Spring"/>
    <x v="1"/>
    <x v="0"/>
    <n v="2011"/>
    <d v="2011-01-01T00:00:00"/>
    <x v="0"/>
  </r>
  <r>
    <n v="7"/>
    <x v="0"/>
    <n v="1"/>
    <n v="0"/>
    <n v="1"/>
    <x v="6"/>
    <b v="0"/>
    <n v="6"/>
    <n v="1"/>
    <n v="0.22"/>
    <n v="0.2727"/>
    <n v="0.8"/>
    <n v="0"/>
    <n v="2"/>
    <n v="0"/>
    <n v="2"/>
    <x v="0"/>
    <s v="Spring"/>
    <x v="0"/>
    <x v="0"/>
    <n v="2011"/>
    <d v="2011-01-01T00:00:00"/>
    <x v="0"/>
  </r>
  <r>
    <n v="8"/>
    <x v="0"/>
    <n v="1"/>
    <n v="0"/>
    <n v="1"/>
    <x v="7"/>
    <b v="0"/>
    <n v="6"/>
    <n v="1"/>
    <n v="0.2"/>
    <n v="0.2576"/>
    <n v="0.86"/>
    <n v="0"/>
    <n v="1"/>
    <n v="2"/>
    <n v="3"/>
    <x v="0"/>
    <s v="Spring"/>
    <x v="0"/>
    <x v="0"/>
    <n v="2011"/>
    <d v="2011-01-01T00:00:00"/>
    <x v="0"/>
  </r>
  <r>
    <n v="9"/>
    <x v="0"/>
    <n v="1"/>
    <n v="0"/>
    <n v="1"/>
    <x v="8"/>
    <b v="0"/>
    <n v="6"/>
    <n v="1"/>
    <n v="0.24"/>
    <n v="0"/>
    <n v="0.75"/>
    <n v="0"/>
    <n v="1"/>
    <n v="7"/>
    <n v="8"/>
    <x v="0"/>
    <s v="Spring"/>
    <x v="0"/>
    <x v="0"/>
    <n v="2011"/>
    <d v="2011-01-01T00:00:00"/>
    <x v="0"/>
  </r>
  <r>
    <n v="10"/>
    <x v="0"/>
    <n v="1"/>
    <n v="0"/>
    <n v="1"/>
    <x v="9"/>
    <b v="0"/>
    <n v="6"/>
    <n v="1"/>
    <n v="0.32"/>
    <n v="0.34849999999999998"/>
    <n v="0.76"/>
    <n v="0"/>
    <n v="8"/>
    <n v="6"/>
    <n v="14"/>
    <x v="0"/>
    <s v="Spring"/>
    <x v="0"/>
    <x v="0"/>
    <n v="2011"/>
    <d v="2011-01-01T00:00:00"/>
    <x v="0"/>
  </r>
  <r>
    <n v="11"/>
    <x v="0"/>
    <n v="1"/>
    <n v="0"/>
    <n v="1"/>
    <x v="10"/>
    <b v="0"/>
    <n v="6"/>
    <n v="1"/>
    <n v="0.38"/>
    <n v="0.39389999999999997"/>
    <n v="0.76"/>
    <n v="0.25369999999999998"/>
    <n v="12"/>
    <n v="24"/>
    <n v="36"/>
    <x v="0"/>
    <s v="Spring"/>
    <x v="0"/>
    <x v="0"/>
    <n v="2011"/>
    <d v="2011-01-01T00:00:00"/>
    <x v="0"/>
  </r>
  <r>
    <n v="12"/>
    <x v="0"/>
    <n v="1"/>
    <n v="0"/>
    <n v="1"/>
    <x v="11"/>
    <b v="0"/>
    <n v="6"/>
    <n v="1"/>
    <n v="0.36"/>
    <n v="0.33329999999999999"/>
    <n v="0.81"/>
    <n v="0.28360000000000002"/>
    <n v="26"/>
    <n v="30"/>
    <n v="56"/>
    <x v="0"/>
    <s v="Spring"/>
    <x v="0"/>
    <x v="0"/>
    <n v="2011"/>
    <d v="2011-01-01T00:00:00"/>
    <x v="0"/>
  </r>
  <r>
    <n v="13"/>
    <x v="0"/>
    <n v="1"/>
    <n v="0"/>
    <n v="1"/>
    <x v="12"/>
    <b v="0"/>
    <n v="6"/>
    <n v="1"/>
    <n v="0.42"/>
    <n v="0.42420000000000002"/>
    <n v="0.77"/>
    <n v="0.28360000000000002"/>
    <n v="29"/>
    <n v="55"/>
    <n v="84"/>
    <x v="0"/>
    <s v="Spring"/>
    <x v="0"/>
    <x v="0"/>
    <n v="2011"/>
    <d v="2011-01-01T00:00:00"/>
    <x v="0"/>
  </r>
  <r>
    <n v="14"/>
    <x v="0"/>
    <n v="1"/>
    <n v="0"/>
    <n v="1"/>
    <x v="13"/>
    <b v="0"/>
    <n v="6"/>
    <n v="2"/>
    <n v="0.46"/>
    <n v="0.45450000000000002"/>
    <n v="0.72"/>
    <n v="0.29849999999999999"/>
    <n v="47"/>
    <n v="47"/>
    <n v="94"/>
    <x v="0"/>
    <s v="Spring"/>
    <x v="1"/>
    <x v="0"/>
    <n v="2011"/>
    <d v="2011-01-01T00:00:00"/>
    <x v="0"/>
  </r>
  <r>
    <n v="15"/>
    <x v="0"/>
    <n v="1"/>
    <n v="0"/>
    <n v="1"/>
    <x v="14"/>
    <b v="0"/>
    <n v="6"/>
    <n v="2"/>
    <n v="0.46"/>
    <n v="0.45450000000000002"/>
    <n v="0.72"/>
    <n v="0.28360000000000002"/>
    <n v="35"/>
    <n v="71"/>
    <n v="106"/>
    <x v="0"/>
    <s v="Spring"/>
    <x v="1"/>
    <x v="0"/>
    <n v="2011"/>
    <d v="2011-01-01T00:00:00"/>
    <x v="0"/>
  </r>
  <r>
    <n v="16"/>
    <x v="0"/>
    <n v="1"/>
    <n v="0"/>
    <n v="1"/>
    <x v="15"/>
    <b v="0"/>
    <n v="6"/>
    <n v="2"/>
    <n v="0.44"/>
    <n v="0.43940000000000001"/>
    <n v="0.77"/>
    <n v="0.29849999999999999"/>
    <n v="40"/>
    <n v="70"/>
    <n v="110"/>
    <x v="0"/>
    <s v="Spring"/>
    <x v="1"/>
    <x v="0"/>
    <n v="2011"/>
    <d v="2011-01-02T00:00:00"/>
    <x v="0"/>
  </r>
  <r>
    <n v="17"/>
    <x v="0"/>
    <n v="1"/>
    <n v="0"/>
    <n v="1"/>
    <x v="16"/>
    <b v="0"/>
    <n v="6"/>
    <n v="2"/>
    <n v="0.42"/>
    <n v="0.42420000000000002"/>
    <n v="0.82"/>
    <n v="0.29849999999999999"/>
    <n v="41"/>
    <n v="52"/>
    <n v="93"/>
    <x v="0"/>
    <s v="Spring"/>
    <x v="1"/>
    <x v="0"/>
    <n v="2011"/>
    <d v="2011-01-02T00:00:00"/>
    <x v="0"/>
  </r>
  <r>
    <n v="18"/>
    <x v="0"/>
    <n v="1"/>
    <n v="0"/>
    <n v="1"/>
    <x v="17"/>
    <b v="0"/>
    <n v="6"/>
    <n v="2"/>
    <n v="0.44"/>
    <n v="0"/>
    <n v="0.82"/>
    <n v="0.28360000000000002"/>
    <n v="15"/>
    <n v="52"/>
    <n v="67"/>
    <x v="0"/>
    <s v="Spring"/>
    <x v="1"/>
    <x v="0"/>
    <n v="2011"/>
    <d v="2011-01-02T00:00:00"/>
    <x v="0"/>
  </r>
  <r>
    <n v="19"/>
    <x v="0"/>
    <n v="1"/>
    <n v="0"/>
    <n v="1"/>
    <x v="18"/>
    <b v="0"/>
    <n v="6"/>
    <n v="3"/>
    <n v="0.42"/>
    <n v="0.42420000000000002"/>
    <n v="0.88"/>
    <n v="0.25369999999999998"/>
    <n v="9"/>
    <n v="26"/>
    <n v="35"/>
    <x v="0"/>
    <s v="Spring"/>
    <x v="2"/>
    <x v="0"/>
    <n v="2011"/>
    <d v="2011-01-02T00:00:00"/>
    <x v="0"/>
  </r>
  <r>
    <n v="20"/>
    <x v="0"/>
    <n v="1"/>
    <n v="0"/>
    <n v="1"/>
    <x v="19"/>
    <b v="0"/>
    <n v="6"/>
    <n v="3"/>
    <n v="0.42"/>
    <n v="0.42420000000000002"/>
    <n v="0.88"/>
    <n v="0.25369999999999998"/>
    <n v="6"/>
    <n v="31"/>
    <n v="37"/>
    <x v="0"/>
    <s v="Spring"/>
    <x v="2"/>
    <x v="0"/>
    <n v="2011"/>
    <d v="2011-01-02T00:00:00"/>
    <x v="0"/>
  </r>
  <r>
    <n v="21"/>
    <x v="0"/>
    <n v="1"/>
    <n v="0"/>
    <n v="1"/>
    <x v="20"/>
    <b v="0"/>
    <n v="6"/>
    <n v="2"/>
    <n v="0.4"/>
    <n v="0.40910000000000002"/>
    <n v="0.87"/>
    <n v="0.25369999999999998"/>
    <n v="11"/>
    <n v="25"/>
    <n v="36"/>
    <x v="0"/>
    <s v="Spring"/>
    <x v="1"/>
    <x v="0"/>
    <n v="2011"/>
    <d v="2011-01-02T00:00:00"/>
    <x v="0"/>
  </r>
  <r>
    <n v="22"/>
    <x v="0"/>
    <n v="1"/>
    <n v="0"/>
    <n v="1"/>
    <x v="21"/>
    <b v="0"/>
    <n v="6"/>
    <n v="2"/>
    <n v="0.4"/>
    <n v="0.40910000000000002"/>
    <n v="0.87"/>
    <n v="0.19400000000000001"/>
    <n v="3"/>
    <n v="31"/>
    <n v="34"/>
    <x v="0"/>
    <s v="Spring"/>
    <x v="1"/>
    <x v="0"/>
    <n v="2011"/>
    <d v="2011-01-02T00:00:00"/>
    <x v="0"/>
  </r>
  <r>
    <n v="23"/>
    <x v="0"/>
    <n v="1"/>
    <n v="0"/>
    <n v="1"/>
    <x v="22"/>
    <b v="0"/>
    <n v="6"/>
    <n v="2"/>
    <n v="0.4"/>
    <n v="0.40910000000000002"/>
    <n v="0.94"/>
    <n v="0.22389999999999999"/>
    <n v="11"/>
    <n v="17"/>
    <n v="28"/>
    <x v="0"/>
    <s v="Spring"/>
    <x v="1"/>
    <x v="0"/>
    <n v="2011"/>
    <d v="2011-01-02T00:00:00"/>
    <x v="0"/>
  </r>
  <r>
    <n v="24"/>
    <x v="0"/>
    <n v="1"/>
    <n v="0"/>
    <n v="1"/>
    <x v="23"/>
    <b v="0"/>
    <n v="6"/>
    <n v="2"/>
    <n v="0.46"/>
    <n v="0"/>
    <n v="0.88"/>
    <n v="0.29849999999999999"/>
    <n v="15"/>
    <n v="24"/>
    <n v="39"/>
    <x v="0"/>
    <s v="Spring"/>
    <x v="1"/>
    <x v="0"/>
    <n v="2011"/>
    <d v="2011-01-02T00:00:00"/>
    <x v="0"/>
  </r>
  <r>
    <n v="25"/>
    <x v="1"/>
    <n v="1"/>
    <n v="0"/>
    <n v="1"/>
    <x v="0"/>
    <b v="0"/>
    <n v="0"/>
    <n v="2"/>
    <n v="0.46"/>
    <n v="0.45450000000000002"/>
    <n v="0.88"/>
    <n v="0.29849999999999999"/>
    <n v="4"/>
    <n v="13"/>
    <n v="17"/>
    <x v="0"/>
    <s v="Spring"/>
    <x v="1"/>
    <x v="1"/>
    <n v="2011"/>
    <d v="2011-01-02T00:00:00"/>
    <x v="0"/>
  </r>
  <r>
    <n v="26"/>
    <x v="1"/>
    <n v="1"/>
    <n v="0"/>
    <n v="1"/>
    <x v="1"/>
    <b v="0"/>
    <n v="0"/>
    <n v="2"/>
    <n v="0.44"/>
    <n v="0.43940000000000001"/>
    <n v="0.94"/>
    <n v="0.25369999999999998"/>
    <n v="1"/>
    <n v="16"/>
    <n v="17"/>
    <x v="0"/>
    <s v="Spring"/>
    <x v="1"/>
    <x v="1"/>
    <n v="2011"/>
    <d v="2011-01-02T00:00:00"/>
    <x v="0"/>
  </r>
  <r>
    <n v="27"/>
    <x v="1"/>
    <n v="1"/>
    <n v="0"/>
    <n v="1"/>
    <x v="2"/>
    <b v="0"/>
    <n v="0"/>
    <n v="2"/>
    <n v="0.42"/>
    <n v="0.42420000000000002"/>
    <n v="1"/>
    <n v="0.28360000000000002"/>
    <n v="1"/>
    <n v="8"/>
    <n v="9"/>
    <x v="0"/>
    <s v="Spring"/>
    <x v="1"/>
    <x v="1"/>
    <n v="2011"/>
    <d v="2011-01-02T00:00:00"/>
    <x v="0"/>
  </r>
  <r>
    <n v="28"/>
    <x v="1"/>
    <n v="1"/>
    <n v="0"/>
    <n v="1"/>
    <x v="3"/>
    <b v="0"/>
    <n v="0"/>
    <n v="2"/>
    <n v="0.46"/>
    <n v="0.45450000000000002"/>
    <n v="0.94"/>
    <n v="0.19400000000000001"/>
    <n v="2"/>
    <n v="4"/>
    <n v="6"/>
    <x v="0"/>
    <s v="Spring"/>
    <x v="1"/>
    <x v="1"/>
    <n v="2011"/>
    <d v="2011-01-02T00:00:00"/>
    <x v="0"/>
  </r>
  <r>
    <n v="29"/>
    <x v="1"/>
    <n v="1"/>
    <n v="0"/>
    <n v="1"/>
    <x v="4"/>
    <b v="0"/>
    <n v="0"/>
    <n v="2"/>
    <n v="0.46"/>
    <n v="0"/>
    <n v="0.94"/>
    <n v="0.19400000000000001"/>
    <n v="2"/>
    <n v="1"/>
    <n v="3"/>
    <x v="0"/>
    <s v="Spring"/>
    <x v="1"/>
    <x v="1"/>
    <n v="2011"/>
    <d v="2011-01-02T00:00:00"/>
    <x v="0"/>
  </r>
  <r>
    <n v="30"/>
    <x v="1"/>
    <n v="1"/>
    <n v="0"/>
    <n v="1"/>
    <x v="6"/>
    <b v="0"/>
    <n v="0"/>
    <n v="3"/>
    <n v="0.42"/>
    <n v="0.42420000000000002"/>
    <n v="0.77"/>
    <n v="0.29849999999999999"/>
    <n v="0"/>
    <n v="2"/>
    <n v="2"/>
    <x v="0"/>
    <s v="Spring"/>
    <x v="2"/>
    <x v="1"/>
    <n v="2011"/>
    <d v="2011-01-02T00:00:00"/>
    <x v="0"/>
  </r>
  <r>
    <n v="31"/>
    <x v="1"/>
    <n v="1"/>
    <n v="0"/>
    <n v="1"/>
    <x v="7"/>
    <b v="0"/>
    <n v="0"/>
    <n v="2"/>
    <n v="0.4"/>
    <n v="0.40910000000000002"/>
    <n v="0.76"/>
    <n v="0.19400000000000001"/>
    <n v="0"/>
    <n v="1"/>
    <n v="1"/>
    <x v="0"/>
    <s v="Spring"/>
    <x v="1"/>
    <x v="1"/>
    <n v="2011"/>
    <d v="2011-02-13T00:00:00"/>
    <x v="0"/>
  </r>
  <r>
    <n v="32"/>
    <x v="1"/>
    <n v="1"/>
    <n v="0"/>
    <n v="1"/>
    <x v="8"/>
    <b v="0"/>
    <n v="0"/>
    <n v="3"/>
    <n v="0.4"/>
    <n v="0.40910000000000002"/>
    <n v="0.71"/>
    <n v="0.22389999999999999"/>
    <n v="0"/>
    <n v="8"/>
    <n v="8"/>
    <x v="0"/>
    <s v="Spring"/>
    <x v="2"/>
    <x v="1"/>
    <n v="2011"/>
    <d v="2011-02-13T00:00:00"/>
    <x v="0"/>
  </r>
  <r>
    <n v="33"/>
    <x v="1"/>
    <n v="1"/>
    <n v="0"/>
    <n v="1"/>
    <x v="9"/>
    <b v="0"/>
    <n v="0"/>
    <n v="2"/>
    <n v="0.38"/>
    <n v="0"/>
    <n v="0.76"/>
    <n v="0.22389999999999999"/>
    <n v="1"/>
    <n v="19"/>
    <n v="20"/>
    <x v="0"/>
    <s v="Spring"/>
    <x v="1"/>
    <x v="1"/>
    <n v="2011"/>
    <d v="2011-02-13T00:00:00"/>
    <x v="0"/>
  </r>
  <r>
    <n v="34"/>
    <x v="1"/>
    <n v="1"/>
    <n v="0"/>
    <n v="1"/>
    <x v="10"/>
    <b v="0"/>
    <n v="0"/>
    <n v="2"/>
    <n v="0.36"/>
    <n v="0.34849999999999998"/>
    <n v="0.81"/>
    <n v="0.22389999999999999"/>
    <n v="7"/>
    <n v="46"/>
    <n v="53"/>
    <x v="0"/>
    <s v="Spring"/>
    <x v="1"/>
    <x v="1"/>
    <n v="2011"/>
    <d v="2011-02-13T00:00:00"/>
    <x v="0"/>
  </r>
  <r>
    <n v="35"/>
    <x v="1"/>
    <n v="1"/>
    <n v="0"/>
    <n v="1"/>
    <x v="11"/>
    <b v="0"/>
    <n v="0"/>
    <n v="2"/>
    <n v="0.36"/>
    <n v="0.33329999999999999"/>
    <n v="0.71"/>
    <n v="0.25369999999999998"/>
    <n v="16"/>
    <n v="54"/>
    <n v="70"/>
    <x v="0"/>
    <s v="Spring"/>
    <x v="1"/>
    <x v="1"/>
    <n v="2011"/>
    <d v="2011-02-13T00:00:00"/>
    <x v="0"/>
  </r>
  <r>
    <n v="36"/>
    <x v="1"/>
    <n v="1"/>
    <n v="0"/>
    <n v="1"/>
    <x v="12"/>
    <b v="0"/>
    <n v="0"/>
    <n v="2"/>
    <n v="0.36"/>
    <n v="0.33329999999999999"/>
    <n v="0.66"/>
    <n v="0.29849999999999999"/>
    <n v="20"/>
    <n v="73"/>
    <n v="93"/>
    <x v="0"/>
    <s v="Spring"/>
    <x v="1"/>
    <x v="1"/>
    <n v="2011"/>
    <d v="2011-02-13T00:00:00"/>
    <x v="0"/>
  </r>
  <r>
    <n v="37"/>
    <x v="1"/>
    <n v="1"/>
    <n v="0"/>
    <n v="1"/>
    <x v="13"/>
    <b v="0"/>
    <n v="0"/>
    <n v="2"/>
    <n v="0.36"/>
    <n v="0.34849999999999998"/>
    <n v="0.66"/>
    <n v="0.1343"/>
    <n v="11"/>
    <n v="64"/>
    <n v="75"/>
    <x v="0"/>
    <s v="Spring"/>
    <x v="1"/>
    <x v="1"/>
    <n v="2011"/>
    <d v="2011-02-13T00:00:00"/>
    <x v="0"/>
  </r>
  <r>
    <n v="38"/>
    <x v="1"/>
    <n v="1"/>
    <n v="0"/>
    <n v="1"/>
    <x v="14"/>
    <b v="0"/>
    <n v="0"/>
    <n v="3"/>
    <n v="0.36"/>
    <n v="0"/>
    <n v="0.76"/>
    <n v="0.19400000000000001"/>
    <n v="4"/>
    <n v="55"/>
    <n v="59"/>
    <x v="0"/>
    <s v="Spring"/>
    <x v="2"/>
    <x v="1"/>
    <n v="2011"/>
    <d v="2011-02-13T00:00:00"/>
    <x v="0"/>
  </r>
  <r>
    <n v="39"/>
    <x v="1"/>
    <n v="1"/>
    <n v="0"/>
    <n v="1"/>
    <x v="15"/>
    <b v="0"/>
    <n v="0"/>
    <n v="3"/>
    <n v="0.34"/>
    <n v="0.33329999999999999"/>
    <n v="0.81"/>
    <n v="0.16420000000000001"/>
    <n v="19"/>
    <n v="55"/>
    <n v="74"/>
    <x v="0"/>
    <s v="Spring"/>
    <x v="2"/>
    <x v="1"/>
    <n v="2011"/>
    <d v="2011-02-13T00:00:00"/>
    <x v="0"/>
  </r>
  <r>
    <n v="40"/>
    <x v="1"/>
    <n v="1"/>
    <n v="0"/>
    <n v="1"/>
    <x v="16"/>
    <b v="0"/>
    <n v="0"/>
    <n v="3"/>
    <n v="0.34"/>
    <n v="0.33329999999999999"/>
    <n v="0.71"/>
    <n v="0.16420000000000001"/>
    <n v="9"/>
    <n v="67"/>
    <n v="76"/>
    <x v="0"/>
    <s v="Spring"/>
    <x v="2"/>
    <x v="1"/>
    <n v="2011"/>
    <d v="2011-02-13T00:00:00"/>
    <x v="0"/>
  </r>
  <r>
    <n v="41"/>
    <x v="1"/>
    <n v="1"/>
    <n v="0"/>
    <n v="1"/>
    <x v="17"/>
    <b v="0"/>
    <n v="0"/>
    <n v="1"/>
    <n v="0.34"/>
    <n v="0.33329999999999999"/>
    <n v="0.56999999999999995"/>
    <n v="0.19400000000000001"/>
    <n v="7"/>
    <n v="58"/>
    <n v="65"/>
    <x v="0"/>
    <s v="Spring"/>
    <x v="0"/>
    <x v="1"/>
    <n v="2011"/>
    <d v="2011-02-13T00:00:00"/>
    <x v="0"/>
  </r>
  <r>
    <n v="42"/>
    <x v="1"/>
    <n v="1"/>
    <n v="0"/>
    <n v="1"/>
    <x v="18"/>
    <b v="0"/>
    <n v="0"/>
    <n v="2"/>
    <n v="0.36"/>
    <n v="0.33329999999999999"/>
    <n v="0.46"/>
    <n v="0.32840000000000003"/>
    <n v="10"/>
    <n v="43"/>
    <n v="53"/>
    <x v="0"/>
    <s v="Spring"/>
    <x v="1"/>
    <x v="1"/>
    <n v="2011"/>
    <d v="2011-02-13T00:00:00"/>
    <x v="0"/>
  </r>
  <r>
    <n v="43"/>
    <x v="1"/>
    <n v="1"/>
    <n v="0"/>
    <n v="1"/>
    <x v="19"/>
    <b v="0"/>
    <n v="0"/>
    <n v="1"/>
    <n v="0.32"/>
    <n v="0.28789999999999999"/>
    <n v="0.42"/>
    <n v="0.44779999999999998"/>
    <n v="1"/>
    <n v="29"/>
    <n v="30"/>
    <x v="0"/>
    <s v="Spring"/>
    <x v="0"/>
    <x v="1"/>
    <n v="2011"/>
    <d v="2011-02-13T00:00:00"/>
    <x v="0"/>
  </r>
  <r>
    <n v="44"/>
    <x v="1"/>
    <n v="1"/>
    <n v="0"/>
    <n v="1"/>
    <x v="20"/>
    <b v="0"/>
    <n v="0"/>
    <n v="1"/>
    <n v="0.3"/>
    <n v="0"/>
    <n v="0.39"/>
    <n v="0.35820000000000002"/>
    <n v="5"/>
    <n v="17"/>
    <n v="22"/>
    <x v="0"/>
    <s v="Spring"/>
    <x v="0"/>
    <x v="1"/>
    <n v="2011"/>
    <d v="2011-02-13T00:00:00"/>
    <x v="0"/>
  </r>
  <r>
    <n v="45"/>
    <x v="1"/>
    <n v="1"/>
    <n v="0"/>
    <n v="1"/>
    <x v="21"/>
    <b v="0"/>
    <n v="0"/>
    <n v="1"/>
    <n v="0.26"/>
    <n v="0.2273"/>
    <n v="0.44"/>
    <n v="0.32840000000000003"/>
    <n v="11"/>
    <n v="20"/>
    <n v="31"/>
    <x v="0"/>
    <s v="Spring"/>
    <x v="0"/>
    <x v="1"/>
    <n v="2011"/>
    <d v="2011-02-13T00:00:00"/>
    <x v="0"/>
  </r>
  <r>
    <n v="46"/>
    <x v="1"/>
    <n v="1"/>
    <n v="0"/>
    <n v="1"/>
    <x v="22"/>
    <b v="0"/>
    <n v="0"/>
    <n v="1"/>
    <n v="0.24"/>
    <n v="0.21210000000000001"/>
    <n v="0.44"/>
    <n v="0.29849999999999999"/>
    <n v="0"/>
    <n v="9"/>
    <n v="9"/>
    <x v="0"/>
    <s v="Spring"/>
    <x v="0"/>
    <x v="1"/>
    <n v="2011"/>
    <d v="2011-02-13T00:00:00"/>
    <x v="0"/>
  </r>
  <r>
    <n v="47"/>
    <x v="1"/>
    <n v="1"/>
    <n v="0"/>
    <n v="1"/>
    <x v="23"/>
    <b v="0"/>
    <n v="0"/>
    <n v="1"/>
    <n v="0.22"/>
    <n v="0.2273"/>
    <n v="0.47"/>
    <n v="0.16420000000000001"/>
    <n v="0"/>
    <n v="8"/>
    <n v="8"/>
    <x v="0"/>
    <s v="Spring"/>
    <x v="0"/>
    <x v="1"/>
    <n v="2011"/>
    <d v="2011-02-13T00:00:00"/>
    <x v="0"/>
  </r>
  <r>
    <n v="48"/>
    <x v="2"/>
    <n v="1"/>
    <n v="0"/>
    <n v="1"/>
    <x v="0"/>
    <b v="0"/>
    <n v="1"/>
    <n v="1"/>
    <n v="0.22"/>
    <n v="0.19700000000000001"/>
    <n v="0.44"/>
    <n v="0.35820000000000002"/>
    <n v="0"/>
    <n v="5"/>
    <n v="5"/>
    <x v="0"/>
    <s v="Spring"/>
    <x v="0"/>
    <x v="2"/>
    <n v="2011"/>
    <d v="2011-02-13T00:00:00"/>
    <x v="1"/>
  </r>
  <r>
    <n v="49"/>
    <x v="2"/>
    <n v="1"/>
    <n v="0"/>
    <n v="1"/>
    <x v="1"/>
    <b v="0"/>
    <n v="1"/>
    <n v="1"/>
    <n v="0.2"/>
    <n v="0"/>
    <n v="0.44"/>
    <n v="0.41789999999999999"/>
    <n v="0"/>
    <n v="2"/>
    <n v="2"/>
    <x v="0"/>
    <s v="Spring"/>
    <x v="0"/>
    <x v="2"/>
    <n v="2011"/>
    <d v="2011-02-13T00:00:00"/>
    <x v="1"/>
  </r>
  <r>
    <n v="50"/>
    <x v="2"/>
    <n v="1"/>
    <n v="0"/>
    <n v="1"/>
    <x v="4"/>
    <b v="0"/>
    <n v="1"/>
    <n v="1"/>
    <n v="0.16"/>
    <n v="0.13639999999999999"/>
    <n v="0.47"/>
    <n v="0.3881"/>
    <n v="0"/>
    <n v="1"/>
    <n v="1"/>
    <x v="0"/>
    <s v="Spring"/>
    <x v="0"/>
    <x v="2"/>
    <n v="2011"/>
    <d v="2011-02-13T00:00:00"/>
    <x v="1"/>
  </r>
  <r>
    <n v="51"/>
    <x v="2"/>
    <n v="1"/>
    <n v="0"/>
    <n v="1"/>
    <x v="5"/>
    <b v="0"/>
    <n v="1"/>
    <n v="1"/>
    <n v="0.16"/>
    <n v="0.13639999999999999"/>
    <n v="0.47"/>
    <n v="0.28360000000000002"/>
    <n v="0"/>
    <n v="3"/>
    <n v="3"/>
    <x v="0"/>
    <s v="Spring"/>
    <x v="0"/>
    <x v="2"/>
    <n v="2011"/>
    <d v="2011-02-13T00:00:00"/>
    <x v="1"/>
  </r>
  <r>
    <n v="52"/>
    <x v="2"/>
    <n v="1"/>
    <n v="0"/>
    <n v="1"/>
    <x v="6"/>
    <b v="0"/>
    <n v="1"/>
    <n v="1"/>
    <n v="0.14000000000000001"/>
    <n v="0.1061"/>
    <n v="0.5"/>
    <n v="0.3881"/>
    <n v="0"/>
    <n v="30"/>
    <n v="30"/>
    <x v="0"/>
    <s v="Spring"/>
    <x v="0"/>
    <x v="2"/>
    <n v="2011"/>
    <d v="2011-02-13T00:00:00"/>
    <x v="1"/>
  </r>
  <r>
    <n v="53"/>
    <x v="2"/>
    <n v="1"/>
    <n v="0"/>
    <n v="1"/>
    <x v="7"/>
    <b v="0"/>
    <n v="1"/>
    <n v="1"/>
    <n v="0.14000000000000001"/>
    <n v="0.13639999999999999"/>
    <n v="0.5"/>
    <n v="0.19400000000000001"/>
    <n v="1"/>
    <n v="63"/>
    <n v="64"/>
    <x v="0"/>
    <s v="Spring"/>
    <x v="0"/>
    <x v="2"/>
    <n v="2011"/>
    <d v="2011-02-13T00:00:00"/>
    <x v="1"/>
  </r>
  <r>
    <n v="54"/>
    <x v="2"/>
    <n v="1"/>
    <n v="0"/>
    <n v="1"/>
    <x v="8"/>
    <b v="0"/>
    <n v="1"/>
    <n v="1"/>
    <n v="0.14000000000000001"/>
    <n v="0.1212"/>
    <n v="0.5"/>
    <n v="0.28360000000000002"/>
    <n v="1"/>
    <n v="153"/>
    <n v="154"/>
    <x v="0"/>
    <s v="Spring"/>
    <x v="0"/>
    <x v="2"/>
    <n v="2011"/>
    <d v="2011-02-13T00:00:00"/>
    <x v="1"/>
  </r>
  <r>
    <n v="55"/>
    <x v="2"/>
    <n v="1"/>
    <n v="0"/>
    <n v="1"/>
    <x v="9"/>
    <b v="0"/>
    <n v="1"/>
    <n v="1"/>
    <n v="0.16"/>
    <n v="0.13639999999999999"/>
    <n v="0.43"/>
    <n v="0.3881"/>
    <n v="7"/>
    <n v="81"/>
    <n v="88"/>
    <x v="0"/>
    <s v="Spring"/>
    <x v="0"/>
    <x v="2"/>
    <n v="2011"/>
    <d v="2011-02-13T00:00:00"/>
    <x v="1"/>
  </r>
  <r>
    <n v="56"/>
    <x v="2"/>
    <n v="1"/>
    <n v="0"/>
    <n v="1"/>
    <x v="10"/>
    <b v="0"/>
    <n v="1"/>
    <n v="1"/>
    <n v="0.18"/>
    <n v="0.16669999999999999"/>
    <n v="0.43"/>
    <n v="0.25369999999999998"/>
    <n v="11"/>
    <n v="33"/>
    <n v="44"/>
    <x v="0"/>
    <s v="Spring"/>
    <x v="0"/>
    <x v="2"/>
    <n v="2011"/>
    <d v="2011-02-13T00:00:00"/>
    <x v="1"/>
  </r>
  <r>
    <n v="57"/>
    <x v="2"/>
    <n v="1"/>
    <n v="0"/>
    <n v="1"/>
    <x v="11"/>
    <b v="0"/>
    <n v="1"/>
    <n v="1"/>
    <n v="0.2"/>
    <n v="0.18179999999999999"/>
    <n v="0.4"/>
    <n v="0.32840000000000003"/>
    <n v="10"/>
    <n v="41"/>
    <n v="51"/>
    <x v="0"/>
    <s v="Spring"/>
    <x v="0"/>
    <x v="2"/>
    <n v="2011"/>
    <d v="2011-02-13T00:00:00"/>
    <x v="1"/>
  </r>
  <r>
    <n v="58"/>
    <x v="2"/>
    <n v="1"/>
    <n v="0"/>
    <n v="1"/>
    <x v="12"/>
    <b v="0"/>
    <n v="1"/>
    <n v="1"/>
    <n v="0.22"/>
    <n v="0.21210000000000001"/>
    <n v="0.35"/>
    <n v="0.29849999999999999"/>
    <n v="13"/>
    <n v="48"/>
    <n v="61"/>
    <x v="0"/>
    <s v="Spring"/>
    <x v="0"/>
    <x v="2"/>
    <n v="2011"/>
    <d v="2011-02-13T00:00:00"/>
    <x v="1"/>
  </r>
  <r>
    <n v="59"/>
    <x v="2"/>
    <n v="1"/>
    <n v="0"/>
    <n v="1"/>
    <x v="13"/>
    <b v="0"/>
    <n v="1"/>
    <n v="1"/>
    <n v="0.24"/>
    <n v="0"/>
    <n v="0.35"/>
    <n v="0.28360000000000002"/>
    <n v="8"/>
    <n v="53"/>
    <n v="61"/>
    <x v="0"/>
    <s v="Spring"/>
    <x v="0"/>
    <x v="2"/>
    <n v="2011"/>
    <d v="2011-02-13T00:00:00"/>
    <x v="1"/>
  </r>
  <r>
    <n v="60"/>
    <x v="2"/>
    <n v="1"/>
    <n v="0"/>
    <n v="1"/>
    <x v="14"/>
    <b v="0"/>
    <n v="1"/>
    <n v="1"/>
    <n v="0.26"/>
    <n v="0.2424"/>
    <n v="0.3"/>
    <n v="0.28360000000000002"/>
    <n v="11"/>
    <n v="66"/>
    <n v="77"/>
    <x v="0"/>
    <s v="Spring"/>
    <x v="0"/>
    <x v="2"/>
    <n v="2011"/>
    <d v="2011-02-13T00:00:00"/>
    <x v="1"/>
  </r>
  <r>
    <n v="61"/>
    <x v="2"/>
    <n v="1"/>
    <n v="0"/>
    <n v="1"/>
    <x v="15"/>
    <b v="0"/>
    <n v="1"/>
    <n v="1"/>
    <n v="0.26"/>
    <n v="0.2424"/>
    <n v="0.3"/>
    <n v="0.25369999999999998"/>
    <n v="14"/>
    <n v="58"/>
    <n v="72"/>
    <x v="0"/>
    <s v="Spring"/>
    <x v="0"/>
    <x v="2"/>
    <n v="2011"/>
    <d v="2011-02-13T00:00:00"/>
    <x v="1"/>
  </r>
  <r>
    <n v="62"/>
    <x v="2"/>
    <n v="1"/>
    <n v="0"/>
    <n v="1"/>
    <x v="16"/>
    <b v="0"/>
    <n v="1"/>
    <n v="1"/>
    <n v="0.26"/>
    <n v="0.2424"/>
    <n v="0.3"/>
    <n v="0.25369999999999998"/>
    <n v="9"/>
    <n v="67"/>
    <n v="76"/>
    <x v="0"/>
    <s v="Spring"/>
    <x v="0"/>
    <x v="2"/>
    <n v="2011"/>
    <d v="2011-02-13T00:00:00"/>
    <x v="1"/>
  </r>
  <r>
    <n v="63"/>
    <x v="2"/>
    <n v="1"/>
    <n v="0"/>
    <n v="1"/>
    <x v="17"/>
    <b v="0"/>
    <n v="1"/>
    <n v="1"/>
    <n v="0.24"/>
    <n v="0.2273"/>
    <n v="0.3"/>
    <n v="0.22389999999999999"/>
    <n v="11"/>
    <n v="146"/>
    <n v="157"/>
    <x v="0"/>
    <s v="Spring"/>
    <x v="0"/>
    <x v="2"/>
    <n v="2011"/>
    <d v="2011-02-13T00:00:00"/>
    <x v="1"/>
  </r>
  <r>
    <n v="64"/>
    <x v="2"/>
    <n v="1"/>
    <n v="0"/>
    <n v="1"/>
    <x v="18"/>
    <b v="0"/>
    <n v="1"/>
    <n v="1"/>
    <n v="0.24"/>
    <n v="0.2576"/>
    <n v="0.32"/>
    <n v="0.1045"/>
    <n v="9"/>
    <n v="148"/>
    <n v="157"/>
    <x v="0"/>
    <s v="Spring"/>
    <x v="0"/>
    <x v="2"/>
    <n v="2011"/>
    <d v="2011-02-13T00:00:00"/>
    <x v="1"/>
  </r>
  <r>
    <n v="65"/>
    <x v="2"/>
    <n v="1"/>
    <n v="0"/>
    <n v="1"/>
    <x v="19"/>
    <b v="0"/>
    <n v="1"/>
    <n v="1"/>
    <n v="0.2"/>
    <n v="0.2576"/>
    <n v="0.47"/>
    <n v="0"/>
    <n v="8"/>
    <n v="102"/>
    <n v="110"/>
    <x v="0"/>
    <s v="Spring"/>
    <x v="0"/>
    <x v="2"/>
    <n v="2011"/>
    <d v="2011-02-13T00:00:00"/>
    <x v="1"/>
  </r>
  <r>
    <n v="66"/>
    <x v="2"/>
    <n v="1"/>
    <n v="0"/>
    <n v="1"/>
    <x v="20"/>
    <b v="0"/>
    <n v="1"/>
    <n v="1"/>
    <n v="0.2"/>
    <n v="0"/>
    <n v="0.47"/>
    <n v="0.1045"/>
    <n v="3"/>
    <n v="49"/>
    <n v="52"/>
    <x v="0"/>
    <s v="Spring"/>
    <x v="0"/>
    <x v="2"/>
    <n v="2011"/>
    <d v="2011-02-13T00:00:00"/>
    <x v="1"/>
  </r>
  <r>
    <n v="67"/>
    <x v="2"/>
    <n v="1"/>
    <n v="0"/>
    <n v="1"/>
    <x v="21"/>
    <b v="0"/>
    <n v="1"/>
    <n v="1"/>
    <n v="0.18"/>
    <n v="0.19700000000000001"/>
    <n v="0.64"/>
    <n v="0.1343"/>
    <n v="3"/>
    <n v="49"/>
    <n v="52"/>
    <x v="0"/>
    <s v="Spring"/>
    <x v="0"/>
    <x v="2"/>
    <n v="2011"/>
    <d v="2011-02-13T00:00:00"/>
    <x v="1"/>
  </r>
  <r>
    <n v="68"/>
    <x v="2"/>
    <n v="1"/>
    <n v="0"/>
    <n v="1"/>
    <x v="22"/>
    <b v="0"/>
    <n v="1"/>
    <n v="1"/>
    <n v="0.14000000000000001"/>
    <n v="0.1515"/>
    <n v="0.69"/>
    <n v="0.1343"/>
    <n v="0"/>
    <n v="20"/>
    <n v="20"/>
    <x v="0"/>
    <s v="Spring"/>
    <x v="0"/>
    <x v="2"/>
    <n v="2011"/>
    <d v="2011-02-13T00:00:00"/>
    <x v="1"/>
  </r>
  <r>
    <n v="69"/>
    <x v="2"/>
    <n v="1"/>
    <n v="0"/>
    <n v="1"/>
    <x v="23"/>
    <b v="0"/>
    <n v="1"/>
    <n v="1"/>
    <n v="0.18"/>
    <n v="0.21210000000000001"/>
    <n v="0.55000000000000004"/>
    <n v="0.1045"/>
    <n v="1"/>
    <n v="11"/>
    <n v="12"/>
    <x v="0"/>
    <s v="Spring"/>
    <x v="0"/>
    <x v="2"/>
    <n v="2011"/>
    <d v="2011-02-13T00:00:00"/>
    <x v="1"/>
  </r>
  <r>
    <n v="70"/>
    <x v="3"/>
    <n v="1"/>
    <n v="0"/>
    <n v="1"/>
    <x v="0"/>
    <b v="0"/>
    <n v="2"/>
    <n v="1"/>
    <n v="0.16"/>
    <n v="0"/>
    <n v="0.55000000000000004"/>
    <n v="0.1045"/>
    <n v="0"/>
    <n v="5"/>
    <n v="5"/>
    <x v="0"/>
    <s v="Spring"/>
    <x v="0"/>
    <x v="3"/>
    <n v="2011"/>
    <d v="2011-02-13T00:00:00"/>
    <x v="1"/>
  </r>
  <r>
    <n v="71"/>
    <x v="3"/>
    <n v="1"/>
    <n v="0"/>
    <n v="1"/>
    <x v="1"/>
    <b v="0"/>
    <n v="2"/>
    <n v="1"/>
    <n v="0.16"/>
    <n v="0.18179999999999999"/>
    <n v="0.59"/>
    <n v="0.1045"/>
    <n v="0"/>
    <n v="2"/>
    <n v="2"/>
    <x v="0"/>
    <s v="Spring"/>
    <x v="0"/>
    <x v="3"/>
    <n v="2011"/>
    <d v="2011-02-13T00:00:00"/>
    <x v="1"/>
  </r>
  <r>
    <n v="72"/>
    <x v="3"/>
    <n v="1"/>
    <n v="0"/>
    <n v="1"/>
    <x v="2"/>
    <b v="0"/>
    <n v="2"/>
    <n v="1"/>
    <n v="0.14000000000000001"/>
    <n v="0.1515"/>
    <n v="0.63"/>
    <n v="0.1343"/>
    <n v="0"/>
    <n v="1"/>
    <n v="1"/>
    <x v="0"/>
    <s v="Spring"/>
    <x v="0"/>
    <x v="3"/>
    <n v="2011"/>
    <d v="2011-02-13T00:00:00"/>
    <x v="1"/>
  </r>
  <r>
    <n v="73"/>
    <x v="3"/>
    <n v="1"/>
    <n v="0"/>
    <n v="1"/>
    <x v="4"/>
    <b v="0"/>
    <n v="2"/>
    <n v="1"/>
    <n v="0.14000000000000001"/>
    <n v="0.18179999999999999"/>
    <n v="0.63"/>
    <n v="8.9599999999999999E-2"/>
    <n v="0"/>
    <n v="2"/>
    <n v="2"/>
    <x v="0"/>
    <s v="Spring"/>
    <x v="0"/>
    <x v="3"/>
    <n v="2011"/>
    <d v="2011-02-13T00:00:00"/>
    <x v="1"/>
  </r>
  <r>
    <n v="74"/>
    <x v="3"/>
    <n v="1"/>
    <n v="0"/>
    <n v="1"/>
    <x v="5"/>
    <b v="0"/>
    <n v="2"/>
    <n v="1"/>
    <n v="0.12"/>
    <n v="0.1515"/>
    <n v="0.68"/>
    <n v="0.1045"/>
    <n v="0"/>
    <n v="4"/>
    <n v="4"/>
    <x v="0"/>
    <s v="Spring"/>
    <x v="0"/>
    <x v="3"/>
    <n v="2011"/>
    <d v="2011-02-13T00:00:00"/>
    <x v="1"/>
  </r>
  <r>
    <n v="75"/>
    <x v="3"/>
    <n v="1"/>
    <n v="0"/>
    <n v="1"/>
    <x v="6"/>
    <b v="0"/>
    <n v="2"/>
    <n v="1"/>
    <n v="0.12"/>
    <n v="0.1515"/>
    <n v="0.74"/>
    <n v="0.1045"/>
    <n v="0"/>
    <n v="36"/>
    <n v="36"/>
    <x v="0"/>
    <s v="Spring"/>
    <x v="0"/>
    <x v="3"/>
    <n v="2011"/>
    <d v="2011-02-13T00:00:00"/>
    <x v="1"/>
  </r>
  <r>
    <n v="76"/>
    <x v="3"/>
    <n v="1"/>
    <n v="0"/>
    <n v="1"/>
    <x v="7"/>
    <b v="0"/>
    <n v="2"/>
    <n v="1"/>
    <n v="0.12"/>
    <n v="0.1515"/>
    <n v="0.74"/>
    <n v="0.1343"/>
    <n v="2"/>
    <n v="92"/>
    <n v="94"/>
    <x v="0"/>
    <s v="Spring"/>
    <x v="0"/>
    <x v="3"/>
    <n v="2011"/>
    <d v="2011-02-13T00:00:00"/>
    <x v="1"/>
  </r>
  <r>
    <n v="77"/>
    <x v="3"/>
    <n v="1"/>
    <n v="0"/>
    <n v="1"/>
    <x v="8"/>
    <b v="0"/>
    <n v="2"/>
    <n v="1"/>
    <n v="0.14000000000000001"/>
    <n v="0.1515"/>
    <n v="0.69"/>
    <n v="0.16420000000000001"/>
    <n v="2"/>
    <n v="177"/>
    <n v="179"/>
    <x v="0"/>
    <s v="Spring"/>
    <x v="0"/>
    <x v="3"/>
    <n v="2011"/>
    <d v="2011-02-13T00:00:00"/>
    <x v="1"/>
  </r>
  <r>
    <n v="78"/>
    <x v="3"/>
    <n v="1"/>
    <n v="0"/>
    <n v="1"/>
    <x v="9"/>
    <b v="0"/>
    <n v="2"/>
    <n v="1"/>
    <n v="0.16"/>
    <n v="0.1515"/>
    <n v="0.64"/>
    <n v="0.22389999999999999"/>
    <n v="2"/>
    <n v="98"/>
    <n v="100"/>
    <x v="0"/>
    <s v="Spring"/>
    <x v="0"/>
    <x v="3"/>
    <n v="2011"/>
    <d v="2011-02-13T00:00:00"/>
    <x v="1"/>
  </r>
  <r>
    <n v="79"/>
    <x v="3"/>
    <n v="1"/>
    <n v="0"/>
    <n v="1"/>
    <x v="10"/>
    <b v="0"/>
    <n v="2"/>
    <n v="2"/>
    <n v="0.16"/>
    <n v="0.13639999999999999"/>
    <n v="0.69"/>
    <n v="0.32840000000000003"/>
    <n v="5"/>
    <n v="37"/>
    <n v="42"/>
    <x v="0"/>
    <s v="Spring"/>
    <x v="1"/>
    <x v="3"/>
    <n v="2011"/>
    <d v="2011-02-13T00:00:00"/>
    <x v="1"/>
  </r>
  <r>
    <n v="80"/>
    <x v="3"/>
    <n v="1"/>
    <n v="0"/>
    <n v="1"/>
    <x v="11"/>
    <b v="0"/>
    <n v="2"/>
    <n v="1"/>
    <n v="0.22"/>
    <n v="0.21210000000000001"/>
    <n v="0.51"/>
    <n v="0.29849999999999999"/>
    <n v="7"/>
    <n v="50"/>
    <n v="57"/>
    <x v="0"/>
    <s v="Spring"/>
    <x v="0"/>
    <x v="3"/>
    <n v="2011"/>
    <d v="2011-02-13T00:00:00"/>
    <x v="1"/>
  </r>
  <r>
    <n v="81"/>
    <x v="3"/>
    <n v="1"/>
    <n v="0"/>
    <n v="1"/>
    <x v="12"/>
    <b v="0"/>
    <n v="2"/>
    <n v="1"/>
    <n v="0.22"/>
    <n v="0.2273"/>
    <n v="0.51"/>
    <n v="0.16420000000000001"/>
    <n v="12"/>
    <n v="66"/>
    <n v="78"/>
    <x v="0"/>
    <s v="Spring"/>
    <x v="0"/>
    <x v="3"/>
    <n v="2011"/>
    <d v="2011-02-13T00:00:00"/>
    <x v="1"/>
  </r>
  <r>
    <n v="82"/>
    <x v="3"/>
    <n v="1"/>
    <n v="0"/>
    <n v="1"/>
    <x v="13"/>
    <b v="0"/>
    <n v="2"/>
    <n v="1"/>
    <n v="0.24"/>
    <n v="0.2273"/>
    <n v="0.56000000000000005"/>
    <n v="0.19400000000000001"/>
    <n v="18"/>
    <n v="79"/>
    <n v="97"/>
    <x v="0"/>
    <s v="Spring"/>
    <x v="0"/>
    <x v="3"/>
    <n v="2011"/>
    <d v="2011-02-13T00:00:00"/>
    <x v="1"/>
  </r>
  <r>
    <n v="83"/>
    <x v="3"/>
    <n v="1"/>
    <n v="0"/>
    <n v="1"/>
    <x v="14"/>
    <b v="0"/>
    <n v="2"/>
    <n v="1"/>
    <n v="0.26"/>
    <n v="0.2576"/>
    <n v="0.52"/>
    <n v="0.22389999999999999"/>
    <n v="9"/>
    <n v="54"/>
    <n v="63"/>
    <x v="0"/>
    <s v="Spring"/>
    <x v="0"/>
    <x v="3"/>
    <n v="2011"/>
    <d v="2011-02-13T00:00:00"/>
    <x v="1"/>
  </r>
  <r>
    <n v="84"/>
    <x v="3"/>
    <n v="1"/>
    <n v="0"/>
    <n v="1"/>
    <x v="15"/>
    <b v="0"/>
    <n v="2"/>
    <n v="1"/>
    <n v="0.28000000000000003"/>
    <n v="0.2727"/>
    <n v="0.52"/>
    <n v="0.25369999999999998"/>
    <n v="17"/>
    <n v="48"/>
    <n v="65"/>
    <x v="0"/>
    <s v="Spring"/>
    <x v="0"/>
    <x v="3"/>
    <n v="2011"/>
    <d v="2011-02-13T00:00:00"/>
    <x v="1"/>
  </r>
  <r>
    <n v="85"/>
    <x v="3"/>
    <n v="1"/>
    <n v="0"/>
    <n v="1"/>
    <x v="16"/>
    <b v="0"/>
    <n v="2"/>
    <n v="1"/>
    <n v="0.3"/>
    <n v="0.28789999999999999"/>
    <n v="0.49"/>
    <n v="0.25369999999999998"/>
    <n v="15"/>
    <n v="68"/>
    <n v="83"/>
    <x v="0"/>
    <s v="Spring"/>
    <x v="0"/>
    <x v="3"/>
    <n v="2011"/>
    <d v="2011-02-13T00:00:00"/>
    <x v="1"/>
  </r>
  <r>
    <n v="86"/>
    <x v="3"/>
    <n v="1"/>
    <n v="0"/>
    <n v="1"/>
    <x v="17"/>
    <b v="0"/>
    <n v="2"/>
    <n v="1"/>
    <n v="0.28000000000000003"/>
    <n v="0.2727"/>
    <n v="0.48"/>
    <n v="0.22389999999999999"/>
    <n v="10"/>
    <n v="202"/>
    <n v="212"/>
    <x v="0"/>
    <s v="Spring"/>
    <x v="0"/>
    <x v="3"/>
    <n v="2011"/>
    <d v="2011-02-13T00:00:00"/>
    <x v="1"/>
  </r>
  <r>
    <n v="87"/>
    <x v="3"/>
    <n v="1"/>
    <n v="0"/>
    <n v="1"/>
    <x v="18"/>
    <b v="0"/>
    <n v="2"/>
    <n v="1"/>
    <n v="0.26"/>
    <n v="0.2576"/>
    <n v="0.48"/>
    <n v="0.19400000000000001"/>
    <n v="3"/>
    <n v="179"/>
    <n v="182"/>
    <x v="0"/>
    <s v="Spring"/>
    <x v="0"/>
    <x v="3"/>
    <n v="2011"/>
    <d v="2011-02-13T00:00:00"/>
    <x v="1"/>
  </r>
  <r>
    <n v="88"/>
    <x v="3"/>
    <n v="1"/>
    <n v="0"/>
    <n v="1"/>
    <x v="19"/>
    <b v="0"/>
    <n v="2"/>
    <n v="1"/>
    <n v="0.24"/>
    <n v="0.2576"/>
    <n v="0.48"/>
    <n v="0.1045"/>
    <n v="2"/>
    <n v="110"/>
    <n v="112"/>
    <x v="0"/>
    <s v="Spring"/>
    <x v="0"/>
    <x v="3"/>
    <n v="2011"/>
    <d v="2011-02-13T00:00:00"/>
    <x v="1"/>
  </r>
  <r>
    <n v="89"/>
    <x v="3"/>
    <n v="1"/>
    <n v="0"/>
    <n v="1"/>
    <x v="20"/>
    <b v="0"/>
    <n v="2"/>
    <n v="1"/>
    <n v="0.24"/>
    <n v="0.2576"/>
    <n v="0.48"/>
    <n v="0.1045"/>
    <n v="1"/>
    <n v="53"/>
    <n v="54"/>
    <x v="0"/>
    <s v="Spring"/>
    <x v="0"/>
    <x v="3"/>
    <n v="2011"/>
    <d v="2011-02-13T00:00:00"/>
    <x v="1"/>
  </r>
  <r>
    <n v="90"/>
    <x v="3"/>
    <n v="1"/>
    <n v="0"/>
    <n v="1"/>
    <x v="21"/>
    <b v="0"/>
    <n v="2"/>
    <n v="1"/>
    <n v="0.22"/>
    <n v="0.2727"/>
    <n v="0.64"/>
    <n v="0"/>
    <n v="0"/>
    <n v="48"/>
    <n v="48"/>
    <x v="0"/>
    <s v="Spring"/>
    <x v="0"/>
    <x v="3"/>
    <n v="2011"/>
    <d v="2011-02-13T00:00:00"/>
    <x v="1"/>
  </r>
  <r>
    <n v="91"/>
    <x v="3"/>
    <n v="1"/>
    <n v="0"/>
    <n v="1"/>
    <x v="22"/>
    <b v="0"/>
    <n v="2"/>
    <n v="1"/>
    <n v="0.22"/>
    <n v="0.2576"/>
    <n v="0.64"/>
    <n v="8.9599999999999999E-2"/>
    <n v="1"/>
    <n v="34"/>
    <n v="35"/>
    <x v="0"/>
    <s v="Spring"/>
    <x v="0"/>
    <x v="3"/>
    <n v="2011"/>
    <d v="2011-02-13T00:00:00"/>
    <x v="1"/>
  </r>
  <r>
    <n v="92"/>
    <x v="3"/>
    <n v="1"/>
    <n v="0"/>
    <n v="1"/>
    <x v="23"/>
    <b v="0"/>
    <n v="2"/>
    <n v="1"/>
    <n v="0.2"/>
    <n v="0.2273"/>
    <n v="0.69"/>
    <n v="8.9599999999999999E-2"/>
    <n v="2"/>
    <n v="9"/>
    <n v="11"/>
    <x v="0"/>
    <s v="Spring"/>
    <x v="0"/>
    <x v="3"/>
    <n v="2011"/>
    <d v="2011-02-13T00:00:00"/>
    <x v="1"/>
  </r>
  <r>
    <n v="93"/>
    <x v="4"/>
    <n v="1"/>
    <n v="0"/>
    <n v="1"/>
    <x v="0"/>
    <b v="0"/>
    <n v="3"/>
    <n v="1"/>
    <n v="0.2"/>
    <n v="0.2576"/>
    <n v="0.64"/>
    <n v="0"/>
    <n v="0"/>
    <n v="6"/>
    <n v="6"/>
    <x v="0"/>
    <s v="Spring"/>
    <x v="0"/>
    <x v="4"/>
    <n v="2011"/>
    <d v="2011-02-13T00:00:00"/>
    <x v="1"/>
  </r>
  <r>
    <n v="94"/>
    <x v="4"/>
    <n v="1"/>
    <n v="0"/>
    <n v="1"/>
    <x v="1"/>
    <b v="0"/>
    <n v="3"/>
    <n v="1"/>
    <n v="0.16"/>
    <n v="0.19700000000000001"/>
    <n v="0.74"/>
    <n v="8.9599999999999999E-2"/>
    <n v="0"/>
    <n v="6"/>
    <n v="6"/>
    <x v="0"/>
    <s v="Spring"/>
    <x v="0"/>
    <x v="4"/>
    <n v="2011"/>
    <d v="2011-02-13T00:00:00"/>
    <x v="1"/>
  </r>
  <r>
    <n v="95"/>
    <x v="4"/>
    <n v="1"/>
    <n v="0"/>
    <n v="1"/>
    <x v="2"/>
    <b v="0"/>
    <n v="3"/>
    <n v="1"/>
    <n v="0.16"/>
    <n v="0.19700000000000001"/>
    <n v="0.74"/>
    <n v="8.9599999999999999E-2"/>
    <n v="0"/>
    <n v="2"/>
    <n v="2"/>
    <x v="0"/>
    <s v="Spring"/>
    <x v="0"/>
    <x v="4"/>
    <n v="2011"/>
    <d v="2011-02-13T00:00:00"/>
    <x v="1"/>
  </r>
  <r>
    <n v="96"/>
    <x v="4"/>
    <n v="1"/>
    <n v="0"/>
    <n v="1"/>
    <x v="4"/>
    <b v="0"/>
    <n v="3"/>
    <n v="1"/>
    <n v="0.24"/>
    <n v="0.2273"/>
    <n v="0.48"/>
    <n v="0.22389999999999999"/>
    <n v="0"/>
    <n v="2"/>
    <n v="2"/>
    <x v="0"/>
    <s v="Spring"/>
    <x v="0"/>
    <x v="4"/>
    <n v="2011"/>
    <d v="2011-02-13T00:00:00"/>
    <x v="1"/>
  </r>
  <r>
    <n v="97"/>
    <x v="4"/>
    <n v="1"/>
    <n v="0"/>
    <n v="1"/>
    <x v="5"/>
    <b v="0"/>
    <n v="3"/>
    <n v="1"/>
    <n v="0.22"/>
    <n v="0.2273"/>
    <n v="0.47"/>
    <n v="0.16420000000000001"/>
    <n v="0"/>
    <n v="3"/>
    <n v="3"/>
    <x v="0"/>
    <s v="Spring"/>
    <x v="0"/>
    <x v="4"/>
    <n v="2011"/>
    <d v="2011-02-13T00:00:00"/>
    <x v="1"/>
  </r>
  <r>
    <n v="98"/>
    <x v="4"/>
    <n v="1"/>
    <n v="0"/>
    <n v="1"/>
    <x v="6"/>
    <b v="0"/>
    <n v="3"/>
    <n v="1"/>
    <n v="0.2"/>
    <n v="0.19700000000000001"/>
    <n v="0.47"/>
    <n v="0.22389999999999999"/>
    <n v="0"/>
    <n v="33"/>
    <n v="33"/>
    <x v="0"/>
    <s v="Spring"/>
    <x v="0"/>
    <x v="4"/>
    <n v="2011"/>
    <d v="2011-02-13T00:00:00"/>
    <x v="1"/>
  </r>
  <r>
    <n v="99"/>
    <x v="4"/>
    <n v="1"/>
    <n v="0"/>
    <n v="1"/>
    <x v="7"/>
    <b v="0"/>
    <n v="3"/>
    <n v="1"/>
    <n v="0.18"/>
    <n v="0.18179999999999999"/>
    <n v="0.43"/>
    <n v="0.19400000000000001"/>
    <n v="1"/>
    <n v="87"/>
    <n v="88"/>
    <x v="0"/>
    <s v="Spring"/>
    <x v="0"/>
    <x v="4"/>
    <n v="2011"/>
    <d v="2011-02-13T00:00:00"/>
    <x v="1"/>
  </r>
  <r>
    <n v="100"/>
    <x v="4"/>
    <n v="1"/>
    <n v="0"/>
    <n v="1"/>
    <x v="8"/>
    <b v="0"/>
    <n v="3"/>
    <n v="1"/>
    <n v="0.2"/>
    <n v="0.18179999999999999"/>
    <n v="0.4"/>
    <n v="0.29849999999999999"/>
    <n v="3"/>
    <n v="192"/>
    <n v="195"/>
    <x v="0"/>
    <s v="Spring"/>
    <x v="0"/>
    <x v="4"/>
    <n v="2011"/>
    <d v="2011-02-13T00:00:00"/>
    <x v="1"/>
  </r>
  <r>
    <n v="101"/>
    <x v="4"/>
    <n v="1"/>
    <n v="0"/>
    <n v="1"/>
    <x v="9"/>
    <b v="0"/>
    <n v="3"/>
    <n v="1"/>
    <n v="0.22"/>
    <n v="0.19700000000000001"/>
    <n v="0.37"/>
    <n v="0.32840000000000003"/>
    <n v="6"/>
    <n v="109"/>
    <n v="115"/>
    <x v="0"/>
    <s v="Spring"/>
    <x v="0"/>
    <x v="4"/>
    <n v="2011"/>
    <d v="2011-02-13T00:00:00"/>
    <x v="1"/>
  </r>
  <r>
    <n v="102"/>
    <x v="4"/>
    <n v="1"/>
    <n v="0"/>
    <n v="1"/>
    <x v="10"/>
    <b v="0"/>
    <n v="3"/>
    <n v="1"/>
    <n v="0.22"/>
    <n v="0.19700000000000001"/>
    <n v="0.37"/>
    <n v="0.32840000000000003"/>
    <n v="4"/>
    <n v="53"/>
    <n v="57"/>
    <x v="0"/>
    <s v="Spring"/>
    <x v="0"/>
    <x v="4"/>
    <n v="2011"/>
    <d v="2011-02-13T00:00:00"/>
    <x v="1"/>
  </r>
  <r>
    <n v="103"/>
    <x v="4"/>
    <n v="1"/>
    <n v="0"/>
    <n v="1"/>
    <x v="11"/>
    <b v="0"/>
    <n v="3"/>
    <n v="1"/>
    <n v="0.26"/>
    <n v="0.2273"/>
    <n v="0.33"/>
    <n v="0.32840000000000003"/>
    <n v="12"/>
    <n v="34"/>
    <n v="46"/>
    <x v="0"/>
    <s v="Spring"/>
    <x v="0"/>
    <x v="4"/>
    <n v="2011"/>
    <d v="2011-02-13T00:00:00"/>
    <x v="1"/>
  </r>
  <r>
    <n v="104"/>
    <x v="4"/>
    <n v="1"/>
    <n v="0"/>
    <n v="1"/>
    <x v="12"/>
    <b v="0"/>
    <n v="3"/>
    <n v="1"/>
    <n v="0.26"/>
    <n v="0.2273"/>
    <n v="0.33"/>
    <n v="0.32840000000000003"/>
    <n v="5"/>
    <n v="74"/>
    <n v="79"/>
    <x v="0"/>
    <s v="Spring"/>
    <x v="0"/>
    <x v="4"/>
    <n v="2011"/>
    <d v="2011-02-13T00:00:00"/>
    <x v="1"/>
  </r>
  <r>
    <n v="105"/>
    <x v="4"/>
    <n v="1"/>
    <n v="0"/>
    <n v="1"/>
    <x v="13"/>
    <b v="0"/>
    <n v="3"/>
    <n v="1"/>
    <n v="0.28000000000000003"/>
    <n v="0.2576"/>
    <n v="0.3"/>
    <n v="0.29849999999999999"/>
    <n v="6"/>
    <n v="65"/>
    <n v="71"/>
    <x v="0"/>
    <s v="Spring"/>
    <x v="0"/>
    <x v="4"/>
    <n v="2011"/>
    <d v="2011-02-13T00:00:00"/>
    <x v="1"/>
  </r>
  <r>
    <n v="106"/>
    <x v="4"/>
    <n v="1"/>
    <n v="0"/>
    <n v="1"/>
    <x v="14"/>
    <b v="0"/>
    <n v="3"/>
    <n v="1"/>
    <n v="0.3"/>
    <n v="0.28789999999999999"/>
    <n v="0.28000000000000003"/>
    <n v="0.19400000000000001"/>
    <n v="10"/>
    <n v="52"/>
    <n v="62"/>
    <x v="0"/>
    <s v="Spring"/>
    <x v="0"/>
    <x v="4"/>
    <n v="2011"/>
    <d v="2011-02-13T00:00:00"/>
    <x v="1"/>
  </r>
  <r>
    <n v="107"/>
    <x v="4"/>
    <n v="1"/>
    <n v="0"/>
    <n v="1"/>
    <x v="15"/>
    <b v="0"/>
    <n v="3"/>
    <n v="1"/>
    <n v="0.3"/>
    <n v="0.28789999999999999"/>
    <n v="0.28000000000000003"/>
    <n v="0.19400000000000001"/>
    <n v="7"/>
    <n v="55"/>
    <n v="62"/>
    <x v="0"/>
    <s v="Spring"/>
    <x v="0"/>
    <x v="4"/>
    <n v="2011"/>
    <d v="2011-02-13T00:00:00"/>
    <x v="1"/>
  </r>
  <r>
    <n v="108"/>
    <x v="4"/>
    <n v="1"/>
    <n v="0"/>
    <n v="1"/>
    <x v="16"/>
    <b v="0"/>
    <n v="3"/>
    <n v="1"/>
    <n v="0.3"/>
    <n v="0.31819999999999998"/>
    <n v="0.28000000000000003"/>
    <n v="8.9599999999999999E-2"/>
    <n v="4"/>
    <n v="85"/>
    <n v="89"/>
    <x v="0"/>
    <s v="Spring"/>
    <x v="0"/>
    <x v="4"/>
    <n v="2011"/>
    <d v="2011-02-13T00:00:00"/>
    <x v="1"/>
  </r>
  <r>
    <n v="109"/>
    <x v="4"/>
    <n v="1"/>
    <n v="0"/>
    <n v="1"/>
    <x v="17"/>
    <b v="0"/>
    <n v="3"/>
    <n v="1"/>
    <n v="0.24"/>
    <n v="0.2273"/>
    <n v="0.38"/>
    <n v="0.19400000000000001"/>
    <n v="4"/>
    <n v="186"/>
    <n v="190"/>
    <x v="0"/>
    <s v="Spring"/>
    <x v="0"/>
    <x v="4"/>
    <n v="2011"/>
    <d v="2011-02-13T00:00:00"/>
    <x v="1"/>
  </r>
  <r>
    <n v="110"/>
    <x v="4"/>
    <n v="1"/>
    <n v="0"/>
    <n v="1"/>
    <x v="18"/>
    <b v="0"/>
    <n v="3"/>
    <n v="1"/>
    <n v="0.24"/>
    <n v="0.2424"/>
    <n v="0.38"/>
    <n v="0.1343"/>
    <n v="3"/>
    <n v="166"/>
    <n v="169"/>
    <x v="0"/>
    <s v="Spring"/>
    <x v="0"/>
    <x v="4"/>
    <n v="2011"/>
    <d v="2011-02-13T00:00:00"/>
    <x v="1"/>
  </r>
  <r>
    <n v="111"/>
    <x v="4"/>
    <n v="1"/>
    <n v="0"/>
    <n v="1"/>
    <x v="19"/>
    <b v="0"/>
    <n v="3"/>
    <n v="1"/>
    <n v="0.24"/>
    <n v="0.2576"/>
    <n v="0.38"/>
    <n v="0.1045"/>
    <n v="5"/>
    <n v="127"/>
    <n v="132"/>
    <x v="0"/>
    <s v="Spring"/>
    <x v="0"/>
    <x v="4"/>
    <n v="2011"/>
    <d v="2011-02-13T00:00:00"/>
    <x v="1"/>
  </r>
  <r>
    <n v="112"/>
    <x v="4"/>
    <n v="1"/>
    <n v="0"/>
    <n v="1"/>
    <x v="20"/>
    <b v="0"/>
    <n v="3"/>
    <n v="1"/>
    <n v="0.22"/>
    <n v="0.2273"/>
    <n v="0.47"/>
    <n v="0.16420000000000001"/>
    <n v="7"/>
    <n v="82"/>
    <n v="89"/>
    <x v="0"/>
    <s v="Spring"/>
    <x v="0"/>
    <x v="4"/>
    <n v="2011"/>
    <d v="2011-02-13T00:00:00"/>
    <x v="1"/>
  </r>
  <r>
    <n v="113"/>
    <x v="4"/>
    <n v="1"/>
    <n v="0"/>
    <n v="1"/>
    <x v="21"/>
    <b v="0"/>
    <n v="3"/>
    <n v="1"/>
    <n v="0.2"/>
    <n v="0.19700000000000001"/>
    <n v="0.51"/>
    <n v="0.19400000000000001"/>
    <n v="3"/>
    <n v="40"/>
    <n v="43"/>
    <x v="0"/>
    <s v="Spring"/>
    <x v="0"/>
    <x v="4"/>
    <n v="2011"/>
    <d v="2011-02-13T00:00:00"/>
    <x v="1"/>
  </r>
  <r>
    <n v="114"/>
    <x v="4"/>
    <n v="1"/>
    <n v="0"/>
    <n v="1"/>
    <x v="22"/>
    <b v="0"/>
    <n v="3"/>
    <n v="1"/>
    <n v="0.18"/>
    <n v="0.19700000000000001"/>
    <n v="0.55000000000000004"/>
    <n v="0.1343"/>
    <n v="1"/>
    <n v="41"/>
    <n v="42"/>
    <x v="0"/>
    <s v="Spring"/>
    <x v="0"/>
    <x v="4"/>
    <n v="2011"/>
    <d v="2011-02-13T00:00:00"/>
    <x v="1"/>
  </r>
  <r>
    <n v="115"/>
    <x v="4"/>
    <n v="1"/>
    <n v="0"/>
    <n v="1"/>
    <x v="23"/>
    <b v="0"/>
    <n v="3"/>
    <n v="1"/>
    <n v="0.2"/>
    <n v="0.2576"/>
    <n v="0.47"/>
    <n v="0"/>
    <n v="1"/>
    <n v="18"/>
    <n v="19"/>
    <x v="0"/>
    <s v="Spring"/>
    <x v="0"/>
    <x v="4"/>
    <n v="2011"/>
    <d v="2011-02-13T00:00:00"/>
    <x v="1"/>
  </r>
  <r>
    <n v="116"/>
    <x v="5"/>
    <n v="1"/>
    <n v="0"/>
    <n v="1"/>
    <x v="0"/>
    <b v="0"/>
    <n v="4"/>
    <n v="1"/>
    <n v="0.18"/>
    <n v="0.2424"/>
    <n v="0.55000000000000004"/>
    <n v="0"/>
    <n v="0"/>
    <n v="11"/>
    <n v="11"/>
    <x v="0"/>
    <s v="Spring"/>
    <x v="0"/>
    <x v="5"/>
    <n v="2011"/>
    <d v="2011-02-13T00:00:00"/>
    <x v="1"/>
  </r>
  <r>
    <n v="117"/>
    <x v="5"/>
    <n v="1"/>
    <n v="0"/>
    <n v="1"/>
    <x v="1"/>
    <b v="0"/>
    <n v="4"/>
    <n v="1"/>
    <n v="0.16"/>
    <n v="0.2273"/>
    <n v="0.64"/>
    <n v="0"/>
    <n v="0"/>
    <n v="4"/>
    <n v="4"/>
    <x v="0"/>
    <s v="Spring"/>
    <x v="0"/>
    <x v="5"/>
    <n v="2011"/>
    <d v="2011-02-13T00:00:00"/>
    <x v="1"/>
  </r>
  <r>
    <n v="118"/>
    <x v="5"/>
    <n v="1"/>
    <n v="0"/>
    <n v="1"/>
    <x v="2"/>
    <b v="0"/>
    <n v="4"/>
    <n v="1"/>
    <n v="0.16"/>
    <n v="0.2273"/>
    <n v="0.64"/>
    <n v="0"/>
    <n v="0"/>
    <n v="2"/>
    <n v="2"/>
    <x v="0"/>
    <s v="Spring"/>
    <x v="0"/>
    <x v="5"/>
    <n v="2011"/>
    <d v="2011-02-13T00:00:00"/>
    <x v="1"/>
  </r>
  <r>
    <n v="119"/>
    <x v="5"/>
    <n v="1"/>
    <n v="0"/>
    <n v="1"/>
    <x v="4"/>
    <b v="0"/>
    <n v="4"/>
    <n v="2"/>
    <n v="0.16"/>
    <n v="0.19700000000000001"/>
    <n v="0.64"/>
    <n v="8.9599999999999999E-2"/>
    <n v="0"/>
    <n v="1"/>
    <n v="1"/>
    <x v="0"/>
    <s v="Spring"/>
    <x v="1"/>
    <x v="5"/>
    <n v="2011"/>
    <d v="2011-02-13T00:00:00"/>
    <x v="1"/>
  </r>
  <r>
    <n v="120"/>
    <x v="5"/>
    <n v="1"/>
    <n v="0"/>
    <n v="1"/>
    <x v="5"/>
    <b v="0"/>
    <n v="4"/>
    <n v="2"/>
    <n v="0.14000000000000001"/>
    <n v="0.18179999999999999"/>
    <n v="0.69"/>
    <n v="8.9599999999999999E-2"/>
    <n v="0"/>
    <n v="4"/>
    <n v="4"/>
    <x v="0"/>
    <s v="Spring"/>
    <x v="1"/>
    <x v="5"/>
    <n v="2011"/>
    <d v="2011-02-13T00:00:00"/>
    <x v="1"/>
  </r>
  <r>
    <n v="121"/>
    <x v="5"/>
    <n v="1"/>
    <n v="0"/>
    <n v="1"/>
    <x v="6"/>
    <b v="0"/>
    <n v="4"/>
    <n v="2"/>
    <n v="0.14000000000000001"/>
    <n v="0.16669999999999999"/>
    <n v="0.63"/>
    <n v="0.1045"/>
    <n v="0"/>
    <n v="36"/>
    <n v="36"/>
    <x v="0"/>
    <s v="Spring"/>
    <x v="1"/>
    <x v="5"/>
    <n v="2011"/>
    <d v="2011-02-13T00:00:00"/>
    <x v="1"/>
  </r>
  <r>
    <n v="122"/>
    <x v="5"/>
    <n v="1"/>
    <n v="0"/>
    <n v="1"/>
    <x v="7"/>
    <b v="0"/>
    <n v="4"/>
    <n v="2"/>
    <n v="0.16"/>
    <n v="0.2273"/>
    <n v="0.59"/>
    <n v="0"/>
    <n v="0"/>
    <n v="95"/>
    <n v="95"/>
    <x v="0"/>
    <s v="Spring"/>
    <x v="1"/>
    <x v="5"/>
    <n v="2011"/>
    <d v="2011-02-13T00:00:00"/>
    <x v="1"/>
  </r>
  <r>
    <n v="123"/>
    <x v="5"/>
    <n v="1"/>
    <n v="0"/>
    <n v="1"/>
    <x v="8"/>
    <b v="0"/>
    <n v="4"/>
    <n v="1"/>
    <n v="0.16"/>
    <n v="0.2273"/>
    <n v="0.59"/>
    <n v="0"/>
    <n v="3"/>
    <n v="216"/>
    <n v="219"/>
    <x v="0"/>
    <s v="Spring"/>
    <x v="0"/>
    <x v="5"/>
    <n v="2011"/>
    <d v="2011-02-13T00:00:00"/>
    <x v="1"/>
  </r>
  <r>
    <n v="124"/>
    <x v="5"/>
    <n v="1"/>
    <n v="0"/>
    <n v="1"/>
    <x v="9"/>
    <b v="0"/>
    <n v="4"/>
    <n v="2"/>
    <n v="0.18"/>
    <n v="0.2424"/>
    <n v="0.51"/>
    <n v="0"/>
    <n v="6"/>
    <n v="116"/>
    <n v="122"/>
    <x v="0"/>
    <s v="Spring"/>
    <x v="1"/>
    <x v="5"/>
    <n v="2011"/>
    <d v="2011-02-13T00:00:00"/>
    <x v="1"/>
  </r>
  <r>
    <n v="125"/>
    <x v="5"/>
    <n v="1"/>
    <n v="0"/>
    <n v="1"/>
    <x v="10"/>
    <b v="0"/>
    <n v="4"/>
    <n v="1"/>
    <n v="0.2"/>
    <n v="0.2576"/>
    <n v="0.47"/>
    <n v="0"/>
    <n v="3"/>
    <n v="42"/>
    <n v="45"/>
    <x v="0"/>
    <s v="Spring"/>
    <x v="0"/>
    <x v="5"/>
    <n v="2011"/>
    <d v="2011-02-13T00:00:00"/>
    <x v="1"/>
  </r>
  <r>
    <n v="126"/>
    <x v="5"/>
    <n v="1"/>
    <n v="0"/>
    <n v="1"/>
    <x v="11"/>
    <b v="0"/>
    <n v="4"/>
    <n v="1"/>
    <n v="0.22"/>
    <n v="0.2576"/>
    <n v="0.44"/>
    <n v="8.9599999999999999E-2"/>
    <n v="2"/>
    <n v="57"/>
    <n v="59"/>
    <x v="0"/>
    <s v="Spring"/>
    <x v="0"/>
    <x v="5"/>
    <n v="2011"/>
    <d v="2011-02-13T00:00:00"/>
    <x v="1"/>
  </r>
  <r>
    <n v="127"/>
    <x v="5"/>
    <n v="1"/>
    <n v="0"/>
    <n v="1"/>
    <x v="12"/>
    <b v="0"/>
    <n v="4"/>
    <n v="1"/>
    <n v="0.26"/>
    <n v="0.28789999999999999"/>
    <n v="0.35"/>
    <n v="0"/>
    <n v="6"/>
    <n v="78"/>
    <n v="84"/>
    <x v="0"/>
    <s v="Spring"/>
    <x v="0"/>
    <x v="5"/>
    <n v="2011"/>
    <d v="2011-02-13T00:00:00"/>
    <x v="1"/>
  </r>
  <r>
    <n v="128"/>
    <x v="5"/>
    <n v="1"/>
    <n v="0"/>
    <n v="1"/>
    <x v="13"/>
    <b v="0"/>
    <n v="4"/>
    <n v="1"/>
    <n v="0.26"/>
    <n v="0.2727"/>
    <n v="0.35"/>
    <n v="0.1045"/>
    <n v="12"/>
    <n v="55"/>
    <n v="67"/>
    <x v="0"/>
    <s v="Spring"/>
    <x v="0"/>
    <x v="5"/>
    <n v="2011"/>
    <d v="2011-02-13T00:00:00"/>
    <x v="1"/>
  </r>
  <r>
    <n v="129"/>
    <x v="5"/>
    <n v="1"/>
    <n v="0"/>
    <n v="1"/>
    <x v="14"/>
    <b v="0"/>
    <n v="4"/>
    <n v="1"/>
    <n v="0.28000000000000003"/>
    <n v="0.2727"/>
    <n v="0.36"/>
    <n v="0.16420000000000001"/>
    <n v="11"/>
    <n v="59"/>
    <n v="70"/>
    <x v="0"/>
    <s v="Spring"/>
    <x v="0"/>
    <x v="5"/>
    <n v="2011"/>
    <d v="2011-02-13T00:00:00"/>
    <x v="1"/>
  </r>
  <r>
    <n v="130"/>
    <x v="5"/>
    <n v="1"/>
    <n v="0"/>
    <n v="1"/>
    <x v="15"/>
    <b v="0"/>
    <n v="4"/>
    <n v="1"/>
    <n v="0.28000000000000003"/>
    <n v="0.2727"/>
    <n v="0.36"/>
    <n v="0"/>
    <n v="8"/>
    <n v="54"/>
    <n v="62"/>
    <x v="0"/>
    <s v="Spring"/>
    <x v="0"/>
    <x v="5"/>
    <n v="2011"/>
    <d v="2011-02-13T00:00:00"/>
    <x v="1"/>
  </r>
  <r>
    <n v="131"/>
    <x v="5"/>
    <n v="1"/>
    <n v="0"/>
    <n v="1"/>
    <x v="16"/>
    <b v="0"/>
    <n v="4"/>
    <n v="1"/>
    <n v="0.26"/>
    <n v="0.2576"/>
    <n v="0.38"/>
    <n v="0.16420000000000001"/>
    <n v="12"/>
    <n v="74"/>
    <n v="86"/>
    <x v="0"/>
    <s v="Spring"/>
    <x v="0"/>
    <x v="5"/>
    <n v="2011"/>
    <d v="2011-02-13T00:00:00"/>
    <x v="1"/>
  </r>
  <r>
    <n v="132"/>
    <x v="5"/>
    <n v="1"/>
    <n v="0"/>
    <n v="1"/>
    <x v="17"/>
    <b v="0"/>
    <n v="4"/>
    <n v="1"/>
    <n v="0.22"/>
    <n v="0.2273"/>
    <n v="0.51"/>
    <n v="0.16420000000000001"/>
    <n v="9"/>
    <n v="163"/>
    <n v="172"/>
    <x v="0"/>
    <s v="Spring"/>
    <x v="0"/>
    <x v="5"/>
    <n v="2011"/>
    <d v="2011-02-13T00:00:00"/>
    <x v="1"/>
  </r>
  <r>
    <n v="133"/>
    <x v="5"/>
    <n v="1"/>
    <n v="0"/>
    <n v="1"/>
    <x v="18"/>
    <b v="0"/>
    <n v="4"/>
    <n v="1"/>
    <n v="0.22"/>
    <n v="0.2273"/>
    <n v="0.51"/>
    <n v="0.1343"/>
    <n v="5"/>
    <n v="158"/>
    <n v="163"/>
    <x v="0"/>
    <s v="Spring"/>
    <x v="0"/>
    <x v="5"/>
    <n v="2011"/>
    <d v="2011-02-13T00:00:00"/>
    <x v="1"/>
  </r>
  <r>
    <n v="134"/>
    <x v="5"/>
    <n v="1"/>
    <n v="0"/>
    <n v="1"/>
    <x v="19"/>
    <b v="0"/>
    <n v="4"/>
    <n v="1"/>
    <n v="0.22"/>
    <n v="0.2576"/>
    <n v="0.55000000000000004"/>
    <n v="8.9599999999999999E-2"/>
    <n v="3"/>
    <n v="109"/>
    <n v="112"/>
    <x v="0"/>
    <s v="Spring"/>
    <x v="0"/>
    <x v="5"/>
    <n v="2011"/>
    <d v="2011-02-13T00:00:00"/>
    <x v="1"/>
  </r>
  <r>
    <n v="135"/>
    <x v="5"/>
    <n v="1"/>
    <n v="0"/>
    <n v="1"/>
    <x v="20"/>
    <b v="0"/>
    <n v="4"/>
    <n v="1"/>
    <n v="0.2"/>
    <n v="0.21210000000000001"/>
    <n v="0.51"/>
    <n v="0.16420000000000001"/>
    <n v="3"/>
    <n v="66"/>
    <n v="69"/>
    <x v="0"/>
    <s v="Spring"/>
    <x v="0"/>
    <x v="5"/>
    <n v="2011"/>
    <d v="2011-02-13T00:00:00"/>
    <x v="1"/>
  </r>
  <r>
    <n v="136"/>
    <x v="5"/>
    <n v="1"/>
    <n v="0"/>
    <n v="1"/>
    <x v="21"/>
    <b v="0"/>
    <n v="4"/>
    <n v="2"/>
    <n v="0.22"/>
    <n v="0.21210000000000001"/>
    <n v="0.55000000000000004"/>
    <n v="0.22389999999999999"/>
    <n v="0"/>
    <n v="48"/>
    <n v="48"/>
    <x v="0"/>
    <s v="Spring"/>
    <x v="1"/>
    <x v="5"/>
    <n v="2011"/>
    <d v="2011-02-13T00:00:00"/>
    <x v="1"/>
  </r>
  <r>
    <n v="137"/>
    <x v="5"/>
    <n v="1"/>
    <n v="0"/>
    <n v="1"/>
    <x v="22"/>
    <b v="0"/>
    <n v="4"/>
    <n v="2"/>
    <n v="0.22"/>
    <n v="0.21210000000000001"/>
    <n v="0.51"/>
    <n v="0.28360000000000002"/>
    <n v="1"/>
    <n v="51"/>
    <n v="52"/>
    <x v="0"/>
    <s v="Spring"/>
    <x v="1"/>
    <x v="5"/>
    <n v="2011"/>
    <d v="2011-02-13T00:00:00"/>
    <x v="1"/>
  </r>
  <r>
    <n v="138"/>
    <x v="5"/>
    <n v="1"/>
    <n v="0"/>
    <n v="1"/>
    <x v="23"/>
    <b v="0"/>
    <n v="4"/>
    <n v="2"/>
    <n v="0.2"/>
    <n v="0.19700000000000001"/>
    <n v="0.59"/>
    <n v="0.19400000000000001"/>
    <n v="4"/>
    <n v="19"/>
    <n v="23"/>
    <x v="0"/>
    <s v="Spring"/>
    <x v="1"/>
    <x v="5"/>
    <n v="2011"/>
    <d v="2011-02-13T00:00:00"/>
    <x v="1"/>
  </r>
  <r>
    <n v="139"/>
    <x v="6"/>
    <n v="1"/>
    <n v="0"/>
    <n v="1"/>
    <x v="0"/>
    <b v="0"/>
    <n v="5"/>
    <n v="2"/>
    <n v="0.2"/>
    <n v="0.19700000000000001"/>
    <n v="0.64"/>
    <n v="0.19400000000000001"/>
    <n v="4"/>
    <n v="13"/>
    <n v="17"/>
    <x v="0"/>
    <s v="Spring"/>
    <x v="1"/>
    <x v="6"/>
    <n v="2011"/>
    <d v="2011-02-13T00:00:00"/>
    <x v="1"/>
  </r>
  <r>
    <n v="140"/>
    <x v="6"/>
    <n v="1"/>
    <n v="0"/>
    <n v="1"/>
    <x v="1"/>
    <b v="0"/>
    <n v="5"/>
    <n v="2"/>
    <n v="0.2"/>
    <n v="0.19700000000000001"/>
    <n v="0.69"/>
    <n v="0.22389999999999999"/>
    <n v="2"/>
    <n v="5"/>
    <n v="7"/>
    <x v="0"/>
    <s v="Spring"/>
    <x v="1"/>
    <x v="6"/>
    <n v="2011"/>
    <d v="2011-02-13T00:00:00"/>
    <x v="1"/>
  </r>
  <r>
    <n v="141"/>
    <x v="6"/>
    <n v="1"/>
    <n v="0"/>
    <n v="1"/>
    <x v="2"/>
    <b v="0"/>
    <n v="5"/>
    <n v="2"/>
    <n v="0.2"/>
    <n v="0.19700000000000001"/>
    <n v="0.69"/>
    <n v="0.22389999999999999"/>
    <n v="0"/>
    <n v="1"/>
    <n v="1"/>
    <x v="0"/>
    <s v="Spring"/>
    <x v="1"/>
    <x v="6"/>
    <n v="2011"/>
    <d v="2011-02-13T00:00:00"/>
    <x v="1"/>
  </r>
  <r>
    <n v="142"/>
    <x v="6"/>
    <n v="1"/>
    <n v="0"/>
    <n v="1"/>
    <x v="4"/>
    <b v="0"/>
    <n v="5"/>
    <n v="2"/>
    <n v="0.2"/>
    <n v="0.21210000000000001"/>
    <n v="0.69"/>
    <n v="0.1343"/>
    <n v="0"/>
    <n v="1"/>
    <n v="1"/>
    <x v="0"/>
    <s v="Spring"/>
    <x v="1"/>
    <x v="6"/>
    <n v="2011"/>
    <d v="2011-02-13T00:00:00"/>
    <x v="1"/>
  </r>
  <r>
    <n v="143"/>
    <x v="6"/>
    <n v="1"/>
    <n v="0"/>
    <n v="1"/>
    <x v="5"/>
    <b v="0"/>
    <n v="5"/>
    <n v="3"/>
    <n v="0.22"/>
    <n v="0.2727"/>
    <n v="0.55000000000000004"/>
    <n v="0"/>
    <n v="0"/>
    <n v="5"/>
    <n v="5"/>
    <x v="0"/>
    <s v="Spring"/>
    <x v="2"/>
    <x v="6"/>
    <n v="2011"/>
    <d v="2011-02-13T00:00:00"/>
    <x v="1"/>
  </r>
  <r>
    <n v="144"/>
    <x v="6"/>
    <n v="1"/>
    <n v="0"/>
    <n v="1"/>
    <x v="6"/>
    <b v="0"/>
    <n v="5"/>
    <n v="2"/>
    <n v="0.2"/>
    <n v="0.2576"/>
    <n v="0.69"/>
    <n v="0"/>
    <n v="8"/>
    <n v="26"/>
    <n v="34"/>
    <x v="0"/>
    <s v="Spring"/>
    <x v="1"/>
    <x v="6"/>
    <n v="2011"/>
    <d v="2011-02-13T00:00:00"/>
    <x v="1"/>
  </r>
  <r>
    <n v="145"/>
    <x v="6"/>
    <n v="1"/>
    <n v="0"/>
    <n v="1"/>
    <x v="7"/>
    <b v="0"/>
    <n v="5"/>
    <n v="1"/>
    <n v="0.2"/>
    <n v="0.21210000000000001"/>
    <n v="0.69"/>
    <n v="0.1343"/>
    <n v="8"/>
    <n v="76"/>
    <n v="84"/>
    <x v="0"/>
    <s v="Spring"/>
    <x v="0"/>
    <x v="6"/>
    <n v="2011"/>
    <d v="2011-02-13T00:00:00"/>
    <x v="1"/>
  </r>
  <r>
    <n v="146"/>
    <x v="6"/>
    <n v="1"/>
    <n v="0"/>
    <n v="1"/>
    <x v="8"/>
    <b v="0"/>
    <n v="5"/>
    <n v="1"/>
    <n v="0.2"/>
    <n v="0.19700000000000001"/>
    <n v="0.51"/>
    <n v="0.25369999999999998"/>
    <n v="20"/>
    <n v="190"/>
    <n v="210"/>
    <x v="0"/>
    <s v="Spring"/>
    <x v="0"/>
    <x v="6"/>
    <n v="2011"/>
    <d v="2011-02-13T00:00:00"/>
    <x v="1"/>
  </r>
  <r>
    <n v="147"/>
    <x v="6"/>
    <n v="1"/>
    <n v="0"/>
    <n v="1"/>
    <x v="9"/>
    <b v="0"/>
    <n v="5"/>
    <n v="1"/>
    <n v="0.2"/>
    <n v="0.18179999999999999"/>
    <n v="0.47"/>
    <n v="0.29849999999999999"/>
    <n v="9"/>
    <n v="125"/>
    <n v="134"/>
    <x v="0"/>
    <s v="Spring"/>
    <x v="0"/>
    <x v="6"/>
    <n v="2011"/>
    <d v="2011-02-13T00:00:00"/>
    <x v="1"/>
  </r>
  <r>
    <n v="148"/>
    <x v="6"/>
    <n v="1"/>
    <n v="0"/>
    <n v="1"/>
    <x v="10"/>
    <b v="0"/>
    <n v="5"/>
    <n v="1"/>
    <n v="0.22"/>
    <n v="0.19700000000000001"/>
    <n v="0.37"/>
    <n v="0.32840000000000003"/>
    <n v="16"/>
    <n v="47"/>
    <n v="63"/>
    <x v="0"/>
    <s v="Spring"/>
    <x v="0"/>
    <x v="6"/>
    <n v="2011"/>
    <d v="2011-02-13T00:00:00"/>
    <x v="1"/>
  </r>
  <r>
    <n v="149"/>
    <x v="6"/>
    <n v="1"/>
    <n v="0"/>
    <n v="1"/>
    <x v="11"/>
    <b v="0"/>
    <n v="5"/>
    <n v="2"/>
    <n v="0.2"/>
    <n v="0.19700000000000001"/>
    <n v="0.4"/>
    <n v="0.22389999999999999"/>
    <n v="19"/>
    <n v="48"/>
    <n v="67"/>
    <x v="0"/>
    <s v="Spring"/>
    <x v="1"/>
    <x v="6"/>
    <n v="2011"/>
    <d v="2011-02-13T00:00:00"/>
    <x v="1"/>
  </r>
  <r>
    <n v="150"/>
    <x v="6"/>
    <n v="1"/>
    <n v="0"/>
    <n v="1"/>
    <x v="12"/>
    <b v="0"/>
    <n v="5"/>
    <n v="2"/>
    <n v="0.2"/>
    <n v="0.19700000000000001"/>
    <n v="0.37"/>
    <n v="0.25369999999999998"/>
    <n v="9"/>
    <n v="50"/>
    <n v="59"/>
    <x v="0"/>
    <s v="Spring"/>
    <x v="1"/>
    <x v="6"/>
    <n v="2011"/>
    <d v="2011-02-13T00:00:00"/>
    <x v="1"/>
  </r>
  <r>
    <n v="151"/>
    <x v="6"/>
    <n v="1"/>
    <n v="0"/>
    <n v="1"/>
    <x v="13"/>
    <b v="0"/>
    <n v="5"/>
    <n v="2"/>
    <n v="0.2"/>
    <n v="0.18179999999999999"/>
    <n v="0.37"/>
    <n v="0.28360000000000002"/>
    <n v="9"/>
    <n v="64"/>
    <n v="73"/>
    <x v="0"/>
    <s v="Spring"/>
    <x v="1"/>
    <x v="6"/>
    <n v="2011"/>
    <d v="2011-02-13T00:00:00"/>
    <x v="1"/>
  </r>
  <r>
    <n v="152"/>
    <x v="6"/>
    <n v="1"/>
    <n v="0"/>
    <n v="1"/>
    <x v="14"/>
    <b v="0"/>
    <n v="5"/>
    <n v="2"/>
    <n v="0.2"/>
    <n v="0.19700000000000001"/>
    <n v="0.4"/>
    <n v="0.25369999999999998"/>
    <n v="7"/>
    <n v="43"/>
    <n v="50"/>
    <x v="0"/>
    <s v="Spring"/>
    <x v="1"/>
    <x v="6"/>
    <n v="2011"/>
    <d v="2011-02-13T00:00:00"/>
    <x v="1"/>
  </r>
  <r>
    <n v="153"/>
    <x v="6"/>
    <n v="1"/>
    <n v="0"/>
    <n v="1"/>
    <x v="15"/>
    <b v="0"/>
    <n v="5"/>
    <n v="2"/>
    <n v="0.2"/>
    <n v="0.21210000000000001"/>
    <n v="0.37"/>
    <n v="0.16420000000000001"/>
    <n v="9"/>
    <n v="63"/>
    <n v="72"/>
    <x v="0"/>
    <s v="Spring"/>
    <x v="1"/>
    <x v="6"/>
    <n v="2011"/>
    <d v="2011-02-13T00:00:00"/>
    <x v="1"/>
  </r>
  <r>
    <n v="154"/>
    <x v="6"/>
    <n v="1"/>
    <n v="0"/>
    <n v="1"/>
    <x v="16"/>
    <b v="0"/>
    <n v="5"/>
    <n v="2"/>
    <n v="0.2"/>
    <n v="0.21210000000000001"/>
    <n v="0.37"/>
    <n v="0.16420000000000001"/>
    <n v="5"/>
    <n v="82"/>
    <n v="87"/>
    <x v="0"/>
    <s v="Spring"/>
    <x v="1"/>
    <x v="6"/>
    <n v="2011"/>
    <d v="2011-02-13T00:00:00"/>
    <x v="1"/>
  </r>
  <r>
    <n v="155"/>
    <x v="6"/>
    <n v="1"/>
    <n v="0"/>
    <n v="1"/>
    <x v="17"/>
    <b v="0"/>
    <n v="5"/>
    <n v="2"/>
    <n v="0.2"/>
    <n v="0.2576"/>
    <n v="0.37"/>
    <n v="0"/>
    <n v="9"/>
    <n v="178"/>
    <n v="187"/>
    <x v="0"/>
    <s v="Spring"/>
    <x v="1"/>
    <x v="6"/>
    <n v="2011"/>
    <d v="2011-02-13T00:00:00"/>
    <x v="1"/>
  </r>
  <r>
    <n v="156"/>
    <x v="6"/>
    <n v="1"/>
    <n v="0"/>
    <n v="1"/>
    <x v="18"/>
    <b v="0"/>
    <n v="5"/>
    <n v="1"/>
    <n v="0.2"/>
    <n v="0.2273"/>
    <n v="0.4"/>
    <n v="8.9599999999999999E-2"/>
    <n v="7"/>
    <n v="116"/>
    <n v="123"/>
    <x v="0"/>
    <s v="Spring"/>
    <x v="0"/>
    <x v="6"/>
    <n v="2011"/>
    <d v="2011-02-13T00:00:00"/>
    <x v="1"/>
  </r>
  <r>
    <n v="157"/>
    <x v="6"/>
    <n v="1"/>
    <n v="0"/>
    <n v="1"/>
    <x v="19"/>
    <b v="0"/>
    <n v="5"/>
    <n v="1"/>
    <n v="0.16"/>
    <n v="0.19700000000000001"/>
    <n v="0.55000000000000004"/>
    <n v="8.9599999999999999E-2"/>
    <n v="3"/>
    <n v="92"/>
    <n v="95"/>
    <x v="0"/>
    <s v="Spring"/>
    <x v="0"/>
    <x v="6"/>
    <n v="2011"/>
    <d v="2011-02-13T00:00:00"/>
    <x v="1"/>
  </r>
  <r>
    <n v="158"/>
    <x v="6"/>
    <n v="1"/>
    <n v="0"/>
    <n v="1"/>
    <x v="20"/>
    <b v="0"/>
    <n v="5"/>
    <n v="1"/>
    <n v="0.18"/>
    <n v="0.21210000000000001"/>
    <n v="0.47"/>
    <n v="0.1045"/>
    <n v="1"/>
    <n v="50"/>
    <n v="51"/>
    <x v="0"/>
    <s v="Spring"/>
    <x v="0"/>
    <x v="6"/>
    <n v="2011"/>
    <d v="2011-02-13T00:00:00"/>
    <x v="1"/>
  </r>
  <r>
    <n v="159"/>
    <x v="6"/>
    <n v="1"/>
    <n v="0"/>
    <n v="1"/>
    <x v="21"/>
    <b v="0"/>
    <n v="5"/>
    <n v="1"/>
    <n v="0.18"/>
    <n v="0.19700000000000001"/>
    <n v="0.47"/>
    <n v="0.1343"/>
    <n v="0"/>
    <n v="39"/>
    <n v="39"/>
    <x v="0"/>
    <s v="Spring"/>
    <x v="0"/>
    <x v="6"/>
    <n v="2011"/>
    <d v="2011-02-13T00:00:00"/>
    <x v="1"/>
  </r>
  <r>
    <n v="160"/>
    <x v="6"/>
    <n v="1"/>
    <n v="0"/>
    <n v="1"/>
    <x v="22"/>
    <b v="0"/>
    <n v="5"/>
    <n v="2"/>
    <n v="0.18"/>
    <n v="0.19700000000000001"/>
    <n v="0.43"/>
    <n v="0.16420000000000001"/>
    <n v="2"/>
    <n v="34"/>
    <n v="36"/>
    <x v="0"/>
    <s v="Spring"/>
    <x v="1"/>
    <x v="6"/>
    <n v="2011"/>
    <d v="2011-02-13T00:00:00"/>
    <x v="1"/>
  </r>
  <r>
    <n v="161"/>
    <x v="6"/>
    <n v="1"/>
    <n v="0"/>
    <n v="1"/>
    <x v="23"/>
    <b v="0"/>
    <n v="5"/>
    <n v="2"/>
    <n v="0.18"/>
    <n v="0.19700000000000001"/>
    <n v="0.51"/>
    <n v="0.16420000000000001"/>
    <n v="1"/>
    <n v="14"/>
    <n v="15"/>
    <x v="0"/>
    <s v="Spring"/>
    <x v="1"/>
    <x v="6"/>
    <n v="2011"/>
    <d v="2011-02-13T00:00:00"/>
    <x v="1"/>
  </r>
  <r>
    <n v="162"/>
    <x v="7"/>
    <n v="1"/>
    <n v="0"/>
    <n v="1"/>
    <x v="0"/>
    <b v="0"/>
    <n v="6"/>
    <n v="2"/>
    <n v="0.18"/>
    <n v="0.19700000000000001"/>
    <n v="0.51"/>
    <n v="0.16420000000000001"/>
    <n v="1"/>
    <n v="24"/>
    <n v="25"/>
    <x v="0"/>
    <s v="Spring"/>
    <x v="1"/>
    <x v="0"/>
    <n v="2011"/>
    <d v="2011-02-13T00:00:00"/>
    <x v="0"/>
  </r>
  <r>
    <n v="163"/>
    <x v="7"/>
    <n v="1"/>
    <n v="0"/>
    <n v="1"/>
    <x v="1"/>
    <b v="0"/>
    <n v="6"/>
    <n v="2"/>
    <n v="0.18"/>
    <n v="0.21210000000000001"/>
    <n v="0.55000000000000004"/>
    <n v="8.9599999999999999E-2"/>
    <n v="1"/>
    <n v="15"/>
    <n v="16"/>
    <x v="0"/>
    <s v="Spring"/>
    <x v="1"/>
    <x v="0"/>
    <n v="2011"/>
    <d v="2011-02-13T00:00:00"/>
    <x v="0"/>
  </r>
  <r>
    <n v="164"/>
    <x v="7"/>
    <n v="1"/>
    <n v="0"/>
    <n v="1"/>
    <x v="2"/>
    <b v="0"/>
    <n v="6"/>
    <n v="2"/>
    <n v="0.18"/>
    <n v="0.2424"/>
    <n v="0.55000000000000004"/>
    <n v="0"/>
    <n v="3"/>
    <n v="13"/>
    <n v="16"/>
    <x v="0"/>
    <s v="Spring"/>
    <x v="1"/>
    <x v="0"/>
    <n v="2011"/>
    <d v="2011-02-13T00:00:00"/>
    <x v="0"/>
  </r>
  <r>
    <n v="165"/>
    <x v="7"/>
    <n v="1"/>
    <n v="0"/>
    <n v="1"/>
    <x v="3"/>
    <b v="0"/>
    <n v="6"/>
    <n v="3"/>
    <n v="0.18"/>
    <n v="0.19700000000000001"/>
    <n v="0.55000000000000004"/>
    <n v="0.16420000000000001"/>
    <n v="0"/>
    <n v="7"/>
    <n v="7"/>
    <x v="0"/>
    <s v="Spring"/>
    <x v="2"/>
    <x v="0"/>
    <n v="2011"/>
    <d v="2011-02-13T00:00:00"/>
    <x v="0"/>
  </r>
  <r>
    <n v="166"/>
    <x v="7"/>
    <n v="1"/>
    <n v="0"/>
    <n v="1"/>
    <x v="4"/>
    <b v="0"/>
    <n v="6"/>
    <n v="3"/>
    <n v="0.18"/>
    <n v="0.19700000000000001"/>
    <n v="0.55000000000000004"/>
    <n v="0.16420000000000001"/>
    <n v="0"/>
    <n v="1"/>
    <n v="1"/>
    <x v="0"/>
    <s v="Spring"/>
    <x v="2"/>
    <x v="0"/>
    <n v="2011"/>
    <d v="2011-02-13T00:00:00"/>
    <x v="0"/>
  </r>
  <r>
    <n v="167"/>
    <x v="7"/>
    <n v="1"/>
    <n v="0"/>
    <n v="1"/>
    <x v="5"/>
    <b v="0"/>
    <n v="6"/>
    <n v="2"/>
    <n v="0.16"/>
    <n v="0.16669999999999999"/>
    <n v="0.74"/>
    <n v="0.16420000000000001"/>
    <n v="0"/>
    <n v="5"/>
    <n v="5"/>
    <x v="0"/>
    <s v="Spring"/>
    <x v="1"/>
    <x v="0"/>
    <n v="2011"/>
    <d v="2011-02-13T00:00:00"/>
    <x v="0"/>
  </r>
  <r>
    <n v="168"/>
    <x v="7"/>
    <n v="1"/>
    <n v="0"/>
    <n v="1"/>
    <x v="6"/>
    <b v="0"/>
    <n v="6"/>
    <n v="2"/>
    <n v="0.16"/>
    <n v="0.16669999999999999"/>
    <n v="0.74"/>
    <n v="0.16420000000000001"/>
    <n v="0"/>
    <n v="2"/>
    <n v="2"/>
    <x v="0"/>
    <s v="Spring"/>
    <x v="1"/>
    <x v="0"/>
    <n v="2011"/>
    <d v="2011-02-13T00:00:00"/>
    <x v="0"/>
  </r>
  <r>
    <n v="169"/>
    <x v="7"/>
    <n v="1"/>
    <n v="0"/>
    <n v="1"/>
    <x v="7"/>
    <b v="0"/>
    <n v="6"/>
    <n v="2"/>
    <n v="0.16"/>
    <n v="0.18179999999999999"/>
    <n v="0.74"/>
    <n v="0.1045"/>
    <n v="1"/>
    <n v="8"/>
    <n v="9"/>
    <x v="0"/>
    <s v="Spring"/>
    <x v="1"/>
    <x v="0"/>
    <n v="2011"/>
    <d v="2011-02-13T00:00:00"/>
    <x v="0"/>
  </r>
  <r>
    <n v="170"/>
    <x v="7"/>
    <n v="1"/>
    <n v="0"/>
    <n v="1"/>
    <x v="8"/>
    <b v="0"/>
    <n v="6"/>
    <n v="3"/>
    <n v="0.16"/>
    <n v="0.18179999999999999"/>
    <n v="0.93"/>
    <n v="0.1045"/>
    <n v="0"/>
    <n v="15"/>
    <n v="15"/>
    <x v="0"/>
    <s v="Spring"/>
    <x v="2"/>
    <x v="0"/>
    <n v="2011"/>
    <d v="2011-02-13T00:00:00"/>
    <x v="0"/>
  </r>
  <r>
    <n v="171"/>
    <x v="7"/>
    <n v="1"/>
    <n v="0"/>
    <n v="1"/>
    <x v="9"/>
    <b v="0"/>
    <n v="6"/>
    <n v="3"/>
    <n v="0.16"/>
    <n v="0.18179999999999999"/>
    <n v="0.93"/>
    <n v="0.1045"/>
    <n v="0"/>
    <n v="20"/>
    <n v="20"/>
    <x v="0"/>
    <s v="Spring"/>
    <x v="2"/>
    <x v="0"/>
    <n v="2011"/>
    <d v="2011-02-13T00:00:00"/>
    <x v="0"/>
  </r>
  <r>
    <n v="172"/>
    <x v="7"/>
    <n v="1"/>
    <n v="0"/>
    <n v="1"/>
    <x v="10"/>
    <b v="0"/>
    <n v="6"/>
    <n v="2"/>
    <n v="0.18"/>
    <n v="0.19700000000000001"/>
    <n v="0.8"/>
    <n v="0.16420000000000001"/>
    <n v="5"/>
    <n v="56"/>
    <n v="61"/>
    <x v="0"/>
    <s v="Spring"/>
    <x v="1"/>
    <x v="0"/>
    <n v="2011"/>
    <d v="2011-02-13T00:00:00"/>
    <x v="0"/>
  </r>
  <r>
    <n v="173"/>
    <x v="7"/>
    <n v="1"/>
    <n v="0"/>
    <n v="1"/>
    <x v="11"/>
    <b v="0"/>
    <n v="6"/>
    <n v="2"/>
    <n v="0.2"/>
    <n v="0.18179999999999999"/>
    <n v="0.69"/>
    <n v="0.3881"/>
    <n v="2"/>
    <n v="60"/>
    <n v="62"/>
    <x v="0"/>
    <s v="Spring"/>
    <x v="1"/>
    <x v="0"/>
    <n v="2011"/>
    <d v="2011-02-13T00:00:00"/>
    <x v="0"/>
  </r>
  <r>
    <n v="174"/>
    <x v="7"/>
    <n v="1"/>
    <n v="0"/>
    <n v="1"/>
    <x v="12"/>
    <b v="0"/>
    <n v="6"/>
    <n v="2"/>
    <n v="0.2"/>
    <n v="0.18179999999999999"/>
    <n v="0.59"/>
    <n v="0.35820000000000002"/>
    <n v="8"/>
    <n v="90"/>
    <n v="98"/>
    <x v="0"/>
    <s v="Spring"/>
    <x v="1"/>
    <x v="0"/>
    <n v="2011"/>
    <d v="2011-02-13T00:00:00"/>
    <x v="0"/>
  </r>
  <r>
    <n v="175"/>
    <x v="7"/>
    <n v="1"/>
    <n v="0"/>
    <n v="1"/>
    <x v="13"/>
    <b v="0"/>
    <n v="6"/>
    <n v="1"/>
    <n v="0.2"/>
    <n v="0.18179999999999999"/>
    <n v="0.44"/>
    <n v="0.32840000000000003"/>
    <n v="7"/>
    <n v="95"/>
    <n v="102"/>
    <x v="0"/>
    <s v="Spring"/>
    <x v="0"/>
    <x v="0"/>
    <n v="2011"/>
    <d v="2011-02-13T00:00:00"/>
    <x v="0"/>
  </r>
  <r>
    <n v="176"/>
    <x v="7"/>
    <n v="1"/>
    <n v="0"/>
    <n v="1"/>
    <x v="14"/>
    <b v="0"/>
    <n v="6"/>
    <n v="1"/>
    <n v="0.2"/>
    <n v="0.16669999999999999"/>
    <n v="0.32"/>
    <n v="0.49249999999999999"/>
    <n v="12"/>
    <n v="83"/>
    <n v="95"/>
    <x v="0"/>
    <s v="Spring"/>
    <x v="0"/>
    <x v="0"/>
    <n v="2011"/>
    <d v="2011-02-13T00:00:00"/>
    <x v="0"/>
  </r>
  <r>
    <n v="177"/>
    <x v="7"/>
    <n v="1"/>
    <n v="0"/>
    <n v="1"/>
    <x v="15"/>
    <b v="0"/>
    <n v="6"/>
    <n v="1"/>
    <n v="0.2"/>
    <n v="0.16669999999999999"/>
    <n v="0.32"/>
    <n v="0.44779999999999998"/>
    <n v="5"/>
    <n v="69"/>
    <n v="74"/>
    <x v="0"/>
    <s v="Spring"/>
    <x v="0"/>
    <x v="0"/>
    <n v="2011"/>
    <d v="2011-02-13T00:00:00"/>
    <x v="0"/>
  </r>
  <r>
    <n v="178"/>
    <x v="7"/>
    <n v="1"/>
    <n v="0"/>
    <n v="1"/>
    <x v="16"/>
    <b v="0"/>
    <n v="6"/>
    <n v="1"/>
    <n v="0.18"/>
    <n v="0.13639999999999999"/>
    <n v="0.28999999999999998"/>
    <n v="0.44779999999999998"/>
    <n v="8"/>
    <n v="68"/>
    <n v="76"/>
    <x v="0"/>
    <s v="Spring"/>
    <x v="0"/>
    <x v="0"/>
    <n v="2011"/>
    <d v="2011-02-13T00:00:00"/>
    <x v="0"/>
  </r>
  <r>
    <n v="179"/>
    <x v="7"/>
    <n v="1"/>
    <n v="0"/>
    <n v="1"/>
    <x v="17"/>
    <b v="0"/>
    <n v="6"/>
    <n v="1"/>
    <n v="0.16"/>
    <n v="0.1212"/>
    <n v="0.37"/>
    <n v="0.55220000000000002"/>
    <n v="5"/>
    <n v="64"/>
    <n v="69"/>
    <x v="0"/>
    <s v="Spring"/>
    <x v="0"/>
    <x v="0"/>
    <n v="2011"/>
    <d v="2011-02-13T00:00:00"/>
    <x v="0"/>
  </r>
  <r>
    <n v="180"/>
    <x v="7"/>
    <n v="1"/>
    <n v="0"/>
    <n v="1"/>
    <x v="18"/>
    <b v="0"/>
    <n v="6"/>
    <n v="1"/>
    <n v="0.14000000000000001"/>
    <n v="0.1212"/>
    <n v="0.39"/>
    <n v="0.29849999999999999"/>
    <n v="3"/>
    <n v="52"/>
    <n v="55"/>
    <x v="0"/>
    <s v="Spring"/>
    <x v="0"/>
    <x v="0"/>
    <n v="2011"/>
    <d v="2011-02-13T00:00:00"/>
    <x v="0"/>
  </r>
  <r>
    <n v="181"/>
    <x v="7"/>
    <n v="1"/>
    <n v="0"/>
    <n v="1"/>
    <x v="19"/>
    <b v="0"/>
    <n v="6"/>
    <n v="1"/>
    <n v="0.14000000000000001"/>
    <n v="0.1212"/>
    <n v="0.36"/>
    <n v="0.25369999999999998"/>
    <n v="4"/>
    <n v="26"/>
    <n v="30"/>
    <x v="0"/>
    <s v="Spring"/>
    <x v="0"/>
    <x v="0"/>
    <n v="2011"/>
    <d v="2011-02-13T00:00:00"/>
    <x v="0"/>
  </r>
  <r>
    <n v="182"/>
    <x v="7"/>
    <n v="1"/>
    <n v="0"/>
    <n v="1"/>
    <x v="20"/>
    <b v="0"/>
    <n v="6"/>
    <n v="1"/>
    <n v="0.12"/>
    <n v="0.1212"/>
    <n v="0.36"/>
    <n v="0.25369999999999998"/>
    <n v="0"/>
    <n v="28"/>
    <n v="28"/>
    <x v="0"/>
    <s v="Spring"/>
    <x v="0"/>
    <x v="0"/>
    <n v="2011"/>
    <d v="2011-02-13T00:00:00"/>
    <x v="0"/>
  </r>
  <r>
    <n v="183"/>
    <x v="7"/>
    <n v="1"/>
    <n v="0"/>
    <n v="1"/>
    <x v="21"/>
    <b v="0"/>
    <n v="6"/>
    <n v="1"/>
    <n v="0.12"/>
    <n v="0.1061"/>
    <n v="0.39"/>
    <n v="0.35820000000000002"/>
    <n v="2"/>
    <n v="35"/>
    <n v="37"/>
    <x v="0"/>
    <s v="Spring"/>
    <x v="0"/>
    <x v="0"/>
    <n v="2011"/>
    <d v="2011-02-13T00:00:00"/>
    <x v="0"/>
  </r>
  <r>
    <n v="184"/>
    <x v="7"/>
    <n v="1"/>
    <n v="0"/>
    <n v="1"/>
    <x v="22"/>
    <b v="0"/>
    <n v="6"/>
    <n v="1"/>
    <n v="0.12"/>
    <n v="0.1061"/>
    <n v="0.36"/>
    <n v="0.3881"/>
    <n v="1"/>
    <n v="33"/>
    <n v="34"/>
    <x v="0"/>
    <s v="Spring"/>
    <x v="0"/>
    <x v="0"/>
    <n v="2011"/>
    <d v="2011-02-13T00:00:00"/>
    <x v="0"/>
  </r>
  <r>
    <n v="185"/>
    <x v="7"/>
    <n v="1"/>
    <n v="0"/>
    <n v="1"/>
    <x v="23"/>
    <b v="0"/>
    <n v="6"/>
    <n v="1"/>
    <n v="0.1"/>
    <n v="6.0600000000000001E-2"/>
    <n v="0.39"/>
    <n v="0.44779999999999998"/>
    <n v="0"/>
    <n v="22"/>
    <n v="22"/>
    <x v="0"/>
    <s v="Spring"/>
    <x v="0"/>
    <x v="0"/>
    <n v="2011"/>
    <d v="2011-02-13T00:00:00"/>
    <x v="0"/>
  </r>
  <r>
    <n v="186"/>
    <x v="8"/>
    <n v="1"/>
    <n v="0"/>
    <n v="1"/>
    <x v="0"/>
    <b v="0"/>
    <n v="0"/>
    <n v="1"/>
    <n v="0.1"/>
    <n v="7.5800000000000006E-2"/>
    <n v="0.42"/>
    <n v="0.3881"/>
    <n v="1"/>
    <n v="24"/>
    <n v="25"/>
    <x v="0"/>
    <s v="Spring"/>
    <x v="0"/>
    <x v="1"/>
    <n v="2011"/>
    <d v="2011-02-13T00:00:00"/>
    <x v="0"/>
  </r>
  <r>
    <n v="187"/>
    <x v="8"/>
    <n v="1"/>
    <n v="0"/>
    <n v="1"/>
    <x v="1"/>
    <b v="0"/>
    <n v="0"/>
    <n v="1"/>
    <n v="0.1"/>
    <n v="6.0600000000000001E-2"/>
    <n v="0.42"/>
    <n v="0.4627"/>
    <n v="0"/>
    <n v="12"/>
    <n v="12"/>
    <x v="0"/>
    <s v="Spring"/>
    <x v="0"/>
    <x v="1"/>
    <n v="2011"/>
    <d v="2011-02-13T00:00:00"/>
    <x v="0"/>
  </r>
  <r>
    <n v="188"/>
    <x v="8"/>
    <n v="1"/>
    <n v="0"/>
    <n v="1"/>
    <x v="2"/>
    <b v="0"/>
    <n v="0"/>
    <n v="1"/>
    <n v="0.1"/>
    <n v="6.0600000000000001E-2"/>
    <n v="0.46"/>
    <n v="0.4627"/>
    <n v="0"/>
    <n v="11"/>
    <n v="11"/>
    <x v="0"/>
    <s v="Spring"/>
    <x v="0"/>
    <x v="1"/>
    <n v="2011"/>
    <d v="2011-02-13T00:00:00"/>
    <x v="0"/>
  </r>
  <r>
    <n v="189"/>
    <x v="8"/>
    <n v="1"/>
    <n v="0"/>
    <n v="1"/>
    <x v="3"/>
    <b v="0"/>
    <n v="0"/>
    <n v="1"/>
    <n v="0.1"/>
    <n v="7.5800000000000006E-2"/>
    <n v="0.46"/>
    <n v="0.41789999999999999"/>
    <n v="0"/>
    <n v="4"/>
    <n v="4"/>
    <x v="0"/>
    <s v="Spring"/>
    <x v="0"/>
    <x v="1"/>
    <n v="2011"/>
    <d v="2011-02-13T00:00:00"/>
    <x v="0"/>
  </r>
  <r>
    <n v="190"/>
    <x v="8"/>
    <n v="1"/>
    <n v="0"/>
    <n v="1"/>
    <x v="4"/>
    <b v="0"/>
    <n v="0"/>
    <n v="1"/>
    <n v="0.08"/>
    <n v="9.0899999999999995E-2"/>
    <n v="0.53"/>
    <n v="0.19400000000000001"/>
    <n v="0"/>
    <n v="1"/>
    <n v="1"/>
    <x v="0"/>
    <s v="Spring"/>
    <x v="0"/>
    <x v="1"/>
    <n v="2011"/>
    <d v="2011-02-13T00:00:00"/>
    <x v="0"/>
  </r>
  <r>
    <n v="191"/>
    <x v="8"/>
    <n v="1"/>
    <n v="0"/>
    <n v="1"/>
    <x v="5"/>
    <b v="0"/>
    <n v="0"/>
    <n v="1"/>
    <n v="0.08"/>
    <n v="9.0899999999999995E-2"/>
    <n v="0.53"/>
    <n v="0.19400000000000001"/>
    <n v="0"/>
    <n v="1"/>
    <n v="1"/>
    <x v="0"/>
    <s v="Spring"/>
    <x v="0"/>
    <x v="1"/>
    <n v="2011"/>
    <d v="2011-02-13T00:00:00"/>
    <x v="0"/>
  </r>
  <r>
    <n v="192"/>
    <x v="8"/>
    <n v="1"/>
    <n v="0"/>
    <n v="1"/>
    <x v="6"/>
    <b v="0"/>
    <n v="0"/>
    <n v="1"/>
    <n v="0.1"/>
    <n v="9.0899999999999995E-2"/>
    <n v="0.49"/>
    <n v="0.28360000000000002"/>
    <n v="0"/>
    <n v="1"/>
    <n v="1"/>
    <x v="0"/>
    <s v="Spring"/>
    <x v="0"/>
    <x v="1"/>
    <n v="2011"/>
    <d v="2011-02-13T00:00:00"/>
    <x v="0"/>
  </r>
  <r>
    <n v="193"/>
    <x v="8"/>
    <n v="1"/>
    <n v="0"/>
    <n v="1"/>
    <x v="7"/>
    <b v="0"/>
    <n v="0"/>
    <n v="1"/>
    <n v="0.08"/>
    <n v="9.0899999999999995E-2"/>
    <n v="0.53"/>
    <n v="0.19400000000000001"/>
    <n v="1"/>
    <n v="5"/>
    <n v="6"/>
    <x v="0"/>
    <s v="Spring"/>
    <x v="0"/>
    <x v="1"/>
    <n v="2011"/>
    <d v="2011-02-13T00:00:00"/>
    <x v="0"/>
  </r>
  <r>
    <n v="194"/>
    <x v="8"/>
    <n v="1"/>
    <n v="0"/>
    <n v="1"/>
    <x v="8"/>
    <b v="0"/>
    <n v="0"/>
    <n v="1"/>
    <n v="0.1"/>
    <n v="9.0899999999999995E-2"/>
    <n v="0.49"/>
    <n v="0.28360000000000002"/>
    <n v="0"/>
    <n v="10"/>
    <n v="10"/>
    <x v="0"/>
    <s v="Spring"/>
    <x v="0"/>
    <x v="1"/>
    <n v="2011"/>
    <d v="2011-02-13T00:00:00"/>
    <x v="0"/>
  </r>
  <r>
    <n v="195"/>
    <x v="8"/>
    <n v="1"/>
    <n v="0"/>
    <n v="1"/>
    <x v="9"/>
    <b v="0"/>
    <n v="0"/>
    <n v="1"/>
    <n v="0.12"/>
    <n v="7.5800000000000006E-2"/>
    <n v="0.46"/>
    <n v="0.52239999999999998"/>
    <n v="0"/>
    <n v="19"/>
    <n v="19"/>
    <x v="0"/>
    <s v="Spring"/>
    <x v="0"/>
    <x v="1"/>
    <n v="2011"/>
    <d v="2011-02-13T00:00:00"/>
    <x v="0"/>
  </r>
  <r>
    <n v="196"/>
    <x v="8"/>
    <n v="1"/>
    <n v="0"/>
    <n v="1"/>
    <x v="10"/>
    <b v="0"/>
    <n v="0"/>
    <n v="1"/>
    <n v="0.14000000000000001"/>
    <n v="0.1061"/>
    <n v="0.43"/>
    <n v="0.3881"/>
    <n v="0"/>
    <n v="49"/>
    <n v="49"/>
    <x v="0"/>
    <s v="Spring"/>
    <x v="0"/>
    <x v="1"/>
    <n v="2011"/>
    <d v="2011-02-13T00:00:00"/>
    <x v="0"/>
  </r>
  <r>
    <n v="197"/>
    <x v="8"/>
    <n v="1"/>
    <n v="0"/>
    <n v="1"/>
    <x v="11"/>
    <b v="0"/>
    <n v="0"/>
    <n v="1"/>
    <n v="0.16"/>
    <n v="0.1212"/>
    <n v="0.4"/>
    <n v="0.52239999999999998"/>
    <n v="2"/>
    <n v="47"/>
    <n v="49"/>
    <x v="0"/>
    <s v="Spring"/>
    <x v="0"/>
    <x v="1"/>
    <n v="2011"/>
    <d v="2011-02-13T00:00:00"/>
    <x v="0"/>
  </r>
  <r>
    <n v="198"/>
    <x v="8"/>
    <n v="1"/>
    <n v="0"/>
    <n v="1"/>
    <x v="12"/>
    <b v="0"/>
    <n v="0"/>
    <n v="1"/>
    <n v="0.18"/>
    <n v="0.13639999999999999"/>
    <n v="0.37"/>
    <n v="0.44779999999999998"/>
    <n v="4"/>
    <n v="79"/>
    <n v="83"/>
    <x v="0"/>
    <s v="Spring"/>
    <x v="0"/>
    <x v="1"/>
    <n v="2011"/>
    <d v="2011-02-13T00:00:00"/>
    <x v="0"/>
  </r>
  <r>
    <n v="199"/>
    <x v="8"/>
    <n v="1"/>
    <n v="0"/>
    <n v="1"/>
    <x v="13"/>
    <b v="0"/>
    <n v="0"/>
    <n v="1"/>
    <n v="0.2"/>
    <n v="0.16669999999999999"/>
    <n v="0.34"/>
    <n v="0.44779999999999998"/>
    <n v="6"/>
    <n v="69"/>
    <n v="75"/>
    <x v="0"/>
    <s v="Spring"/>
    <x v="0"/>
    <x v="1"/>
    <n v="2011"/>
    <d v="2011-02-13T00:00:00"/>
    <x v="0"/>
  </r>
  <r>
    <n v="200"/>
    <x v="8"/>
    <n v="1"/>
    <n v="0"/>
    <n v="1"/>
    <x v="14"/>
    <b v="0"/>
    <n v="0"/>
    <n v="1"/>
    <n v="0.22"/>
    <n v="0.18179999999999999"/>
    <n v="0.32"/>
    <n v="0.4627"/>
    <n v="8"/>
    <n v="64"/>
    <n v="72"/>
    <x v="0"/>
    <s v="Spring"/>
    <x v="0"/>
    <x v="1"/>
    <n v="2011"/>
    <d v="2011-02-13T00:00:00"/>
    <x v="0"/>
  </r>
  <r>
    <n v="201"/>
    <x v="8"/>
    <n v="1"/>
    <n v="0"/>
    <n v="1"/>
    <x v="15"/>
    <b v="0"/>
    <n v="0"/>
    <n v="1"/>
    <n v="0.22"/>
    <n v="0.19700000000000001"/>
    <n v="0.35"/>
    <n v="0.35820000000000002"/>
    <n v="5"/>
    <n v="77"/>
    <n v="82"/>
    <x v="0"/>
    <s v="Spring"/>
    <x v="0"/>
    <x v="1"/>
    <n v="2011"/>
    <d v="2011-02-13T00:00:00"/>
    <x v="0"/>
  </r>
  <r>
    <n v="202"/>
    <x v="8"/>
    <n v="1"/>
    <n v="0"/>
    <n v="1"/>
    <x v="16"/>
    <b v="0"/>
    <n v="0"/>
    <n v="1"/>
    <n v="0.2"/>
    <n v="0.16669999999999999"/>
    <n v="0.34"/>
    <n v="0.44779999999999998"/>
    <n v="13"/>
    <n v="79"/>
    <n v="92"/>
    <x v="0"/>
    <s v="Spring"/>
    <x v="0"/>
    <x v="1"/>
    <n v="2011"/>
    <d v="2011-02-13T00:00:00"/>
    <x v="0"/>
  </r>
  <r>
    <n v="203"/>
    <x v="8"/>
    <n v="1"/>
    <n v="0"/>
    <n v="1"/>
    <x v="17"/>
    <b v="0"/>
    <n v="0"/>
    <n v="1"/>
    <n v="0.18"/>
    <n v="0.1515"/>
    <n v="0.37"/>
    <n v="0.3881"/>
    <n v="3"/>
    <n v="59"/>
    <n v="62"/>
    <x v="0"/>
    <s v="Spring"/>
    <x v="0"/>
    <x v="1"/>
    <n v="2011"/>
    <d v="2011-02-13T00:00:00"/>
    <x v="0"/>
  </r>
  <r>
    <n v="204"/>
    <x v="8"/>
    <n v="1"/>
    <n v="0"/>
    <n v="1"/>
    <x v="18"/>
    <b v="0"/>
    <n v="0"/>
    <n v="1"/>
    <n v="0.16"/>
    <n v="0.13639999999999999"/>
    <n v="0.4"/>
    <n v="0.32840000000000003"/>
    <n v="4"/>
    <n v="44"/>
    <n v="48"/>
    <x v="0"/>
    <s v="Spring"/>
    <x v="0"/>
    <x v="1"/>
    <n v="2011"/>
    <d v="2011-02-13T00:00:00"/>
    <x v="0"/>
  </r>
  <r>
    <n v="205"/>
    <x v="8"/>
    <n v="1"/>
    <n v="0"/>
    <n v="1"/>
    <x v="19"/>
    <b v="0"/>
    <n v="0"/>
    <n v="1"/>
    <n v="0.16"/>
    <n v="0.13639999999999999"/>
    <n v="0.43"/>
    <n v="0.32840000000000003"/>
    <n v="1"/>
    <n v="40"/>
    <n v="41"/>
    <x v="0"/>
    <s v="Spring"/>
    <x v="0"/>
    <x v="1"/>
    <n v="2011"/>
    <d v="2011-02-13T00:00:00"/>
    <x v="0"/>
  </r>
  <r>
    <n v="206"/>
    <x v="8"/>
    <n v="1"/>
    <n v="0"/>
    <n v="1"/>
    <x v="20"/>
    <b v="0"/>
    <n v="0"/>
    <n v="1"/>
    <n v="0.14000000000000001"/>
    <n v="0.1212"/>
    <n v="0.46"/>
    <n v="0.25369999999999998"/>
    <n v="0"/>
    <n v="38"/>
    <n v="38"/>
    <x v="0"/>
    <s v="Spring"/>
    <x v="0"/>
    <x v="1"/>
    <n v="2011"/>
    <d v="2011-02-13T00:00:00"/>
    <x v="0"/>
  </r>
  <r>
    <n v="207"/>
    <x v="8"/>
    <n v="1"/>
    <n v="0"/>
    <n v="1"/>
    <x v="21"/>
    <b v="0"/>
    <n v="0"/>
    <n v="1"/>
    <n v="0.14000000000000001"/>
    <n v="0.1061"/>
    <n v="0.46"/>
    <n v="0.41789999999999999"/>
    <n v="1"/>
    <n v="19"/>
    <n v="20"/>
    <x v="0"/>
    <s v="Spring"/>
    <x v="0"/>
    <x v="1"/>
    <n v="2011"/>
    <d v="2011-02-13T00:00:00"/>
    <x v="0"/>
  </r>
  <r>
    <n v="208"/>
    <x v="8"/>
    <n v="1"/>
    <n v="0"/>
    <n v="1"/>
    <x v="22"/>
    <b v="0"/>
    <n v="0"/>
    <n v="1"/>
    <n v="0.14000000000000001"/>
    <n v="0.1212"/>
    <n v="0.46"/>
    <n v="0.29849999999999999"/>
    <n v="5"/>
    <n v="10"/>
    <n v="15"/>
    <x v="0"/>
    <s v="Spring"/>
    <x v="0"/>
    <x v="1"/>
    <n v="2011"/>
    <d v="2011-02-13T00:00:00"/>
    <x v="0"/>
  </r>
  <r>
    <n v="209"/>
    <x v="8"/>
    <n v="1"/>
    <n v="0"/>
    <n v="1"/>
    <x v="23"/>
    <b v="0"/>
    <n v="0"/>
    <n v="1"/>
    <n v="0.12"/>
    <n v="0.13639999999999999"/>
    <n v="0.5"/>
    <n v="0.19400000000000001"/>
    <n v="0"/>
    <n v="6"/>
    <n v="6"/>
    <x v="0"/>
    <s v="Spring"/>
    <x v="0"/>
    <x v="1"/>
    <n v="2011"/>
    <d v="2011-02-13T00:00:00"/>
    <x v="0"/>
  </r>
  <r>
    <n v="210"/>
    <x v="9"/>
    <n v="1"/>
    <n v="0"/>
    <n v="1"/>
    <x v="0"/>
    <b v="0"/>
    <n v="1"/>
    <n v="1"/>
    <n v="0.12"/>
    <n v="0.1212"/>
    <n v="0.5"/>
    <n v="0.28360000000000002"/>
    <n v="2"/>
    <n v="3"/>
    <n v="5"/>
    <x v="0"/>
    <s v="Spring"/>
    <x v="0"/>
    <x v="2"/>
    <n v="2011"/>
    <d v="2011-02-13T00:00:00"/>
    <x v="1"/>
  </r>
  <r>
    <n v="211"/>
    <x v="9"/>
    <n v="1"/>
    <n v="0"/>
    <n v="1"/>
    <x v="1"/>
    <b v="0"/>
    <n v="1"/>
    <n v="1"/>
    <n v="0.12"/>
    <n v="0.1212"/>
    <n v="0.5"/>
    <n v="0.28360000000000002"/>
    <n v="1"/>
    <n v="0"/>
    <n v="1"/>
    <x v="0"/>
    <s v="Spring"/>
    <x v="0"/>
    <x v="2"/>
    <n v="2011"/>
    <d v="2011-02-13T00:00:00"/>
    <x v="1"/>
  </r>
  <r>
    <n v="212"/>
    <x v="9"/>
    <n v="1"/>
    <n v="0"/>
    <n v="1"/>
    <x v="2"/>
    <b v="0"/>
    <n v="1"/>
    <n v="1"/>
    <n v="0.12"/>
    <n v="0.1212"/>
    <n v="0.5"/>
    <n v="0.22389999999999999"/>
    <n v="0"/>
    <n v="3"/>
    <n v="3"/>
    <x v="0"/>
    <s v="Spring"/>
    <x v="0"/>
    <x v="2"/>
    <n v="2011"/>
    <d v="2011-02-13T00:00:00"/>
    <x v="1"/>
  </r>
  <r>
    <n v="213"/>
    <x v="9"/>
    <n v="1"/>
    <n v="0"/>
    <n v="1"/>
    <x v="3"/>
    <b v="0"/>
    <n v="1"/>
    <n v="1"/>
    <n v="0.12"/>
    <n v="0.1212"/>
    <n v="0.5"/>
    <n v="0.22389999999999999"/>
    <n v="0"/>
    <n v="1"/>
    <n v="1"/>
    <x v="0"/>
    <s v="Spring"/>
    <x v="0"/>
    <x v="2"/>
    <n v="2011"/>
    <d v="2011-02-13T00:00:00"/>
    <x v="1"/>
  </r>
  <r>
    <n v="214"/>
    <x v="9"/>
    <n v="1"/>
    <n v="0"/>
    <n v="1"/>
    <x v="4"/>
    <b v="0"/>
    <n v="1"/>
    <n v="1"/>
    <n v="0.1"/>
    <n v="0.1212"/>
    <n v="0.54"/>
    <n v="0.1343"/>
    <n v="1"/>
    <n v="2"/>
    <n v="3"/>
    <x v="0"/>
    <s v="Spring"/>
    <x v="0"/>
    <x v="2"/>
    <n v="2011"/>
    <d v="2011-02-13T00:00:00"/>
    <x v="1"/>
  </r>
  <r>
    <n v="215"/>
    <x v="9"/>
    <n v="1"/>
    <n v="0"/>
    <n v="1"/>
    <x v="5"/>
    <b v="0"/>
    <n v="1"/>
    <n v="1"/>
    <n v="0.1"/>
    <n v="0.1061"/>
    <n v="0.54"/>
    <n v="0.25369999999999998"/>
    <n v="0"/>
    <n v="3"/>
    <n v="3"/>
    <x v="0"/>
    <s v="Spring"/>
    <x v="0"/>
    <x v="2"/>
    <n v="2011"/>
    <d v="2011-02-13T00:00:00"/>
    <x v="1"/>
  </r>
  <r>
    <n v="216"/>
    <x v="9"/>
    <n v="1"/>
    <n v="0"/>
    <n v="1"/>
    <x v="6"/>
    <b v="0"/>
    <n v="1"/>
    <n v="1"/>
    <n v="0.12"/>
    <n v="0.1212"/>
    <n v="0.5"/>
    <n v="0.28360000000000002"/>
    <n v="0"/>
    <n v="31"/>
    <n v="31"/>
    <x v="0"/>
    <s v="Spring"/>
    <x v="0"/>
    <x v="2"/>
    <n v="2011"/>
    <d v="2011-02-13T00:00:00"/>
    <x v="1"/>
  </r>
  <r>
    <n v="217"/>
    <x v="9"/>
    <n v="1"/>
    <n v="0"/>
    <n v="1"/>
    <x v="7"/>
    <b v="0"/>
    <n v="1"/>
    <n v="1"/>
    <n v="0.12"/>
    <n v="0.1212"/>
    <n v="0.5"/>
    <n v="0.22389999999999999"/>
    <n v="2"/>
    <n v="75"/>
    <n v="77"/>
    <x v="0"/>
    <s v="Spring"/>
    <x v="0"/>
    <x v="2"/>
    <n v="2011"/>
    <d v="2011-02-13T00:00:00"/>
    <x v="1"/>
  </r>
  <r>
    <n v="218"/>
    <x v="9"/>
    <n v="1"/>
    <n v="0"/>
    <n v="1"/>
    <x v="8"/>
    <b v="0"/>
    <n v="1"/>
    <n v="2"/>
    <n v="0.12"/>
    <n v="0.1212"/>
    <n v="0.5"/>
    <n v="0.28360000000000002"/>
    <n v="4"/>
    <n v="184"/>
    <n v="188"/>
    <x v="0"/>
    <s v="Spring"/>
    <x v="1"/>
    <x v="2"/>
    <n v="2011"/>
    <d v="2011-02-13T00:00:00"/>
    <x v="1"/>
  </r>
  <r>
    <n v="219"/>
    <x v="9"/>
    <n v="1"/>
    <n v="0"/>
    <n v="1"/>
    <x v="9"/>
    <b v="0"/>
    <n v="1"/>
    <n v="2"/>
    <n v="0.14000000000000001"/>
    <n v="0.1212"/>
    <n v="0.5"/>
    <n v="0.25369999999999998"/>
    <n v="2"/>
    <n v="92"/>
    <n v="94"/>
    <x v="0"/>
    <s v="Spring"/>
    <x v="1"/>
    <x v="2"/>
    <n v="2011"/>
    <d v="2011-02-13T00:00:00"/>
    <x v="1"/>
  </r>
  <r>
    <n v="220"/>
    <x v="9"/>
    <n v="1"/>
    <n v="0"/>
    <n v="1"/>
    <x v="10"/>
    <b v="0"/>
    <n v="1"/>
    <n v="2"/>
    <n v="0.14000000000000001"/>
    <n v="0.1212"/>
    <n v="0.5"/>
    <n v="0.29849999999999999"/>
    <n v="0"/>
    <n v="31"/>
    <n v="31"/>
    <x v="0"/>
    <s v="Spring"/>
    <x v="1"/>
    <x v="2"/>
    <n v="2011"/>
    <d v="2011-02-13T00:00:00"/>
    <x v="1"/>
  </r>
  <r>
    <n v="221"/>
    <x v="9"/>
    <n v="1"/>
    <n v="0"/>
    <n v="1"/>
    <x v="11"/>
    <b v="0"/>
    <n v="1"/>
    <n v="2"/>
    <n v="0.16"/>
    <n v="0.13639999999999999"/>
    <n v="0.47"/>
    <n v="0.28360000000000002"/>
    <n v="2"/>
    <n v="28"/>
    <n v="30"/>
    <x v="0"/>
    <s v="Spring"/>
    <x v="1"/>
    <x v="2"/>
    <n v="2011"/>
    <d v="2011-02-13T00:00:00"/>
    <x v="1"/>
  </r>
  <r>
    <n v="222"/>
    <x v="9"/>
    <n v="1"/>
    <n v="0"/>
    <n v="1"/>
    <x v="12"/>
    <b v="0"/>
    <n v="1"/>
    <n v="2"/>
    <n v="0.2"/>
    <n v="0.18179999999999999"/>
    <n v="0.4"/>
    <n v="0.28360000000000002"/>
    <n v="5"/>
    <n v="47"/>
    <n v="52"/>
    <x v="0"/>
    <s v="Spring"/>
    <x v="1"/>
    <x v="2"/>
    <n v="2011"/>
    <d v="2011-02-13T00:00:00"/>
    <x v="1"/>
  </r>
  <r>
    <n v="223"/>
    <x v="9"/>
    <n v="1"/>
    <n v="0"/>
    <n v="1"/>
    <x v="13"/>
    <b v="0"/>
    <n v="1"/>
    <n v="2"/>
    <n v="0.2"/>
    <n v="0.18179999999999999"/>
    <n v="0.4"/>
    <n v="0.28360000000000002"/>
    <n v="4"/>
    <n v="50"/>
    <n v="54"/>
    <x v="0"/>
    <s v="Spring"/>
    <x v="1"/>
    <x v="2"/>
    <n v="2011"/>
    <d v="2011-02-13T00:00:00"/>
    <x v="1"/>
  </r>
  <r>
    <n v="224"/>
    <x v="9"/>
    <n v="1"/>
    <n v="0"/>
    <n v="1"/>
    <x v="14"/>
    <b v="0"/>
    <n v="1"/>
    <n v="2"/>
    <n v="0.2"/>
    <n v="0.19700000000000001"/>
    <n v="0.4"/>
    <n v="0.22389999999999999"/>
    <n v="0"/>
    <n v="47"/>
    <n v="47"/>
    <x v="0"/>
    <s v="Spring"/>
    <x v="1"/>
    <x v="2"/>
    <n v="2011"/>
    <d v="2011-02-13T00:00:00"/>
    <x v="1"/>
  </r>
  <r>
    <n v="225"/>
    <x v="9"/>
    <n v="1"/>
    <n v="0"/>
    <n v="1"/>
    <x v="15"/>
    <b v="0"/>
    <n v="1"/>
    <n v="2"/>
    <n v="0.2"/>
    <n v="0.19700000000000001"/>
    <n v="0.4"/>
    <n v="0.22389999999999999"/>
    <n v="2"/>
    <n v="43"/>
    <n v="45"/>
    <x v="0"/>
    <s v="Spring"/>
    <x v="1"/>
    <x v="2"/>
    <n v="2011"/>
    <d v="2011-02-13T00:00:00"/>
    <x v="1"/>
  </r>
  <r>
    <n v="226"/>
    <x v="9"/>
    <n v="1"/>
    <n v="0"/>
    <n v="1"/>
    <x v="16"/>
    <b v="0"/>
    <n v="1"/>
    <n v="1"/>
    <n v="0.2"/>
    <n v="0.21210000000000001"/>
    <n v="0.4"/>
    <n v="0.1343"/>
    <n v="4"/>
    <n v="70"/>
    <n v="74"/>
    <x v="0"/>
    <s v="Spring"/>
    <x v="0"/>
    <x v="2"/>
    <n v="2011"/>
    <d v="2011-02-13T00:00:00"/>
    <x v="1"/>
  </r>
  <r>
    <n v="227"/>
    <x v="9"/>
    <n v="1"/>
    <n v="0"/>
    <n v="1"/>
    <x v="17"/>
    <b v="0"/>
    <n v="1"/>
    <n v="1"/>
    <n v="0.2"/>
    <n v="0.2273"/>
    <n v="0.4"/>
    <n v="0.1045"/>
    <n v="4"/>
    <n v="174"/>
    <n v="178"/>
    <x v="0"/>
    <s v="Spring"/>
    <x v="0"/>
    <x v="2"/>
    <n v="2011"/>
    <d v="2011-02-13T00:00:00"/>
    <x v="1"/>
  </r>
  <r>
    <n v="228"/>
    <x v="9"/>
    <n v="1"/>
    <n v="0"/>
    <n v="1"/>
    <x v="18"/>
    <b v="0"/>
    <n v="1"/>
    <n v="1"/>
    <n v="0.2"/>
    <n v="0.19700000000000001"/>
    <n v="0.4"/>
    <n v="0.22389999999999999"/>
    <n v="1"/>
    <n v="154"/>
    <n v="155"/>
    <x v="0"/>
    <s v="Spring"/>
    <x v="0"/>
    <x v="2"/>
    <n v="2011"/>
    <d v="2011-02-13T00:00:00"/>
    <x v="1"/>
  </r>
  <r>
    <n v="229"/>
    <x v="9"/>
    <n v="1"/>
    <n v="0"/>
    <n v="1"/>
    <x v="19"/>
    <b v="0"/>
    <n v="1"/>
    <n v="1"/>
    <n v="0.16"/>
    <n v="0.16669999999999999"/>
    <n v="0.47"/>
    <n v="0.16420000000000001"/>
    <n v="3"/>
    <n v="92"/>
    <n v="95"/>
    <x v="0"/>
    <s v="Spring"/>
    <x v="0"/>
    <x v="2"/>
    <n v="2011"/>
    <d v="2011-02-13T00:00:00"/>
    <x v="1"/>
  </r>
  <r>
    <n v="230"/>
    <x v="9"/>
    <n v="1"/>
    <n v="0"/>
    <n v="1"/>
    <x v="20"/>
    <b v="0"/>
    <n v="1"/>
    <n v="1"/>
    <n v="0.16"/>
    <n v="0.16669999999999999"/>
    <n v="0.5"/>
    <n v="0.16420000000000001"/>
    <n v="1"/>
    <n v="73"/>
    <n v="74"/>
    <x v="0"/>
    <s v="Spring"/>
    <x v="0"/>
    <x v="2"/>
    <n v="2011"/>
    <d v="2011-02-13T00:00:00"/>
    <x v="1"/>
  </r>
  <r>
    <n v="231"/>
    <x v="9"/>
    <n v="1"/>
    <n v="0"/>
    <n v="1"/>
    <x v="21"/>
    <b v="0"/>
    <n v="1"/>
    <n v="1"/>
    <n v="0.14000000000000001"/>
    <n v="0.13639999999999999"/>
    <n v="0.59"/>
    <n v="0.19400000000000001"/>
    <n v="1"/>
    <n v="37"/>
    <n v="38"/>
    <x v="0"/>
    <s v="Spring"/>
    <x v="0"/>
    <x v="2"/>
    <n v="2011"/>
    <d v="2011-02-13T00:00:00"/>
    <x v="1"/>
  </r>
  <r>
    <n v="232"/>
    <x v="9"/>
    <n v="1"/>
    <n v="0"/>
    <n v="1"/>
    <x v="22"/>
    <b v="0"/>
    <n v="1"/>
    <n v="1"/>
    <n v="0.14000000000000001"/>
    <n v="0.1515"/>
    <n v="0.59"/>
    <n v="0.16420000000000001"/>
    <n v="2"/>
    <n v="22"/>
    <n v="24"/>
    <x v="0"/>
    <s v="Spring"/>
    <x v="0"/>
    <x v="2"/>
    <n v="2011"/>
    <d v="2011-02-13T00:00:00"/>
    <x v="1"/>
  </r>
  <r>
    <n v="233"/>
    <x v="9"/>
    <n v="1"/>
    <n v="0"/>
    <n v="1"/>
    <x v="23"/>
    <b v="0"/>
    <n v="1"/>
    <n v="1"/>
    <n v="0.14000000000000001"/>
    <n v="0.1515"/>
    <n v="0.59"/>
    <n v="0.16420000000000001"/>
    <n v="0"/>
    <n v="18"/>
    <n v="18"/>
    <x v="0"/>
    <s v="Spring"/>
    <x v="0"/>
    <x v="2"/>
    <n v="2011"/>
    <d v="2011-02-13T00:00:00"/>
    <x v="1"/>
  </r>
  <r>
    <n v="234"/>
    <x v="10"/>
    <n v="1"/>
    <n v="0"/>
    <n v="1"/>
    <x v="0"/>
    <b v="0"/>
    <n v="2"/>
    <n v="1"/>
    <n v="0.14000000000000001"/>
    <n v="0.16669999999999999"/>
    <n v="0.59"/>
    <n v="0.1045"/>
    <n v="2"/>
    <n v="10"/>
    <n v="12"/>
    <x v="0"/>
    <s v="Spring"/>
    <x v="0"/>
    <x v="3"/>
    <n v="2011"/>
    <d v="2011-02-13T00:00:00"/>
    <x v="1"/>
  </r>
  <r>
    <n v="235"/>
    <x v="10"/>
    <n v="1"/>
    <n v="0"/>
    <n v="1"/>
    <x v="1"/>
    <b v="0"/>
    <n v="2"/>
    <n v="1"/>
    <n v="0.14000000000000001"/>
    <n v="0.1515"/>
    <n v="0.59"/>
    <n v="0.16420000000000001"/>
    <n v="0"/>
    <n v="3"/>
    <n v="3"/>
    <x v="0"/>
    <s v="Spring"/>
    <x v="0"/>
    <x v="3"/>
    <n v="2011"/>
    <d v="2011-02-13T00:00:00"/>
    <x v="1"/>
  </r>
  <r>
    <n v="236"/>
    <x v="10"/>
    <n v="1"/>
    <n v="0"/>
    <n v="1"/>
    <x v="2"/>
    <b v="0"/>
    <n v="2"/>
    <n v="2"/>
    <n v="0.16"/>
    <n v="0.1515"/>
    <n v="0.55000000000000004"/>
    <n v="0.19400000000000001"/>
    <n v="0"/>
    <n v="3"/>
    <n v="3"/>
    <x v="0"/>
    <s v="Spring"/>
    <x v="1"/>
    <x v="3"/>
    <n v="2011"/>
    <d v="2011-02-13T00:00:00"/>
    <x v="1"/>
  </r>
  <r>
    <n v="237"/>
    <x v="10"/>
    <n v="1"/>
    <n v="0"/>
    <n v="1"/>
    <x v="5"/>
    <b v="0"/>
    <n v="2"/>
    <n v="2"/>
    <n v="0.16"/>
    <n v="0.18179999999999999"/>
    <n v="0.55000000000000004"/>
    <n v="0.1343"/>
    <n v="0"/>
    <n v="6"/>
    <n v="6"/>
    <x v="0"/>
    <s v="Spring"/>
    <x v="1"/>
    <x v="3"/>
    <n v="2011"/>
    <d v="2011-02-13T00:00:00"/>
    <x v="1"/>
  </r>
  <r>
    <n v="238"/>
    <x v="10"/>
    <n v="1"/>
    <n v="0"/>
    <n v="1"/>
    <x v="6"/>
    <b v="0"/>
    <n v="2"/>
    <n v="2"/>
    <n v="0.16"/>
    <n v="0.18179999999999999"/>
    <n v="0.55000000000000004"/>
    <n v="0.1343"/>
    <n v="0"/>
    <n v="27"/>
    <n v="27"/>
    <x v="0"/>
    <s v="Spring"/>
    <x v="1"/>
    <x v="3"/>
    <n v="2011"/>
    <d v="2011-02-13T00:00:00"/>
    <x v="1"/>
  </r>
  <r>
    <n v="239"/>
    <x v="10"/>
    <n v="1"/>
    <n v="0"/>
    <n v="1"/>
    <x v="7"/>
    <b v="0"/>
    <n v="2"/>
    <n v="2"/>
    <n v="0.16"/>
    <n v="0.2273"/>
    <n v="0.55000000000000004"/>
    <n v="0"/>
    <n v="2"/>
    <n v="97"/>
    <n v="99"/>
    <x v="0"/>
    <s v="Spring"/>
    <x v="1"/>
    <x v="3"/>
    <n v="2011"/>
    <d v="2011-02-13T00:00:00"/>
    <x v="1"/>
  </r>
  <r>
    <n v="240"/>
    <x v="10"/>
    <n v="1"/>
    <n v="0"/>
    <n v="1"/>
    <x v="8"/>
    <b v="0"/>
    <n v="2"/>
    <n v="2"/>
    <n v="0.18"/>
    <n v="0.21210000000000001"/>
    <n v="0.51"/>
    <n v="8.9599999999999999E-2"/>
    <n v="3"/>
    <n v="214"/>
    <n v="217"/>
    <x v="0"/>
    <s v="Spring"/>
    <x v="1"/>
    <x v="3"/>
    <n v="2011"/>
    <d v="2011-02-13T00:00:00"/>
    <x v="1"/>
  </r>
  <r>
    <n v="241"/>
    <x v="10"/>
    <n v="1"/>
    <n v="0"/>
    <n v="1"/>
    <x v="9"/>
    <b v="0"/>
    <n v="2"/>
    <n v="2"/>
    <n v="0.18"/>
    <n v="0.19700000000000001"/>
    <n v="0.51"/>
    <n v="0.16420000000000001"/>
    <n v="3"/>
    <n v="127"/>
    <n v="130"/>
    <x v="0"/>
    <s v="Spring"/>
    <x v="1"/>
    <x v="3"/>
    <n v="2011"/>
    <d v="2011-02-13T00:00:00"/>
    <x v="1"/>
  </r>
  <r>
    <n v="242"/>
    <x v="10"/>
    <n v="1"/>
    <n v="0"/>
    <n v="1"/>
    <x v="10"/>
    <b v="0"/>
    <n v="2"/>
    <n v="2"/>
    <n v="0.2"/>
    <n v="0.21210000000000001"/>
    <n v="0.51"/>
    <n v="0.16420000000000001"/>
    <n v="3"/>
    <n v="51"/>
    <n v="54"/>
    <x v="0"/>
    <s v="Spring"/>
    <x v="1"/>
    <x v="3"/>
    <n v="2011"/>
    <d v="2011-02-13T00:00:00"/>
    <x v="1"/>
  </r>
  <r>
    <n v="243"/>
    <x v="10"/>
    <n v="1"/>
    <n v="0"/>
    <n v="1"/>
    <x v="11"/>
    <b v="0"/>
    <n v="2"/>
    <n v="2"/>
    <n v="0.2"/>
    <n v="0.21210000000000001"/>
    <n v="0.47"/>
    <n v="0.1343"/>
    <n v="4"/>
    <n v="31"/>
    <n v="35"/>
    <x v="0"/>
    <s v="Spring"/>
    <x v="1"/>
    <x v="3"/>
    <n v="2011"/>
    <d v="2011-02-13T00:00:00"/>
    <x v="1"/>
  </r>
  <r>
    <n v="244"/>
    <x v="10"/>
    <n v="1"/>
    <n v="0"/>
    <n v="1"/>
    <x v="12"/>
    <b v="0"/>
    <n v="2"/>
    <n v="2"/>
    <n v="0.2"/>
    <n v="0.2273"/>
    <n v="0.51"/>
    <n v="0.1045"/>
    <n v="2"/>
    <n v="55"/>
    <n v="57"/>
    <x v="0"/>
    <s v="Spring"/>
    <x v="1"/>
    <x v="3"/>
    <n v="2011"/>
    <d v="2011-02-13T00:00:00"/>
    <x v="1"/>
  </r>
  <r>
    <n v="245"/>
    <x v="10"/>
    <n v="1"/>
    <n v="0"/>
    <n v="1"/>
    <x v="13"/>
    <b v="0"/>
    <n v="2"/>
    <n v="2"/>
    <n v="0.2"/>
    <n v="0.2273"/>
    <n v="0.59"/>
    <n v="8.9599999999999999E-2"/>
    <n v="6"/>
    <n v="46"/>
    <n v="52"/>
    <x v="0"/>
    <s v="Spring"/>
    <x v="1"/>
    <x v="3"/>
    <n v="2011"/>
    <d v="2011-02-13T00:00:00"/>
    <x v="1"/>
  </r>
  <r>
    <n v="246"/>
    <x v="10"/>
    <n v="1"/>
    <n v="0"/>
    <n v="1"/>
    <x v="14"/>
    <b v="0"/>
    <n v="2"/>
    <n v="2"/>
    <n v="0.2"/>
    <n v="0.2273"/>
    <n v="0.59"/>
    <n v="8.9599999999999999E-2"/>
    <n v="3"/>
    <n v="60"/>
    <n v="63"/>
    <x v="0"/>
    <s v="Spring"/>
    <x v="1"/>
    <x v="3"/>
    <n v="2011"/>
    <d v="2011-02-13T00:00:00"/>
    <x v="1"/>
  </r>
  <r>
    <n v="247"/>
    <x v="10"/>
    <n v="1"/>
    <n v="0"/>
    <n v="1"/>
    <x v="15"/>
    <b v="0"/>
    <n v="2"/>
    <n v="2"/>
    <n v="0.16"/>
    <n v="0.19700000000000001"/>
    <n v="0.8"/>
    <n v="8.9599999999999999E-2"/>
    <n v="2"/>
    <n v="45"/>
    <n v="47"/>
    <x v="0"/>
    <s v="Spring"/>
    <x v="1"/>
    <x v="3"/>
    <n v="2011"/>
    <d v="2011-02-13T00:00:00"/>
    <x v="1"/>
  </r>
  <r>
    <n v="248"/>
    <x v="10"/>
    <n v="1"/>
    <n v="0"/>
    <n v="1"/>
    <x v="16"/>
    <b v="0"/>
    <n v="2"/>
    <n v="2"/>
    <n v="0.16"/>
    <n v="0.1515"/>
    <n v="0.86"/>
    <n v="0.22389999999999999"/>
    <n v="4"/>
    <n v="72"/>
    <n v="76"/>
    <x v="0"/>
    <s v="Spring"/>
    <x v="1"/>
    <x v="3"/>
    <n v="2011"/>
    <d v="2011-02-13T00:00:00"/>
    <x v="1"/>
  </r>
  <r>
    <n v="249"/>
    <x v="10"/>
    <n v="1"/>
    <n v="0"/>
    <n v="1"/>
    <x v="17"/>
    <b v="0"/>
    <n v="2"/>
    <n v="2"/>
    <n v="0.16"/>
    <n v="0.1515"/>
    <n v="0.86"/>
    <n v="0.22389999999999999"/>
    <n v="6"/>
    <n v="130"/>
    <n v="136"/>
    <x v="0"/>
    <s v="Spring"/>
    <x v="1"/>
    <x v="3"/>
    <n v="2011"/>
    <d v="2011-02-13T00:00:00"/>
    <x v="1"/>
  </r>
  <r>
    <n v="250"/>
    <x v="10"/>
    <n v="1"/>
    <n v="0"/>
    <n v="1"/>
    <x v="18"/>
    <b v="0"/>
    <n v="2"/>
    <n v="3"/>
    <n v="0.16"/>
    <n v="0.18179999999999999"/>
    <n v="0.93"/>
    <n v="0.1045"/>
    <n v="1"/>
    <n v="94"/>
    <n v="95"/>
    <x v="0"/>
    <s v="Spring"/>
    <x v="2"/>
    <x v="3"/>
    <n v="2011"/>
    <d v="2011-02-13T00:00:00"/>
    <x v="1"/>
  </r>
  <r>
    <n v="251"/>
    <x v="10"/>
    <n v="1"/>
    <n v="0"/>
    <n v="1"/>
    <x v="19"/>
    <b v="0"/>
    <n v="2"/>
    <n v="3"/>
    <n v="0.16"/>
    <n v="0.2273"/>
    <n v="0.93"/>
    <n v="0"/>
    <n v="0"/>
    <n v="51"/>
    <n v="51"/>
    <x v="0"/>
    <s v="Spring"/>
    <x v="2"/>
    <x v="3"/>
    <n v="2011"/>
    <d v="2011-02-13T00:00:00"/>
    <x v="1"/>
  </r>
  <r>
    <n v="252"/>
    <x v="10"/>
    <n v="1"/>
    <n v="0"/>
    <n v="1"/>
    <x v="20"/>
    <b v="0"/>
    <n v="2"/>
    <n v="3"/>
    <n v="0.16"/>
    <n v="0.1515"/>
    <n v="0.93"/>
    <n v="0.19400000000000001"/>
    <n v="0"/>
    <n v="32"/>
    <n v="32"/>
    <x v="0"/>
    <s v="Spring"/>
    <x v="2"/>
    <x v="3"/>
    <n v="2011"/>
    <d v="2011-02-13T00:00:00"/>
    <x v="1"/>
  </r>
  <r>
    <n v="253"/>
    <x v="10"/>
    <n v="1"/>
    <n v="0"/>
    <n v="1"/>
    <x v="21"/>
    <b v="0"/>
    <n v="2"/>
    <n v="3"/>
    <n v="0.16"/>
    <n v="0.19700000000000001"/>
    <n v="0.86"/>
    <n v="8.9599999999999999E-2"/>
    <n v="0"/>
    <n v="20"/>
    <n v="20"/>
    <x v="0"/>
    <s v="Spring"/>
    <x v="2"/>
    <x v="3"/>
    <n v="2011"/>
    <d v="2011-02-13T00:00:00"/>
    <x v="1"/>
  </r>
  <r>
    <n v="254"/>
    <x v="10"/>
    <n v="1"/>
    <n v="0"/>
    <n v="1"/>
    <x v="22"/>
    <b v="0"/>
    <n v="2"/>
    <n v="3"/>
    <n v="0.16"/>
    <n v="0.18179999999999999"/>
    <n v="0.93"/>
    <n v="0.1045"/>
    <n v="1"/>
    <n v="28"/>
    <n v="29"/>
    <x v="0"/>
    <s v="Spring"/>
    <x v="2"/>
    <x v="3"/>
    <n v="2011"/>
    <d v="2011-02-13T00:00:00"/>
    <x v="1"/>
  </r>
  <r>
    <n v="255"/>
    <x v="10"/>
    <n v="1"/>
    <n v="0"/>
    <n v="1"/>
    <x v="23"/>
    <b v="0"/>
    <n v="2"/>
    <n v="3"/>
    <n v="0.16"/>
    <n v="0.19700000000000001"/>
    <n v="0.93"/>
    <n v="8.9599999999999999E-2"/>
    <n v="1"/>
    <n v="18"/>
    <n v="19"/>
    <x v="0"/>
    <s v="Spring"/>
    <x v="2"/>
    <x v="3"/>
    <n v="2011"/>
    <d v="2011-02-13T00:00:00"/>
    <x v="1"/>
  </r>
  <r>
    <n v="256"/>
    <x v="11"/>
    <n v="1"/>
    <n v="0"/>
    <n v="1"/>
    <x v="0"/>
    <b v="0"/>
    <n v="3"/>
    <n v="2"/>
    <n v="0.16"/>
    <n v="0.19700000000000001"/>
    <n v="0.86"/>
    <n v="8.9599999999999999E-2"/>
    <n v="0"/>
    <n v="7"/>
    <n v="7"/>
    <x v="0"/>
    <s v="Spring"/>
    <x v="1"/>
    <x v="4"/>
    <n v="2011"/>
    <d v="2011-02-13T00:00:00"/>
    <x v="1"/>
  </r>
  <r>
    <n v="257"/>
    <x v="11"/>
    <n v="1"/>
    <n v="0"/>
    <n v="1"/>
    <x v="1"/>
    <b v="0"/>
    <n v="3"/>
    <n v="2"/>
    <n v="0.16"/>
    <n v="0.18179999999999999"/>
    <n v="0.86"/>
    <n v="0.1045"/>
    <n v="0"/>
    <n v="6"/>
    <n v="6"/>
    <x v="0"/>
    <s v="Spring"/>
    <x v="1"/>
    <x v="4"/>
    <n v="2011"/>
    <d v="2011-02-13T00:00:00"/>
    <x v="1"/>
  </r>
  <r>
    <n v="258"/>
    <x v="11"/>
    <n v="1"/>
    <n v="0"/>
    <n v="1"/>
    <x v="2"/>
    <b v="0"/>
    <n v="3"/>
    <n v="1"/>
    <n v="0.14000000000000001"/>
    <n v="0.1515"/>
    <n v="0.86"/>
    <n v="0.1343"/>
    <n v="0"/>
    <n v="1"/>
    <n v="1"/>
    <x v="0"/>
    <s v="Spring"/>
    <x v="0"/>
    <x v="4"/>
    <n v="2011"/>
    <d v="2011-02-13T00:00:00"/>
    <x v="1"/>
  </r>
  <r>
    <n v="259"/>
    <x v="11"/>
    <n v="1"/>
    <n v="0"/>
    <n v="1"/>
    <x v="5"/>
    <b v="0"/>
    <n v="3"/>
    <n v="1"/>
    <n v="0.14000000000000001"/>
    <n v="0.1515"/>
    <n v="0.86"/>
    <n v="0.16420000000000001"/>
    <n v="0"/>
    <n v="5"/>
    <n v="5"/>
    <x v="0"/>
    <s v="Spring"/>
    <x v="0"/>
    <x v="4"/>
    <n v="2011"/>
    <d v="2011-02-13T00:00:00"/>
    <x v="1"/>
  </r>
  <r>
    <n v="260"/>
    <x v="11"/>
    <n v="1"/>
    <n v="0"/>
    <n v="1"/>
    <x v="6"/>
    <b v="0"/>
    <n v="3"/>
    <n v="1"/>
    <n v="0.12"/>
    <n v="0.1515"/>
    <n v="0.93"/>
    <n v="0.1343"/>
    <n v="0"/>
    <n v="16"/>
    <n v="16"/>
    <x v="0"/>
    <s v="Spring"/>
    <x v="0"/>
    <x v="4"/>
    <n v="2011"/>
    <d v="2011-02-13T00:00:00"/>
    <x v="1"/>
  </r>
  <r>
    <n v="261"/>
    <x v="11"/>
    <n v="1"/>
    <n v="0"/>
    <n v="1"/>
    <x v="7"/>
    <b v="0"/>
    <n v="3"/>
    <n v="1"/>
    <n v="0.14000000000000001"/>
    <n v="0.1515"/>
    <n v="0.69"/>
    <n v="0.1343"/>
    <n v="0"/>
    <n v="54"/>
    <n v="54"/>
    <x v="0"/>
    <s v="Spring"/>
    <x v="0"/>
    <x v="4"/>
    <n v="2011"/>
    <d v="2011-02-13T00:00:00"/>
    <x v="1"/>
  </r>
  <r>
    <n v="262"/>
    <x v="11"/>
    <n v="1"/>
    <n v="0"/>
    <n v="1"/>
    <x v="8"/>
    <b v="0"/>
    <n v="3"/>
    <n v="1"/>
    <n v="0.16"/>
    <n v="0.16669999999999999"/>
    <n v="0.59"/>
    <n v="0.16420000000000001"/>
    <n v="3"/>
    <n v="125"/>
    <n v="128"/>
    <x v="0"/>
    <s v="Spring"/>
    <x v="0"/>
    <x v="4"/>
    <n v="2011"/>
    <d v="2011-02-13T00:00:00"/>
    <x v="1"/>
  </r>
  <r>
    <n v="263"/>
    <x v="11"/>
    <n v="1"/>
    <n v="0"/>
    <n v="1"/>
    <x v="9"/>
    <b v="0"/>
    <n v="3"/>
    <n v="1"/>
    <n v="0.16"/>
    <n v="0.13639999999999999"/>
    <n v="0.59"/>
    <n v="0.32840000000000003"/>
    <n v="3"/>
    <n v="78"/>
    <n v="81"/>
    <x v="0"/>
    <s v="Spring"/>
    <x v="0"/>
    <x v="4"/>
    <n v="2011"/>
    <d v="2011-02-13T00:00:00"/>
    <x v="1"/>
  </r>
  <r>
    <n v="264"/>
    <x v="11"/>
    <n v="1"/>
    <n v="0"/>
    <n v="1"/>
    <x v="10"/>
    <b v="0"/>
    <n v="3"/>
    <n v="1"/>
    <n v="0.18"/>
    <n v="0.18179999999999999"/>
    <n v="0.55000000000000004"/>
    <n v="0.22389999999999999"/>
    <n v="0"/>
    <n v="39"/>
    <n v="39"/>
    <x v="0"/>
    <s v="Spring"/>
    <x v="0"/>
    <x v="4"/>
    <n v="2011"/>
    <d v="2011-02-13T00:00:00"/>
    <x v="1"/>
  </r>
  <r>
    <n v="265"/>
    <x v="11"/>
    <n v="1"/>
    <n v="0"/>
    <n v="1"/>
    <x v="11"/>
    <b v="0"/>
    <n v="3"/>
    <n v="1"/>
    <n v="0.2"/>
    <n v="0.18179999999999999"/>
    <n v="0.51"/>
    <n v="0.3881"/>
    <n v="3"/>
    <n v="32"/>
    <n v="35"/>
    <x v="0"/>
    <s v="Spring"/>
    <x v="0"/>
    <x v="4"/>
    <n v="2011"/>
    <d v="2011-02-13T00:00:00"/>
    <x v="1"/>
  </r>
  <r>
    <n v="266"/>
    <x v="11"/>
    <n v="1"/>
    <n v="0"/>
    <n v="1"/>
    <x v="12"/>
    <b v="0"/>
    <n v="3"/>
    <n v="1"/>
    <n v="0.2"/>
    <n v="0.1515"/>
    <n v="0.47"/>
    <n v="0.58209999999999995"/>
    <n v="3"/>
    <n v="52"/>
    <n v="55"/>
    <x v="0"/>
    <s v="Spring"/>
    <x v="0"/>
    <x v="4"/>
    <n v="2011"/>
    <d v="2011-02-13T00:00:00"/>
    <x v="1"/>
  </r>
  <r>
    <n v="267"/>
    <x v="11"/>
    <n v="1"/>
    <n v="0"/>
    <n v="1"/>
    <x v="13"/>
    <b v="0"/>
    <n v="3"/>
    <n v="1"/>
    <n v="0.22"/>
    <n v="0.19700000000000001"/>
    <n v="0.44"/>
    <n v="0.35820000000000002"/>
    <n v="0"/>
    <n v="49"/>
    <n v="49"/>
    <x v="0"/>
    <s v="Spring"/>
    <x v="0"/>
    <x v="4"/>
    <n v="2011"/>
    <d v="2011-02-13T00:00:00"/>
    <x v="1"/>
  </r>
  <r>
    <n v="268"/>
    <x v="11"/>
    <n v="1"/>
    <n v="0"/>
    <n v="1"/>
    <x v="14"/>
    <b v="0"/>
    <n v="3"/>
    <n v="1"/>
    <n v="0.2"/>
    <n v="0.18179999999999999"/>
    <n v="0.47"/>
    <n v="0.32840000000000003"/>
    <n v="0"/>
    <n v="44"/>
    <n v="44"/>
    <x v="0"/>
    <s v="Spring"/>
    <x v="0"/>
    <x v="4"/>
    <n v="2011"/>
    <d v="2011-02-13T00:00:00"/>
    <x v="1"/>
  </r>
  <r>
    <n v="269"/>
    <x v="11"/>
    <n v="1"/>
    <n v="0"/>
    <n v="1"/>
    <x v="15"/>
    <b v="0"/>
    <n v="3"/>
    <n v="1"/>
    <n v="0.2"/>
    <n v="0.16669999999999999"/>
    <n v="0.47"/>
    <n v="0.41789999999999999"/>
    <n v="1"/>
    <n v="48"/>
    <n v="49"/>
    <x v="0"/>
    <s v="Spring"/>
    <x v="0"/>
    <x v="4"/>
    <n v="2011"/>
    <d v="2011-02-13T00:00:00"/>
    <x v="1"/>
  </r>
  <r>
    <n v="270"/>
    <x v="11"/>
    <n v="1"/>
    <n v="0"/>
    <n v="1"/>
    <x v="16"/>
    <b v="0"/>
    <n v="3"/>
    <n v="1"/>
    <n v="0.22"/>
    <n v="0.19700000000000001"/>
    <n v="0.44"/>
    <n v="0.32840000000000003"/>
    <n v="5"/>
    <n v="63"/>
    <n v="68"/>
    <x v="0"/>
    <s v="Spring"/>
    <x v="0"/>
    <x v="4"/>
    <n v="2011"/>
    <d v="2011-02-13T00:00:00"/>
    <x v="1"/>
  </r>
  <r>
    <n v="271"/>
    <x v="11"/>
    <n v="1"/>
    <n v="0"/>
    <n v="1"/>
    <x v="17"/>
    <b v="0"/>
    <n v="3"/>
    <n v="1"/>
    <n v="0.2"/>
    <n v="0.18179999999999999"/>
    <n v="0.47"/>
    <n v="0.35820000000000002"/>
    <n v="0"/>
    <n v="139"/>
    <n v="139"/>
    <x v="0"/>
    <s v="Spring"/>
    <x v="0"/>
    <x v="4"/>
    <n v="2011"/>
    <d v="2011-02-13T00:00:00"/>
    <x v="1"/>
  </r>
  <r>
    <n v="272"/>
    <x v="11"/>
    <n v="1"/>
    <n v="0"/>
    <n v="1"/>
    <x v="18"/>
    <b v="0"/>
    <n v="3"/>
    <n v="1"/>
    <n v="0.2"/>
    <n v="0.1515"/>
    <n v="0.47"/>
    <n v="0.52239999999999998"/>
    <n v="2"/>
    <n v="135"/>
    <n v="137"/>
    <x v="0"/>
    <s v="Spring"/>
    <x v="0"/>
    <x v="4"/>
    <n v="2011"/>
    <d v="2011-02-13T00:00:00"/>
    <x v="1"/>
  </r>
  <r>
    <n v="273"/>
    <x v="11"/>
    <n v="1"/>
    <n v="0"/>
    <n v="1"/>
    <x v="19"/>
    <b v="0"/>
    <n v="3"/>
    <n v="1"/>
    <n v="0.18"/>
    <n v="0.1515"/>
    <n v="0.47"/>
    <n v="0.41789999999999999"/>
    <n v="1"/>
    <n v="82"/>
    <n v="83"/>
    <x v="0"/>
    <s v="Spring"/>
    <x v="0"/>
    <x v="4"/>
    <n v="2011"/>
    <d v="2011-02-13T00:00:00"/>
    <x v="1"/>
  </r>
  <r>
    <n v="274"/>
    <x v="11"/>
    <n v="1"/>
    <n v="0"/>
    <n v="1"/>
    <x v="20"/>
    <b v="0"/>
    <n v="3"/>
    <n v="1"/>
    <n v="0.16"/>
    <n v="0.13639999999999999"/>
    <n v="0.5"/>
    <n v="0.32840000000000003"/>
    <n v="2"/>
    <n v="54"/>
    <n v="56"/>
    <x v="0"/>
    <s v="Spring"/>
    <x v="0"/>
    <x v="4"/>
    <n v="2011"/>
    <d v="2011-02-13T00:00:00"/>
    <x v="1"/>
  </r>
  <r>
    <n v="275"/>
    <x v="11"/>
    <n v="1"/>
    <n v="0"/>
    <n v="1"/>
    <x v="21"/>
    <b v="0"/>
    <n v="3"/>
    <n v="1"/>
    <n v="0.16"/>
    <n v="0.13639999999999999"/>
    <n v="0.55000000000000004"/>
    <n v="0.32840000000000003"/>
    <n v="0"/>
    <n v="57"/>
    <n v="57"/>
    <x v="0"/>
    <s v="Spring"/>
    <x v="0"/>
    <x v="4"/>
    <n v="2011"/>
    <d v="2011-02-13T00:00:00"/>
    <x v="1"/>
  </r>
  <r>
    <n v="276"/>
    <x v="11"/>
    <n v="1"/>
    <n v="0"/>
    <n v="1"/>
    <x v="22"/>
    <b v="0"/>
    <n v="3"/>
    <n v="1"/>
    <n v="0.16"/>
    <n v="0.1212"/>
    <n v="0.55000000000000004"/>
    <n v="0.44779999999999998"/>
    <n v="1"/>
    <n v="32"/>
    <n v="33"/>
    <x v="0"/>
    <s v="Spring"/>
    <x v="0"/>
    <x v="4"/>
    <n v="2011"/>
    <d v="2011-02-13T00:00:00"/>
    <x v="1"/>
  </r>
  <r>
    <n v="277"/>
    <x v="11"/>
    <n v="1"/>
    <n v="0"/>
    <n v="1"/>
    <x v="23"/>
    <b v="0"/>
    <n v="3"/>
    <n v="1"/>
    <n v="0.14000000000000001"/>
    <n v="0.1061"/>
    <n v="0.59"/>
    <n v="0.41789999999999999"/>
    <n v="1"/>
    <n v="19"/>
    <n v="20"/>
    <x v="0"/>
    <s v="Spring"/>
    <x v="0"/>
    <x v="4"/>
    <n v="2011"/>
    <d v="2011-02-13T00:00:00"/>
    <x v="1"/>
  </r>
  <r>
    <n v="278"/>
    <x v="12"/>
    <n v="1"/>
    <n v="0"/>
    <n v="1"/>
    <x v="0"/>
    <b v="0"/>
    <n v="4"/>
    <n v="1"/>
    <n v="0.14000000000000001"/>
    <n v="0.1212"/>
    <n v="0.59"/>
    <n v="0.28360000000000002"/>
    <n v="1"/>
    <n v="6"/>
    <n v="7"/>
    <x v="0"/>
    <s v="Spring"/>
    <x v="0"/>
    <x v="5"/>
    <n v="2011"/>
    <d v="2011-02-13T00:00:00"/>
    <x v="1"/>
  </r>
  <r>
    <n v="279"/>
    <x v="12"/>
    <n v="1"/>
    <n v="0"/>
    <n v="1"/>
    <x v="1"/>
    <b v="0"/>
    <n v="4"/>
    <n v="1"/>
    <n v="0.14000000000000001"/>
    <n v="0.1212"/>
    <n v="0.5"/>
    <n v="0.28360000000000002"/>
    <n v="0"/>
    <n v="2"/>
    <n v="2"/>
    <x v="0"/>
    <s v="Spring"/>
    <x v="0"/>
    <x v="5"/>
    <n v="2011"/>
    <d v="2011-02-13T00:00:00"/>
    <x v="1"/>
  </r>
  <r>
    <n v="280"/>
    <x v="12"/>
    <n v="1"/>
    <n v="0"/>
    <n v="1"/>
    <x v="2"/>
    <b v="0"/>
    <n v="4"/>
    <n v="1"/>
    <n v="0.14000000000000001"/>
    <n v="0.1212"/>
    <n v="0.5"/>
    <n v="0.35820000000000002"/>
    <n v="0"/>
    <n v="2"/>
    <n v="2"/>
    <x v="0"/>
    <s v="Spring"/>
    <x v="0"/>
    <x v="5"/>
    <n v="2011"/>
    <d v="2011-02-13T00:00:00"/>
    <x v="1"/>
  </r>
  <r>
    <n v="281"/>
    <x v="12"/>
    <n v="1"/>
    <n v="0"/>
    <n v="1"/>
    <x v="3"/>
    <b v="0"/>
    <n v="4"/>
    <n v="1"/>
    <n v="0.14000000000000001"/>
    <n v="0.1212"/>
    <n v="0.5"/>
    <n v="0.32840000000000003"/>
    <n v="0"/>
    <n v="3"/>
    <n v="3"/>
    <x v="0"/>
    <s v="Spring"/>
    <x v="0"/>
    <x v="5"/>
    <n v="2011"/>
    <d v="2011-02-13T00:00:00"/>
    <x v="1"/>
  </r>
  <r>
    <n v="282"/>
    <x v="12"/>
    <n v="1"/>
    <n v="0"/>
    <n v="1"/>
    <x v="4"/>
    <b v="0"/>
    <n v="4"/>
    <n v="1"/>
    <n v="0.14000000000000001"/>
    <n v="0.1212"/>
    <n v="0.5"/>
    <n v="0.25369999999999998"/>
    <n v="0"/>
    <n v="4"/>
    <n v="4"/>
    <x v="0"/>
    <s v="Spring"/>
    <x v="0"/>
    <x v="5"/>
    <n v="2011"/>
    <d v="2011-02-13T00:00:00"/>
    <x v="1"/>
  </r>
  <r>
    <n v="283"/>
    <x v="12"/>
    <n v="1"/>
    <n v="0"/>
    <n v="1"/>
    <x v="5"/>
    <b v="0"/>
    <n v="4"/>
    <n v="1"/>
    <n v="0.14000000000000001"/>
    <n v="0.1212"/>
    <n v="0.5"/>
    <n v="0.29849999999999999"/>
    <n v="0"/>
    <n v="3"/>
    <n v="3"/>
    <x v="0"/>
    <s v="Spring"/>
    <x v="0"/>
    <x v="5"/>
    <n v="2011"/>
    <d v="2011-02-13T00:00:00"/>
    <x v="1"/>
  </r>
  <r>
    <n v="284"/>
    <x v="12"/>
    <n v="1"/>
    <n v="0"/>
    <n v="1"/>
    <x v="6"/>
    <b v="0"/>
    <n v="4"/>
    <n v="1"/>
    <n v="0.12"/>
    <n v="0.1515"/>
    <n v="0.54"/>
    <n v="0.1343"/>
    <n v="0"/>
    <n v="28"/>
    <n v="28"/>
    <x v="0"/>
    <s v="Spring"/>
    <x v="0"/>
    <x v="5"/>
    <n v="2011"/>
    <d v="2011-02-13T00:00:00"/>
    <x v="1"/>
  </r>
  <r>
    <n v="285"/>
    <x v="12"/>
    <n v="1"/>
    <n v="0"/>
    <n v="1"/>
    <x v="7"/>
    <b v="0"/>
    <n v="4"/>
    <n v="1"/>
    <n v="0.12"/>
    <n v="0.1515"/>
    <n v="0.54"/>
    <n v="0.1343"/>
    <n v="0"/>
    <n v="72"/>
    <n v="72"/>
    <x v="0"/>
    <s v="Spring"/>
    <x v="0"/>
    <x v="5"/>
    <n v="2011"/>
    <d v="2011-02-13T00:00:00"/>
    <x v="1"/>
  </r>
  <r>
    <n v="286"/>
    <x v="12"/>
    <n v="1"/>
    <n v="0"/>
    <n v="1"/>
    <x v="8"/>
    <b v="0"/>
    <n v="4"/>
    <n v="1"/>
    <n v="0.14000000000000001"/>
    <n v="0.13639999999999999"/>
    <n v="0.5"/>
    <n v="0.19400000000000001"/>
    <n v="5"/>
    <n v="197"/>
    <n v="202"/>
    <x v="0"/>
    <s v="Spring"/>
    <x v="0"/>
    <x v="5"/>
    <n v="2011"/>
    <d v="2011-02-13T00:00:00"/>
    <x v="1"/>
  </r>
  <r>
    <n v="287"/>
    <x v="12"/>
    <n v="1"/>
    <n v="0"/>
    <n v="1"/>
    <x v="9"/>
    <b v="0"/>
    <n v="4"/>
    <n v="1"/>
    <n v="0.14000000000000001"/>
    <n v="0.1212"/>
    <n v="0.5"/>
    <n v="0.32840000000000003"/>
    <n v="2"/>
    <n v="137"/>
    <n v="139"/>
    <x v="0"/>
    <s v="Spring"/>
    <x v="0"/>
    <x v="5"/>
    <n v="2011"/>
    <d v="2011-02-13T00:00:00"/>
    <x v="1"/>
  </r>
  <r>
    <n v="288"/>
    <x v="12"/>
    <n v="1"/>
    <n v="0"/>
    <n v="1"/>
    <x v="10"/>
    <b v="0"/>
    <n v="4"/>
    <n v="2"/>
    <n v="0.16"/>
    <n v="0.13639999999999999"/>
    <n v="0.5"/>
    <n v="0.35820000000000002"/>
    <n v="2"/>
    <n v="36"/>
    <n v="38"/>
    <x v="0"/>
    <s v="Spring"/>
    <x v="1"/>
    <x v="5"/>
    <n v="2011"/>
    <d v="2011-02-13T00:00:00"/>
    <x v="1"/>
  </r>
  <r>
    <n v="289"/>
    <x v="12"/>
    <n v="1"/>
    <n v="0"/>
    <n v="1"/>
    <x v="11"/>
    <b v="0"/>
    <n v="4"/>
    <n v="2"/>
    <n v="0.2"/>
    <n v="0.16669999999999999"/>
    <n v="0.44"/>
    <n v="0.44779999999999998"/>
    <n v="4"/>
    <n v="33"/>
    <n v="37"/>
    <x v="0"/>
    <s v="Spring"/>
    <x v="1"/>
    <x v="5"/>
    <n v="2011"/>
    <d v="2011-02-13T00:00:00"/>
    <x v="1"/>
  </r>
  <r>
    <n v="290"/>
    <x v="12"/>
    <n v="1"/>
    <n v="0"/>
    <n v="1"/>
    <x v="12"/>
    <b v="0"/>
    <n v="4"/>
    <n v="1"/>
    <n v="0.2"/>
    <n v="0.16669999999999999"/>
    <n v="0.44"/>
    <n v="0.41789999999999999"/>
    <n v="3"/>
    <n v="49"/>
    <n v="52"/>
    <x v="0"/>
    <s v="Spring"/>
    <x v="0"/>
    <x v="5"/>
    <n v="2011"/>
    <d v="2011-02-13T00:00:00"/>
    <x v="1"/>
  </r>
  <r>
    <n v="291"/>
    <x v="12"/>
    <n v="1"/>
    <n v="0"/>
    <n v="1"/>
    <x v="13"/>
    <b v="0"/>
    <n v="4"/>
    <n v="1"/>
    <n v="0.22"/>
    <n v="0.19700000000000001"/>
    <n v="0.41"/>
    <n v="0.44779999999999998"/>
    <n v="2"/>
    <n v="81"/>
    <n v="83"/>
    <x v="0"/>
    <s v="Spring"/>
    <x v="0"/>
    <x v="5"/>
    <n v="2011"/>
    <d v="2011-02-13T00:00:00"/>
    <x v="1"/>
  </r>
  <r>
    <n v="292"/>
    <x v="12"/>
    <n v="1"/>
    <n v="0"/>
    <n v="1"/>
    <x v="14"/>
    <b v="0"/>
    <n v="4"/>
    <n v="1"/>
    <n v="0.22"/>
    <n v="0.19700000000000001"/>
    <n v="0.41"/>
    <n v="0.3881"/>
    <n v="3"/>
    <n v="39"/>
    <n v="42"/>
    <x v="0"/>
    <s v="Spring"/>
    <x v="0"/>
    <x v="5"/>
    <n v="2011"/>
    <d v="2011-02-13T00:00:00"/>
    <x v="1"/>
  </r>
  <r>
    <n v="293"/>
    <x v="12"/>
    <n v="1"/>
    <n v="0"/>
    <n v="1"/>
    <x v="15"/>
    <b v="0"/>
    <n v="4"/>
    <n v="1"/>
    <n v="0.24"/>
    <n v="0.21210000000000001"/>
    <n v="0.38"/>
    <n v="0.29849999999999999"/>
    <n v="5"/>
    <n v="55"/>
    <n v="60"/>
    <x v="0"/>
    <s v="Spring"/>
    <x v="0"/>
    <x v="5"/>
    <n v="2011"/>
    <d v="2011-02-13T00:00:00"/>
    <x v="1"/>
  </r>
  <r>
    <n v="294"/>
    <x v="12"/>
    <n v="1"/>
    <n v="0"/>
    <n v="1"/>
    <x v="16"/>
    <b v="0"/>
    <n v="4"/>
    <n v="1"/>
    <n v="0.24"/>
    <n v="0.21210000000000001"/>
    <n v="0.38"/>
    <n v="0.35820000000000002"/>
    <n v="2"/>
    <n v="76"/>
    <n v="78"/>
    <x v="0"/>
    <s v="Spring"/>
    <x v="0"/>
    <x v="5"/>
    <n v="2011"/>
    <d v="2011-02-13T00:00:00"/>
    <x v="1"/>
  </r>
  <r>
    <n v="295"/>
    <x v="12"/>
    <n v="1"/>
    <n v="0"/>
    <n v="1"/>
    <x v="17"/>
    <b v="0"/>
    <n v="4"/>
    <n v="1"/>
    <n v="0.2"/>
    <n v="0.18179999999999999"/>
    <n v="0.4"/>
    <n v="0.28360000000000002"/>
    <n v="4"/>
    <n v="158"/>
    <n v="162"/>
    <x v="0"/>
    <s v="Spring"/>
    <x v="0"/>
    <x v="5"/>
    <n v="2011"/>
    <d v="2011-02-13T00:00:00"/>
    <x v="1"/>
  </r>
  <r>
    <n v="296"/>
    <x v="12"/>
    <n v="1"/>
    <n v="0"/>
    <n v="1"/>
    <x v="18"/>
    <b v="0"/>
    <n v="4"/>
    <n v="1"/>
    <n v="0.2"/>
    <n v="0.18179999999999999"/>
    <n v="0.4"/>
    <n v="0.32840000000000003"/>
    <n v="3"/>
    <n v="141"/>
    <n v="144"/>
    <x v="0"/>
    <s v="Spring"/>
    <x v="0"/>
    <x v="5"/>
    <n v="2011"/>
    <d v="2011-02-13T00:00:00"/>
    <x v="1"/>
  </r>
  <r>
    <n v="297"/>
    <x v="12"/>
    <n v="1"/>
    <n v="0"/>
    <n v="1"/>
    <x v="19"/>
    <b v="0"/>
    <n v="4"/>
    <n v="1"/>
    <n v="0.16"/>
    <n v="0.1515"/>
    <n v="0.47"/>
    <n v="0.25369999999999998"/>
    <n v="1"/>
    <n v="98"/>
    <n v="99"/>
    <x v="0"/>
    <s v="Spring"/>
    <x v="0"/>
    <x v="5"/>
    <n v="2011"/>
    <d v="2011-02-13T00:00:00"/>
    <x v="1"/>
  </r>
  <r>
    <n v="298"/>
    <x v="12"/>
    <n v="1"/>
    <n v="0"/>
    <n v="1"/>
    <x v="20"/>
    <b v="0"/>
    <n v="4"/>
    <n v="1"/>
    <n v="0.16"/>
    <n v="0.1515"/>
    <n v="0.47"/>
    <n v="0.22389999999999999"/>
    <n v="0"/>
    <n v="64"/>
    <n v="64"/>
    <x v="0"/>
    <s v="Spring"/>
    <x v="0"/>
    <x v="5"/>
    <n v="2011"/>
    <d v="2011-02-13T00:00:00"/>
    <x v="1"/>
  </r>
  <r>
    <n v="299"/>
    <x v="12"/>
    <n v="1"/>
    <n v="0"/>
    <n v="1"/>
    <x v="21"/>
    <b v="0"/>
    <n v="4"/>
    <n v="1"/>
    <n v="0.14000000000000001"/>
    <n v="0.1212"/>
    <n v="0.46"/>
    <n v="0.29849999999999999"/>
    <n v="0"/>
    <n v="40"/>
    <n v="40"/>
    <x v="0"/>
    <s v="Spring"/>
    <x v="0"/>
    <x v="5"/>
    <n v="2011"/>
    <d v="2011-02-13T00:00:00"/>
    <x v="1"/>
  </r>
  <r>
    <n v="300"/>
    <x v="12"/>
    <n v="1"/>
    <n v="0"/>
    <n v="1"/>
    <x v="22"/>
    <b v="0"/>
    <n v="4"/>
    <n v="1"/>
    <n v="0.14000000000000001"/>
    <n v="0.1212"/>
    <n v="0.46"/>
    <n v="0.32840000000000003"/>
    <n v="0"/>
    <n v="30"/>
    <n v="30"/>
    <x v="0"/>
    <s v="Spring"/>
    <x v="0"/>
    <x v="5"/>
    <n v="2011"/>
    <d v="2011-02-13T00:00:00"/>
    <x v="1"/>
  </r>
  <r>
    <n v="301"/>
    <x v="12"/>
    <n v="1"/>
    <n v="0"/>
    <n v="1"/>
    <x v="23"/>
    <b v="0"/>
    <n v="4"/>
    <n v="1"/>
    <n v="0.12"/>
    <n v="0.13639999999999999"/>
    <n v="0.5"/>
    <n v="0.19400000000000001"/>
    <n v="1"/>
    <n v="14"/>
    <n v="15"/>
    <x v="0"/>
    <s v="Spring"/>
    <x v="0"/>
    <x v="5"/>
    <n v="2011"/>
    <d v="2011-02-13T00:00:00"/>
    <x v="1"/>
  </r>
  <r>
    <n v="302"/>
    <x v="13"/>
    <n v="1"/>
    <n v="0"/>
    <n v="1"/>
    <x v="0"/>
    <b v="0"/>
    <n v="5"/>
    <n v="1"/>
    <n v="0.12"/>
    <n v="0.13639999999999999"/>
    <n v="0.5"/>
    <n v="0.19400000000000001"/>
    <n v="0"/>
    <n v="14"/>
    <n v="14"/>
    <x v="0"/>
    <s v="Spring"/>
    <x v="0"/>
    <x v="6"/>
    <n v="2011"/>
    <d v="2011-02-13T00:00:00"/>
    <x v="1"/>
  </r>
  <r>
    <n v="303"/>
    <x v="13"/>
    <n v="1"/>
    <n v="0"/>
    <n v="1"/>
    <x v="1"/>
    <b v="0"/>
    <n v="5"/>
    <n v="1"/>
    <n v="0.1"/>
    <n v="0.1212"/>
    <n v="0.54"/>
    <n v="0.16420000000000001"/>
    <n v="0"/>
    <n v="5"/>
    <n v="5"/>
    <x v="0"/>
    <s v="Spring"/>
    <x v="0"/>
    <x v="6"/>
    <n v="2011"/>
    <d v="2011-02-13T00:00:00"/>
    <x v="1"/>
  </r>
  <r>
    <n v="304"/>
    <x v="13"/>
    <n v="1"/>
    <n v="0"/>
    <n v="1"/>
    <x v="2"/>
    <b v="0"/>
    <n v="5"/>
    <n v="1"/>
    <n v="0.1"/>
    <n v="0.1212"/>
    <n v="0.54"/>
    <n v="0.1343"/>
    <n v="0"/>
    <n v="1"/>
    <n v="1"/>
    <x v="0"/>
    <s v="Spring"/>
    <x v="0"/>
    <x v="6"/>
    <n v="2011"/>
    <d v="2011-02-13T00:00:00"/>
    <x v="1"/>
  </r>
  <r>
    <n v="305"/>
    <x v="13"/>
    <n v="1"/>
    <n v="0"/>
    <n v="1"/>
    <x v="3"/>
    <b v="0"/>
    <n v="5"/>
    <n v="1"/>
    <n v="0.1"/>
    <n v="0.13639999999999999"/>
    <n v="0.54"/>
    <n v="0.1045"/>
    <n v="0"/>
    <n v="1"/>
    <n v="1"/>
    <x v="0"/>
    <s v="Spring"/>
    <x v="0"/>
    <x v="6"/>
    <n v="2011"/>
    <d v="2011-02-13T00:00:00"/>
    <x v="1"/>
  </r>
  <r>
    <n v="306"/>
    <x v="13"/>
    <n v="1"/>
    <n v="0"/>
    <n v="1"/>
    <x v="5"/>
    <b v="0"/>
    <n v="5"/>
    <n v="1"/>
    <n v="0.1"/>
    <n v="0.13639999999999999"/>
    <n v="0.54"/>
    <n v="8.9599999999999999E-2"/>
    <n v="0"/>
    <n v="8"/>
    <n v="8"/>
    <x v="0"/>
    <s v="Spring"/>
    <x v="0"/>
    <x v="6"/>
    <n v="2011"/>
    <d v="2011-02-13T00:00:00"/>
    <x v="1"/>
  </r>
  <r>
    <n v="307"/>
    <x v="13"/>
    <n v="1"/>
    <n v="0"/>
    <n v="1"/>
    <x v="6"/>
    <b v="0"/>
    <n v="5"/>
    <n v="1"/>
    <n v="0.1"/>
    <n v="0.18179999999999999"/>
    <n v="0.54"/>
    <n v="0"/>
    <n v="0"/>
    <n v="17"/>
    <n v="17"/>
    <x v="0"/>
    <s v="Spring"/>
    <x v="0"/>
    <x v="6"/>
    <n v="2011"/>
    <d v="2011-02-13T00:00:00"/>
    <x v="1"/>
  </r>
  <r>
    <n v="308"/>
    <x v="13"/>
    <n v="1"/>
    <n v="0"/>
    <n v="1"/>
    <x v="7"/>
    <b v="0"/>
    <n v="5"/>
    <n v="1"/>
    <n v="0.1"/>
    <n v="0.1212"/>
    <n v="0.74"/>
    <n v="0.16420000000000001"/>
    <n v="0"/>
    <n v="70"/>
    <n v="70"/>
    <x v="0"/>
    <s v="Spring"/>
    <x v="0"/>
    <x v="6"/>
    <n v="2011"/>
    <d v="2011-02-13T00:00:00"/>
    <x v="1"/>
  </r>
  <r>
    <n v="309"/>
    <x v="13"/>
    <n v="1"/>
    <n v="0"/>
    <n v="1"/>
    <x v="8"/>
    <b v="0"/>
    <n v="5"/>
    <n v="1"/>
    <n v="0.12"/>
    <n v="0.16669999999999999"/>
    <n v="0.68"/>
    <n v="0"/>
    <n v="2"/>
    <n v="156"/>
    <n v="158"/>
    <x v="0"/>
    <s v="Spring"/>
    <x v="0"/>
    <x v="6"/>
    <n v="2011"/>
    <d v="2011-02-13T00:00:00"/>
    <x v="1"/>
  </r>
  <r>
    <n v="310"/>
    <x v="13"/>
    <n v="1"/>
    <n v="0"/>
    <n v="1"/>
    <x v="9"/>
    <b v="0"/>
    <n v="5"/>
    <n v="1"/>
    <n v="0.14000000000000001"/>
    <n v="0.1515"/>
    <n v="0.69"/>
    <n v="0.1343"/>
    <n v="0"/>
    <n v="117"/>
    <n v="117"/>
    <x v="0"/>
    <s v="Spring"/>
    <x v="0"/>
    <x v="6"/>
    <n v="2011"/>
    <d v="2011-02-13T00:00:00"/>
    <x v="1"/>
  </r>
  <r>
    <n v="311"/>
    <x v="13"/>
    <n v="1"/>
    <n v="0"/>
    <n v="1"/>
    <x v="10"/>
    <b v="0"/>
    <n v="5"/>
    <n v="1"/>
    <n v="0.18"/>
    <n v="0.18179999999999999"/>
    <n v="0.55000000000000004"/>
    <n v="0.19400000000000001"/>
    <n v="4"/>
    <n v="40"/>
    <n v="44"/>
    <x v="0"/>
    <s v="Spring"/>
    <x v="0"/>
    <x v="6"/>
    <n v="2011"/>
    <d v="2011-02-13T00:00:00"/>
    <x v="1"/>
  </r>
  <r>
    <n v="312"/>
    <x v="13"/>
    <n v="1"/>
    <n v="0"/>
    <n v="1"/>
    <x v="11"/>
    <b v="0"/>
    <n v="5"/>
    <n v="1"/>
    <n v="0.18"/>
    <n v="0.16669999999999999"/>
    <n v="0.51"/>
    <n v="0.28360000000000002"/>
    <n v="6"/>
    <n v="47"/>
    <n v="53"/>
    <x v="0"/>
    <s v="Spring"/>
    <x v="0"/>
    <x v="6"/>
    <n v="2011"/>
    <d v="2011-02-13T00:00:00"/>
    <x v="1"/>
  </r>
  <r>
    <n v="313"/>
    <x v="13"/>
    <n v="1"/>
    <n v="0"/>
    <n v="1"/>
    <x v="12"/>
    <b v="0"/>
    <n v="5"/>
    <n v="1"/>
    <n v="0.2"/>
    <n v="0.19700000000000001"/>
    <n v="0.44"/>
    <n v="0.25369999999999998"/>
    <n v="2"/>
    <n v="59"/>
    <n v="61"/>
    <x v="0"/>
    <s v="Spring"/>
    <x v="0"/>
    <x v="6"/>
    <n v="2011"/>
    <d v="2011-02-13T00:00:00"/>
    <x v="1"/>
  </r>
  <r>
    <n v="314"/>
    <x v="13"/>
    <n v="1"/>
    <n v="0"/>
    <n v="1"/>
    <x v="13"/>
    <b v="0"/>
    <n v="5"/>
    <n v="1"/>
    <n v="0.22"/>
    <n v="0.19700000000000001"/>
    <n v="0.37"/>
    <n v="0.3881"/>
    <n v="4"/>
    <n v="73"/>
    <n v="77"/>
    <x v="0"/>
    <s v="Spring"/>
    <x v="0"/>
    <x v="6"/>
    <n v="2011"/>
    <d v="2011-02-13T00:00:00"/>
    <x v="1"/>
  </r>
  <r>
    <n v="315"/>
    <x v="13"/>
    <n v="1"/>
    <n v="0"/>
    <n v="1"/>
    <x v="14"/>
    <b v="0"/>
    <n v="5"/>
    <n v="1"/>
    <n v="0.22"/>
    <n v="0.21210000000000001"/>
    <n v="0.41"/>
    <n v="0.28360000000000002"/>
    <n v="5"/>
    <n v="59"/>
    <n v="64"/>
    <x v="0"/>
    <s v="Spring"/>
    <x v="0"/>
    <x v="6"/>
    <n v="2011"/>
    <d v="2011-02-13T00:00:00"/>
    <x v="1"/>
  </r>
  <r>
    <n v="316"/>
    <x v="13"/>
    <n v="1"/>
    <n v="0"/>
    <n v="1"/>
    <x v="15"/>
    <b v="0"/>
    <n v="5"/>
    <n v="1"/>
    <n v="0.24"/>
    <n v="0.2424"/>
    <n v="0.38"/>
    <n v="0.16420000000000001"/>
    <n v="9"/>
    <n v="59"/>
    <n v="68"/>
    <x v="0"/>
    <s v="Spring"/>
    <x v="0"/>
    <x v="6"/>
    <n v="2011"/>
    <d v="2011-02-13T00:00:00"/>
    <x v="1"/>
  </r>
  <r>
    <n v="317"/>
    <x v="13"/>
    <n v="1"/>
    <n v="0"/>
    <n v="1"/>
    <x v="16"/>
    <b v="0"/>
    <n v="5"/>
    <n v="1"/>
    <n v="0.22"/>
    <n v="0.2424"/>
    <n v="0.41"/>
    <n v="0.1045"/>
    <n v="3"/>
    <n v="87"/>
    <n v="90"/>
    <x v="0"/>
    <s v="Spring"/>
    <x v="0"/>
    <x v="6"/>
    <n v="2011"/>
    <d v="2011-02-13T00:00:00"/>
    <x v="1"/>
  </r>
  <r>
    <n v="318"/>
    <x v="13"/>
    <n v="1"/>
    <n v="0"/>
    <n v="1"/>
    <x v="17"/>
    <b v="0"/>
    <n v="5"/>
    <n v="1"/>
    <n v="0.22"/>
    <n v="0.2273"/>
    <n v="0.41"/>
    <n v="0.16420000000000001"/>
    <n v="4"/>
    <n v="155"/>
    <n v="159"/>
    <x v="0"/>
    <s v="Spring"/>
    <x v="0"/>
    <x v="6"/>
    <n v="2011"/>
    <d v="2011-02-13T00:00:00"/>
    <x v="1"/>
  </r>
  <r>
    <n v="319"/>
    <x v="13"/>
    <n v="1"/>
    <n v="0"/>
    <n v="1"/>
    <x v="18"/>
    <b v="0"/>
    <n v="5"/>
    <n v="1"/>
    <n v="0.2"/>
    <n v="0.2576"/>
    <n v="0.47"/>
    <n v="0"/>
    <n v="5"/>
    <n v="134"/>
    <n v="139"/>
    <x v="0"/>
    <s v="Spring"/>
    <x v="0"/>
    <x v="6"/>
    <n v="2011"/>
    <d v="2011-02-13T00:00:00"/>
    <x v="1"/>
  </r>
  <r>
    <n v="320"/>
    <x v="13"/>
    <n v="1"/>
    <n v="0"/>
    <n v="1"/>
    <x v="19"/>
    <b v="0"/>
    <n v="5"/>
    <n v="1"/>
    <n v="0.16"/>
    <n v="0.19700000000000001"/>
    <n v="0.59"/>
    <n v="8.9599999999999999E-2"/>
    <n v="3"/>
    <n v="89"/>
    <n v="92"/>
    <x v="0"/>
    <s v="Spring"/>
    <x v="0"/>
    <x v="6"/>
    <n v="2011"/>
    <d v="2011-02-13T00:00:00"/>
    <x v="1"/>
  </r>
  <r>
    <n v="321"/>
    <x v="13"/>
    <n v="1"/>
    <n v="0"/>
    <n v="1"/>
    <x v="20"/>
    <b v="0"/>
    <n v="5"/>
    <n v="1"/>
    <n v="0.18"/>
    <n v="0.2424"/>
    <n v="0.59"/>
    <n v="0"/>
    <n v="0"/>
    <n v="68"/>
    <n v="68"/>
    <x v="0"/>
    <s v="Spring"/>
    <x v="0"/>
    <x v="6"/>
    <n v="2011"/>
    <d v="2011-02-13T00:00:00"/>
    <x v="1"/>
  </r>
  <r>
    <n v="322"/>
    <x v="13"/>
    <n v="1"/>
    <n v="0"/>
    <n v="1"/>
    <x v="21"/>
    <b v="0"/>
    <n v="5"/>
    <n v="1"/>
    <n v="0.16"/>
    <n v="0.2273"/>
    <n v="0.69"/>
    <n v="0"/>
    <n v="4"/>
    <n v="48"/>
    <n v="52"/>
    <x v="0"/>
    <s v="Spring"/>
    <x v="0"/>
    <x v="6"/>
    <n v="2011"/>
    <d v="2011-02-13T00:00:00"/>
    <x v="1"/>
  </r>
  <r>
    <n v="323"/>
    <x v="13"/>
    <n v="1"/>
    <n v="0"/>
    <n v="1"/>
    <x v="22"/>
    <b v="0"/>
    <n v="5"/>
    <n v="2"/>
    <n v="0.16"/>
    <n v="0.2273"/>
    <n v="0.69"/>
    <n v="0"/>
    <n v="2"/>
    <n v="34"/>
    <n v="36"/>
    <x v="0"/>
    <s v="Spring"/>
    <x v="1"/>
    <x v="6"/>
    <n v="2011"/>
    <d v="2011-02-13T00:00:00"/>
    <x v="1"/>
  </r>
  <r>
    <n v="324"/>
    <x v="13"/>
    <n v="1"/>
    <n v="0"/>
    <n v="1"/>
    <x v="23"/>
    <b v="0"/>
    <n v="5"/>
    <n v="2"/>
    <n v="0.18"/>
    <n v="0.2424"/>
    <n v="0.55000000000000004"/>
    <n v="0"/>
    <n v="1"/>
    <n v="26"/>
    <n v="27"/>
    <x v="0"/>
    <s v="Spring"/>
    <x v="1"/>
    <x v="6"/>
    <n v="2011"/>
    <d v="2011-02-13T00:00:00"/>
    <x v="1"/>
  </r>
  <r>
    <n v="325"/>
    <x v="14"/>
    <n v="1"/>
    <n v="0"/>
    <n v="1"/>
    <x v="0"/>
    <b v="0"/>
    <n v="6"/>
    <n v="1"/>
    <n v="0.18"/>
    <n v="0.2424"/>
    <n v="0.55000000000000004"/>
    <n v="0"/>
    <n v="3"/>
    <n v="25"/>
    <n v="28"/>
    <x v="0"/>
    <s v="Spring"/>
    <x v="0"/>
    <x v="0"/>
    <n v="2011"/>
    <d v="2011-02-13T00:00:00"/>
    <x v="0"/>
  </r>
  <r>
    <n v="326"/>
    <x v="14"/>
    <n v="1"/>
    <n v="0"/>
    <n v="1"/>
    <x v="1"/>
    <b v="0"/>
    <n v="6"/>
    <n v="2"/>
    <n v="0.16"/>
    <n v="0.19700000000000001"/>
    <n v="0.59"/>
    <n v="8.9599999999999999E-2"/>
    <n v="2"/>
    <n v="18"/>
    <n v="20"/>
    <x v="0"/>
    <s v="Spring"/>
    <x v="1"/>
    <x v="0"/>
    <n v="2011"/>
    <d v="2011-02-13T00:00:00"/>
    <x v="0"/>
  </r>
  <r>
    <n v="327"/>
    <x v="14"/>
    <n v="1"/>
    <n v="0"/>
    <n v="1"/>
    <x v="2"/>
    <b v="0"/>
    <n v="6"/>
    <n v="2"/>
    <n v="0.16"/>
    <n v="0.19700000000000001"/>
    <n v="0.59"/>
    <n v="8.9599999999999999E-2"/>
    <n v="0"/>
    <n v="12"/>
    <n v="12"/>
    <x v="0"/>
    <s v="Spring"/>
    <x v="1"/>
    <x v="0"/>
    <n v="2011"/>
    <d v="2011-02-13T00:00:00"/>
    <x v="0"/>
  </r>
  <r>
    <n v="328"/>
    <x v="14"/>
    <n v="1"/>
    <n v="0"/>
    <n v="1"/>
    <x v="3"/>
    <b v="0"/>
    <n v="6"/>
    <n v="2"/>
    <n v="0.16"/>
    <n v="0.2273"/>
    <n v="0.59"/>
    <n v="0"/>
    <n v="1"/>
    <n v="7"/>
    <n v="8"/>
    <x v="0"/>
    <s v="Spring"/>
    <x v="1"/>
    <x v="0"/>
    <n v="2011"/>
    <d v="2011-02-13T00:00:00"/>
    <x v="0"/>
  </r>
  <r>
    <n v="329"/>
    <x v="14"/>
    <n v="1"/>
    <n v="0"/>
    <n v="1"/>
    <x v="4"/>
    <b v="0"/>
    <n v="6"/>
    <n v="2"/>
    <n v="0.16"/>
    <n v="0.2273"/>
    <n v="0.59"/>
    <n v="0"/>
    <n v="0"/>
    <n v="5"/>
    <n v="5"/>
    <x v="0"/>
    <s v="Spring"/>
    <x v="1"/>
    <x v="0"/>
    <n v="2011"/>
    <d v="2011-02-13T00:00:00"/>
    <x v="0"/>
  </r>
  <r>
    <n v="330"/>
    <x v="14"/>
    <n v="1"/>
    <n v="0"/>
    <n v="1"/>
    <x v="5"/>
    <b v="0"/>
    <n v="6"/>
    <n v="1"/>
    <n v="0.16"/>
    <n v="0.2273"/>
    <n v="0.59"/>
    <n v="0"/>
    <n v="0"/>
    <n v="1"/>
    <n v="1"/>
    <x v="0"/>
    <s v="Spring"/>
    <x v="0"/>
    <x v="0"/>
    <n v="2011"/>
    <d v="2011-02-13T00:00:00"/>
    <x v="0"/>
  </r>
  <r>
    <n v="331"/>
    <x v="14"/>
    <n v="1"/>
    <n v="0"/>
    <n v="1"/>
    <x v="6"/>
    <b v="0"/>
    <n v="6"/>
    <n v="1"/>
    <n v="0.14000000000000001"/>
    <n v="0.16669999999999999"/>
    <n v="0.63"/>
    <n v="0.1045"/>
    <n v="1"/>
    <n v="2"/>
    <n v="3"/>
    <x v="0"/>
    <s v="Spring"/>
    <x v="0"/>
    <x v="0"/>
    <n v="2011"/>
    <d v="2011-02-13T00:00:00"/>
    <x v="0"/>
  </r>
  <r>
    <n v="332"/>
    <x v="14"/>
    <n v="1"/>
    <n v="0"/>
    <n v="1"/>
    <x v="7"/>
    <b v="0"/>
    <n v="6"/>
    <n v="1"/>
    <n v="0.14000000000000001"/>
    <n v="0.21210000000000001"/>
    <n v="0.63"/>
    <n v="0"/>
    <n v="1"/>
    <n v="9"/>
    <n v="10"/>
    <x v="0"/>
    <s v="Spring"/>
    <x v="0"/>
    <x v="0"/>
    <n v="2011"/>
    <d v="2011-02-13T00:00:00"/>
    <x v="0"/>
  </r>
  <r>
    <n v="333"/>
    <x v="14"/>
    <n v="1"/>
    <n v="0"/>
    <n v="1"/>
    <x v="8"/>
    <b v="0"/>
    <n v="6"/>
    <n v="1"/>
    <n v="0.14000000000000001"/>
    <n v="0.1515"/>
    <n v="0.63"/>
    <n v="0.1343"/>
    <n v="1"/>
    <n v="22"/>
    <n v="23"/>
    <x v="0"/>
    <s v="Spring"/>
    <x v="0"/>
    <x v="0"/>
    <n v="2011"/>
    <d v="2011-02-13T00:00:00"/>
    <x v="0"/>
  </r>
  <r>
    <n v="334"/>
    <x v="14"/>
    <n v="1"/>
    <n v="0"/>
    <n v="1"/>
    <x v="9"/>
    <b v="0"/>
    <n v="6"/>
    <n v="1"/>
    <n v="0.16"/>
    <n v="0.18179999999999999"/>
    <n v="0.64"/>
    <n v="0.1343"/>
    <n v="2"/>
    <n v="31"/>
    <n v="33"/>
    <x v="0"/>
    <s v="Spring"/>
    <x v="0"/>
    <x v="0"/>
    <n v="2011"/>
    <d v="2011-02-13T00:00:00"/>
    <x v="0"/>
  </r>
  <r>
    <n v="335"/>
    <x v="14"/>
    <n v="1"/>
    <n v="0"/>
    <n v="1"/>
    <x v="10"/>
    <b v="0"/>
    <n v="6"/>
    <n v="1"/>
    <n v="0.18"/>
    <n v="0.19700000000000001"/>
    <n v="0.59"/>
    <n v="0.16420000000000001"/>
    <n v="2"/>
    <n v="57"/>
    <n v="59"/>
    <x v="0"/>
    <s v="Spring"/>
    <x v="0"/>
    <x v="0"/>
    <n v="2011"/>
    <d v="2011-02-13T00:00:00"/>
    <x v="0"/>
  </r>
  <r>
    <n v="336"/>
    <x v="14"/>
    <n v="1"/>
    <n v="0"/>
    <n v="1"/>
    <x v="11"/>
    <b v="0"/>
    <n v="6"/>
    <n v="1"/>
    <n v="0.2"/>
    <n v="0.19700000000000001"/>
    <n v="0.55000000000000004"/>
    <n v="0.22389999999999999"/>
    <n v="18"/>
    <n v="54"/>
    <n v="72"/>
    <x v="0"/>
    <s v="Spring"/>
    <x v="0"/>
    <x v="0"/>
    <n v="2011"/>
    <d v="2011-02-13T00:00:00"/>
    <x v="0"/>
  </r>
  <r>
    <n v="337"/>
    <x v="14"/>
    <n v="1"/>
    <n v="0"/>
    <n v="1"/>
    <x v="12"/>
    <b v="0"/>
    <n v="6"/>
    <n v="1"/>
    <n v="0.24"/>
    <n v="0.2273"/>
    <n v="0.48"/>
    <n v="0.22389999999999999"/>
    <n v="15"/>
    <n v="74"/>
    <n v="89"/>
    <x v="0"/>
    <s v="Spring"/>
    <x v="0"/>
    <x v="0"/>
    <n v="2011"/>
    <d v="2011-02-13T00:00:00"/>
    <x v="0"/>
  </r>
  <r>
    <n v="338"/>
    <x v="14"/>
    <n v="1"/>
    <n v="0"/>
    <n v="1"/>
    <x v="13"/>
    <b v="0"/>
    <n v="6"/>
    <n v="1"/>
    <n v="0.28000000000000003"/>
    <n v="0.2576"/>
    <n v="0.38"/>
    <n v="0.29849999999999999"/>
    <n v="21"/>
    <n v="80"/>
    <n v="101"/>
    <x v="0"/>
    <s v="Spring"/>
    <x v="0"/>
    <x v="0"/>
    <n v="2011"/>
    <d v="2011-02-13T00:00:00"/>
    <x v="0"/>
  </r>
  <r>
    <n v="339"/>
    <x v="14"/>
    <n v="1"/>
    <n v="0"/>
    <n v="1"/>
    <x v="14"/>
    <b v="0"/>
    <n v="6"/>
    <n v="1"/>
    <n v="0.3"/>
    <n v="0.28789999999999999"/>
    <n v="0.39"/>
    <n v="0.28360000000000002"/>
    <n v="26"/>
    <n v="92"/>
    <n v="118"/>
    <x v="0"/>
    <s v="Spring"/>
    <x v="0"/>
    <x v="0"/>
    <n v="2011"/>
    <d v="2011-02-13T00:00:00"/>
    <x v="0"/>
  </r>
  <r>
    <n v="340"/>
    <x v="14"/>
    <n v="1"/>
    <n v="0"/>
    <n v="1"/>
    <x v="15"/>
    <b v="0"/>
    <n v="6"/>
    <n v="2"/>
    <n v="0.32"/>
    <n v="0.31819999999999998"/>
    <n v="0.36"/>
    <n v="0.19400000000000001"/>
    <n v="21"/>
    <n v="108"/>
    <n v="129"/>
    <x v="0"/>
    <s v="Spring"/>
    <x v="1"/>
    <x v="0"/>
    <n v="2011"/>
    <d v="2011-02-13T00:00:00"/>
    <x v="0"/>
  </r>
  <r>
    <n v="341"/>
    <x v="14"/>
    <n v="1"/>
    <n v="0"/>
    <n v="1"/>
    <x v="16"/>
    <b v="0"/>
    <n v="6"/>
    <n v="2"/>
    <n v="0.34"/>
    <n v="0.33329999999999999"/>
    <n v="0.34"/>
    <n v="0.19400000000000001"/>
    <n v="33"/>
    <n v="95"/>
    <n v="128"/>
    <x v="0"/>
    <s v="Spring"/>
    <x v="1"/>
    <x v="0"/>
    <n v="2011"/>
    <d v="2011-02-13T00:00:00"/>
    <x v="0"/>
  </r>
  <r>
    <n v="342"/>
    <x v="14"/>
    <n v="1"/>
    <n v="0"/>
    <n v="1"/>
    <x v="17"/>
    <b v="0"/>
    <n v="6"/>
    <n v="2"/>
    <n v="0.32"/>
    <n v="0.30299999999999999"/>
    <n v="0.36"/>
    <n v="0.28360000000000002"/>
    <n v="29"/>
    <n v="54"/>
    <n v="83"/>
    <x v="0"/>
    <s v="Spring"/>
    <x v="1"/>
    <x v="0"/>
    <n v="2011"/>
    <d v="2011-02-13T00:00:00"/>
    <x v="0"/>
  </r>
  <r>
    <n v="343"/>
    <x v="14"/>
    <n v="1"/>
    <n v="0"/>
    <n v="1"/>
    <x v="18"/>
    <b v="0"/>
    <n v="6"/>
    <n v="2"/>
    <n v="0.3"/>
    <n v="0.28789999999999999"/>
    <n v="0.45"/>
    <n v="0.25369999999999998"/>
    <n v="15"/>
    <n v="69"/>
    <n v="84"/>
    <x v="0"/>
    <s v="Spring"/>
    <x v="1"/>
    <x v="0"/>
    <n v="2011"/>
    <d v="2011-02-13T00:00:00"/>
    <x v="0"/>
  </r>
  <r>
    <n v="344"/>
    <x v="14"/>
    <n v="1"/>
    <n v="0"/>
    <n v="1"/>
    <x v="19"/>
    <b v="0"/>
    <n v="6"/>
    <n v="2"/>
    <n v="0.32"/>
    <n v="0.30299999999999999"/>
    <n v="0.39"/>
    <n v="0.25369999999999998"/>
    <n v="14"/>
    <n v="60"/>
    <n v="74"/>
    <x v="0"/>
    <s v="Spring"/>
    <x v="1"/>
    <x v="0"/>
    <n v="2011"/>
    <d v="2011-02-13T00:00:00"/>
    <x v="0"/>
  </r>
  <r>
    <n v="345"/>
    <x v="14"/>
    <n v="1"/>
    <n v="0"/>
    <n v="1"/>
    <x v="20"/>
    <b v="0"/>
    <n v="6"/>
    <n v="2"/>
    <n v="0.32"/>
    <n v="0.30299999999999999"/>
    <n v="0.39"/>
    <n v="0.25369999999999998"/>
    <n v="6"/>
    <n v="35"/>
    <n v="41"/>
    <x v="0"/>
    <s v="Spring"/>
    <x v="1"/>
    <x v="0"/>
    <n v="2011"/>
    <d v="2011-02-13T00:00:00"/>
    <x v="0"/>
  </r>
  <r>
    <n v="346"/>
    <x v="14"/>
    <n v="1"/>
    <n v="0"/>
    <n v="1"/>
    <x v="21"/>
    <b v="0"/>
    <n v="6"/>
    <n v="2"/>
    <n v="0.32"/>
    <n v="0.30299999999999999"/>
    <n v="0.39"/>
    <n v="0.22389999999999999"/>
    <n v="6"/>
    <n v="51"/>
    <n v="57"/>
    <x v="0"/>
    <s v="Spring"/>
    <x v="1"/>
    <x v="0"/>
    <n v="2011"/>
    <d v="2011-02-13T00:00:00"/>
    <x v="0"/>
  </r>
  <r>
    <n v="347"/>
    <x v="14"/>
    <n v="1"/>
    <n v="0"/>
    <n v="1"/>
    <x v="22"/>
    <b v="0"/>
    <n v="6"/>
    <n v="2"/>
    <n v="0.3"/>
    <n v="0.31819999999999998"/>
    <n v="0.42"/>
    <n v="0.1045"/>
    <n v="0"/>
    <n v="26"/>
    <n v="26"/>
    <x v="0"/>
    <s v="Spring"/>
    <x v="1"/>
    <x v="0"/>
    <n v="2011"/>
    <d v="2011-02-13T00:00:00"/>
    <x v="0"/>
  </r>
  <r>
    <n v="348"/>
    <x v="14"/>
    <n v="1"/>
    <n v="0"/>
    <n v="1"/>
    <x v="23"/>
    <b v="0"/>
    <n v="6"/>
    <n v="1"/>
    <n v="0.3"/>
    <n v="0.28789999999999999"/>
    <n v="0.45"/>
    <n v="0.28360000000000002"/>
    <n v="5"/>
    <n v="39"/>
    <n v="44"/>
    <x v="0"/>
    <s v="Spring"/>
    <x v="0"/>
    <x v="0"/>
    <n v="2011"/>
    <d v="2011-02-13T00:00:00"/>
    <x v="0"/>
  </r>
  <r>
    <n v="349"/>
    <x v="15"/>
    <n v="1"/>
    <n v="0"/>
    <n v="1"/>
    <x v="0"/>
    <b v="0"/>
    <n v="0"/>
    <n v="1"/>
    <n v="0.26"/>
    <n v="0.30299999999999999"/>
    <n v="0.56000000000000005"/>
    <n v="0"/>
    <n v="6"/>
    <n v="33"/>
    <n v="39"/>
    <x v="0"/>
    <s v="Spring"/>
    <x v="0"/>
    <x v="1"/>
    <n v="2011"/>
    <d v="2011-02-13T00:00:00"/>
    <x v="0"/>
  </r>
  <r>
    <n v="350"/>
    <x v="15"/>
    <n v="1"/>
    <n v="0"/>
    <n v="1"/>
    <x v="1"/>
    <b v="0"/>
    <n v="0"/>
    <n v="1"/>
    <n v="0.26"/>
    <n v="0.2727"/>
    <n v="0.56000000000000005"/>
    <n v="0.1343"/>
    <n v="4"/>
    <n v="19"/>
    <n v="23"/>
    <x v="0"/>
    <s v="Spring"/>
    <x v="0"/>
    <x v="1"/>
    <n v="2011"/>
    <d v="2011-02-13T00:00:00"/>
    <x v="0"/>
  </r>
  <r>
    <n v="351"/>
    <x v="15"/>
    <n v="1"/>
    <n v="0"/>
    <n v="1"/>
    <x v="2"/>
    <b v="0"/>
    <n v="0"/>
    <n v="1"/>
    <n v="0.26"/>
    <n v="0.28789999999999999"/>
    <n v="0.56000000000000005"/>
    <n v="8.9599999999999999E-2"/>
    <n v="3"/>
    <n v="13"/>
    <n v="16"/>
    <x v="0"/>
    <s v="Spring"/>
    <x v="0"/>
    <x v="1"/>
    <n v="2011"/>
    <d v="2011-02-13T00:00:00"/>
    <x v="0"/>
  </r>
  <r>
    <n v="352"/>
    <x v="15"/>
    <n v="1"/>
    <n v="0"/>
    <n v="1"/>
    <x v="3"/>
    <b v="0"/>
    <n v="0"/>
    <n v="1"/>
    <n v="0.22"/>
    <n v="0.2727"/>
    <n v="0.69"/>
    <n v="0"/>
    <n v="9"/>
    <n v="6"/>
    <n v="15"/>
    <x v="0"/>
    <s v="Spring"/>
    <x v="0"/>
    <x v="1"/>
    <n v="2011"/>
    <d v="2011-02-13T00:00:00"/>
    <x v="0"/>
  </r>
  <r>
    <n v="353"/>
    <x v="15"/>
    <n v="1"/>
    <n v="0"/>
    <n v="1"/>
    <x v="4"/>
    <b v="0"/>
    <n v="0"/>
    <n v="1"/>
    <n v="0.26"/>
    <n v="0.2576"/>
    <n v="0.56000000000000005"/>
    <n v="0.16420000000000001"/>
    <n v="0"/>
    <n v="1"/>
    <n v="1"/>
    <x v="0"/>
    <s v="Spring"/>
    <x v="0"/>
    <x v="1"/>
    <n v="2011"/>
    <d v="2011-02-13T00:00:00"/>
    <x v="0"/>
  </r>
  <r>
    <n v="354"/>
    <x v="15"/>
    <n v="1"/>
    <n v="0"/>
    <n v="1"/>
    <x v="5"/>
    <b v="0"/>
    <n v="0"/>
    <n v="2"/>
    <n v="0.26"/>
    <n v="0.2576"/>
    <n v="0.56000000000000005"/>
    <n v="0.16420000000000001"/>
    <n v="1"/>
    <n v="1"/>
    <n v="2"/>
    <x v="0"/>
    <s v="Spring"/>
    <x v="1"/>
    <x v="1"/>
    <n v="2011"/>
    <d v="2011-02-13T00:00:00"/>
    <x v="0"/>
  </r>
  <r>
    <n v="355"/>
    <x v="15"/>
    <n v="1"/>
    <n v="0"/>
    <n v="1"/>
    <x v="6"/>
    <b v="0"/>
    <n v="0"/>
    <n v="2"/>
    <n v="0.26"/>
    <n v="0.2576"/>
    <n v="0.56000000000000005"/>
    <n v="0.16420000000000001"/>
    <n v="0"/>
    <n v="1"/>
    <n v="1"/>
    <x v="0"/>
    <s v="Spring"/>
    <x v="1"/>
    <x v="1"/>
    <n v="2011"/>
    <d v="2011-02-13T00:00:00"/>
    <x v="0"/>
  </r>
  <r>
    <n v="356"/>
    <x v="15"/>
    <n v="1"/>
    <n v="0"/>
    <n v="1"/>
    <x v="7"/>
    <b v="0"/>
    <n v="0"/>
    <n v="2"/>
    <n v="0.24"/>
    <n v="0.21210000000000001"/>
    <n v="0.56000000000000005"/>
    <n v="0.29849999999999999"/>
    <n v="0"/>
    <n v="3"/>
    <n v="3"/>
    <x v="0"/>
    <s v="Spring"/>
    <x v="1"/>
    <x v="1"/>
    <n v="2011"/>
    <d v="2011-02-13T00:00:00"/>
    <x v="0"/>
  </r>
  <r>
    <n v="357"/>
    <x v="15"/>
    <n v="1"/>
    <n v="0"/>
    <n v="1"/>
    <x v="8"/>
    <b v="0"/>
    <n v="0"/>
    <n v="1"/>
    <n v="0.22"/>
    <n v="0.21210000000000001"/>
    <n v="0.55000000000000004"/>
    <n v="0.28360000000000002"/>
    <n v="0"/>
    <n v="18"/>
    <n v="18"/>
    <x v="0"/>
    <s v="Spring"/>
    <x v="0"/>
    <x v="1"/>
    <n v="2011"/>
    <d v="2011-02-13T00:00:00"/>
    <x v="0"/>
  </r>
  <r>
    <n v="358"/>
    <x v="15"/>
    <n v="1"/>
    <n v="0"/>
    <n v="1"/>
    <x v="9"/>
    <b v="0"/>
    <n v="0"/>
    <n v="1"/>
    <n v="0.22"/>
    <n v="0.21210000000000001"/>
    <n v="0.51"/>
    <n v="0.25369999999999998"/>
    <n v="3"/>
    <n v="29"/>
    <n v="32"/>
    <x v="0"/>
    <s v="Spring"/>
    <x v="0"/>
    <x v="1"/>
    <n v="2011"/>
    <d v="2011-02-13T00:00:00"/>
    <x v="0"/>
  </r>
  <r>
    <n v="359"/>
    <x v="15"/>
    <n v="1"/>
    <n v="0"/>
    <n v="1"/>
    <x v="10"/>
    <b v="0"/>
    <n v="0"/>
    <n v="1"/>
    <n v="0.22"/>
    <n v="0.21210000000000001"/>
    <n v="0.51"/>
    <n v="0.28360000000000002"/>
    <n v="8"/>
    <n v="71"/>
    <n v="79"/>
    <x v="0"/>
    <s v="Spring"/>
    <x v="0"/>
    <x v="1"/>
    <n v="2011"/>
    <d v="2011-02-13T00:00:00"/>
    <x v="0"/>
  </r>
  <r>
    <n v="360"/>
    <x v="15"/>
    <n v="1"/>
    <n v="0"/>
    <n v="1"/>
    <x v="11"/>
    <b v="0"/>
    <n v="0"/>
    <n v="1"/>
    <n v="0.24"/>
    <n v="0.2273"/>
    <n v="0.44"/>
    <n v="0.25369999999999998"/>
    <n v="23"/>
    <n v="70"/>
    <n v="93"/>
    <x v="0"/>
    <s v="Spring"/>
    <x v="0"/>
    <x v="1"/>
    <n v="2011"/>
    <d v="2011-02-13T00:00:00"/>
    <x v="0"/>
  </r>
  <r>
    <n v="361"/>
    <x v="15"/>
    <n v="1"/>
    <n v="0"/>
    <n v="1"/>
    <x v="12"/>
    <b v="0"/>
    <n v="0"/>
    <n v="1"/>
    <n v="0.24"/>
    <n v="0.21210000000000001"/>
    <n v="0.41"/>
    <n v="0.28360000000000002"/>
    <n v="29"/>
    <n v="75"/>
    <n v="104"/>
    <x v="0"/>
    <s v="Spring"/>
    <x v="0"/>
    <x v="1"/>
    <n v="2011"/>
    <d v="2011-02-13T00:00:00"/>
    <x v="0"/>
  </r>
  <r>
    <n v="362"/>
    <x v="15"/>
    <n v="1"/>
    <n v="0"/>
    <n v="1"/>
    <x v="13"/>
    <b v="0"/>
    <n v="0"/>
    <n v="1"/>
    <n v="0.26"/>
    <n v="0.2273"/>
    <n v="0.35"/>
    <n v="0.29849999999999999"/>
    <n v="23"/>
    <n v="95"/>
    <n v="118"/>
    <x v="0"/>
    <s v="Spring"/>
    <x v="0"/>
    <x v="1"/>
    <n v="2011"/>
    <d v="2011-02-13T00:00:00"/>
    <x v="0"/>
  </r>
  <r>
    <n v="363"/>
    <x v="15"/>
    <n v="1"/>
    <n v="0"/>
    <n v="1"/>
    <x v="14"/>
    <b v="0"/>
    <n v="0"/>
    <n v="1"/>
    <n v="0.28000000000000003"/>
    <n v="0.2727"/>
    <n v="0.36"/>
    <n v="0.25369999999999998"/>
    <n v="22"/>
    <n v="69"/>
    <n v="91"/>
    <x v="0"/>
    <s v="Spring"/>
    <x v="0"/>
    <x v="1"/>
    <n v="2011"/>
    <d v="2011-02-13T00:00:00"/>
    <x v="0"/>
  </r>
  <r>
    <n v="364"/>
    <x v="15"/>
    <n v="1"/>
    <n v="0"/>
    <n v="1"/>
    <x v="15"/>
    <b v="0"/>
    <n v="0"/>
    <n v="1"/>
    <n v="0.26"/>
    <n v="0.2424"/>
    <n v="0.38"/>
    <n v="0.25369999999999998"/>
    <n v="35"/>
    <n v="78"/>
    <n v="113"/>
    <x v="0"/>
    <s v="Spring"/>
    <x v="0"/>
    <x v="1"/>
    <n v="2011"/>
    <d v="2011-02-13T00:00:00"/>
    <x v="0"/>
  </r>
  <r>
    <n v="365"/>
    <x v="15"/>
    <n v="1"/>
    <n v="0"/>
    <n v="1"/>
    <x v="16"/>
    <b v="0"/>
    <n v="0"/>
    <n v="1"/>
    <n v="0.24"/>
    <n v="0.2273"/>
    <n v="0.38"/>
    <n v="0.22389999999999999"/>
    <n v="22"/>
    <n v="77"/>
    <n v="99"/>
    <x v="0"/>
    <s v="Spring"/>
    <x v="0"/>
    <x v="1"/>
    <n v="2011"/>
    <d v="2011-02-13T00:00:00"/>
    <x v="0"/>
  </r>
  <r>
    <n v="366"/>
    <x v="15"/>
    <n v="1"/>
    <n v="0"/>
    <n v="1"/>
    <x v="17"/>
    <b v="0"/>
    <n v="0"/>
    <n v="1"/>
    <n v="0.22"/>
    <n v="0.21210000000000001"/>
    <n v="0.37"/>
    <n v="0.25369999999999998"/>
    <n v="23"/>
    <n v="82"/>
    <n v="105"/>
    <x v="0"/>
    <s v="Spring"/>
    <x v="0"/>
    <x v="1"/>
    <n v="2011"/>
    <d v="2011-02-13T00:00:00"/>
    <x v="0"/>
  </r>
  <r>
    <n v="367"/>
    <x v="15"/>
    <n v="1"/>
    <n v="0"/>
    <n v="1"/>
    <x v="18"/>
    <b v="0"/>
    <n v="0"/>
    <n v="1"/>
    <n v="0.2"/>
    <n v="0.21210000000000001"/>
    <n v="0.4"/>
    <n v="0.16420000000000001"/>
    <n v="11"/>
    <n v="56"/>
    <n v="67"/>
    <x v="0"/>
    <s v="Spring"/>
    <x v="0"/>
    <x v="1"/>
    <n v="2011"/>
    <d v="2011-02-13T00:00:00"/>
    <x v="0"/>
  </r>
  <r>
    <n v="368"/>
    <x v="15"/>
    <n v="1"/>
    <n v="0"/>
    <n v="1"/>
    <x v="19"/>
    <b v="0"/>
    <n v="0"/>
    <n v="1"/>
    <n v="0.18"/>
    <n v="0.19700000000000001"/>
    <n v="0.47"/>
    <n v="0.1343"/>
    <n v="14"/>
    <n v="47"/>
    <n v="61"/>
    <x v="0"/>
    <s v="Spring"/>
    <x v="0"/>
    <x v="1"/>
    <n v="2011"/>
    <d v="2011-02-13T00:00:00"/>
    <x v="0"/>
  </r>
  <r>
    <n v="369"/>
    <x v="15"/>
    <n v="1"/>
    <n v="0"/>
    <n v="1"/>
    <x v="20"/>
    <b v="0"/>
    <n v="0"/>
    <n v="1"/>
    <n v="0.18"/>
    <n v="0.19700000000000001"/>
    <n v="0.47"/>
    <n v="0.16420000000000001"/>
    <n v="7"/>
    <n v="50"/>
    <n v="57"/>
    <x v="0"/>
    <s v="Spring"/>
    <x v="0"/>
    <x v="1"/>
    <n v="2011"/>
    <d v="2011-02-13T00:00:00"/>
    <x v="0"/>
  </r>
  <r>
    <n v="370"/>
    <x v="15"/>
    <n v="1"/>
    <n v="0"/>
    <n v="1"/>
    <x v="21"/>
    <b v="0"/>
    <n v="0"/>
    <n v="1"/>
    <n v="0.18"/>
    <n v="0.19700000000000001"/>
    <n v="0.51"/>
    <n v="0.16420000000000001"/>
    <n v="6"/>
    <n v="22"/>
    <n v="28"/>
    <x v="0"/>
    <s v="Spring"/>
    <x v="0"/>
    <x v="1"/>
    <n v="2011"/>
    <d v="2011-02-13T00:00:00"/>
    <x v="0"/>
  </r>
  <r>
    <n v="371"/>
    <x v="15"/>
    <n v="1"/>
    <n v="0"/>
    <n v="1"/>
    <x v="22"/>
    <b v="0"/>
    <n v="0"/>
    <n v="2"/>
    <n v="0.2"/>
    <n v="0.21210000000000001"/>
    <n v="0.49"/>
    <n v="0.1343"/>
    <n v="2"/>
    <n v="19"/>
    <n v="21"/>
    <x v="0"/>
    <s v="Spring"/>
    <x v="1"/>
    <x v="1"/>
    <n v="2011"/>
    <d v="2011-02-13T00:00:00"/>
    <x v="0"/>
  </r>
  <r>
    <n v="372"/>
    <x v="15"/>
    <n v="1"/>
    <n v="0"/>
    <n v="1"/>
    <x v="23"/>
    <b v="0"/>
    <n v="0"/>
    <n v="2"/>
    <n v="0.2"/>
    <n v="0.2273"/>
    <n v="0.4"/>
    <n v="0.1045"/>
    <n v="0"/>
    <n v="18"/>
    <n v="18"/>
    <x v="0"/>
    <s v="Spring"/>
    <x v="1"/>
    <x v="1"/>
    <n v="2011"/>
    <d v="2011-02-13T00:00:00"/>
    <x v="0"/>
  </r>
  <r>
    <n v="373"/>
    <x v="16"/>
    <n v="1"/>
    <n v="0"/>
    <n v="1"/>
    <x v="0"/>
    <b v="1"/>
    <n v="1"/>
    <n v="2"/>
    <n v="0.2"/>
    <n v="0.19700000000000001"/>
    <n v="0.47"/>
    <n v="0.22389999999999999"/>
    <n v="1"/>
    <n v="16"/>
    <n v="17"/>
    <x v="0"/>
    <s v="Spring"/>
    <x v="1"/>
    <x v="2"/>
    <n v="2011"/>
    <n v="40587"/>
    <x v="2"/>
  </r>
  <r>
    <n v="374"/>
    <x v="16"/>
    <n v="1"/>
    <n v="0"/>
    <n v="1"/>
    <x v="1"/>
    <b v="1"/>
    <n v="1"/>
    <n v="2"/>
    <n v="0.2"/>
    <n v="0.19700000000000001"/>
    <n v="0.44"/>
    <n v="0.19400000000000001"/>
    <n v="1"/>
    <n v="15"/>
    <n v="16"/>
    <x v="0"/>
    <s v="Spring"/>
    <x v="1"/>
    <x v="2"/>
    <n v="2011"/>
    <n v="40587"/>
    <x v="2"/>
  </r>
  <r>
    <n v="375"/>
    <x v="16"/>
    <n v="1"/>
    <n v="0"/>
    <n v="1"/>
    <x v="2"/>
    <b v="1"/>
    <n v="1"/>
    <n v="2"/>
    <n v="0.18"/>
    <n v="0.16669999999999999"/>
    <n v="0.43"/>
    <n v="0.25369999999999998"/>
    <n v="0"/>
    <n v="8"/>
    <n v="8"/>
    <x v="0"/>
    <s v="Spring"/>
    <x v="1"/>
    <x v="2"/>
    <n v="2011"/>
    <n v="40587"/>
    <x v="2"/>
  </r>
  <r>
    <n v="376"/>
    <x v="16"/>
    <n v="1"/>
    <n v="0"/>
    <n v="1"/>
    <x v="3"/>
    <b v="1"/>
    <n v="1"/>
    <n v="2"/>
    <n v="0.18"/>
    <n v="0.18179999999999999"/>
    <n v="0.43"/>
    <n v="0.19400000000000001"/>
    <n v="0"/>
    <n v="2"/>
    <n v="2"/>
    <x v="0"/>
    <s v="Spring"/>
    <x v="1"/>
    <x v="2"/>
    <n v="2011"/>
    <n v="40587"/>
    <x v="2"/>
  </r>
  <r>
    <n v="377"/>
    <x v="16"/>
    <n v="1"/>
    <n v="0"/>
    <n v="1"/>
    <x v="4"/>
    <b v="1"/>
    <n v="1"/>
    <n v="2"/>
    <n v="0.18"/>
    <n v="0.19700000000000001"/>
    <n v="0.43"/>
    <n v="0.1343"/>
    <n v="1"/>
    <n v="2"/>
    <n v="3"/>
    <x v="0"/>
    <s v="Spring"/>
    <x v="1"/>
    <x v="2"/>
    <n v="2011"/>
    <n v="40587"/>
    <x v="2"/>
  </r>
  <r>
    <n v="378"/>
    <x v="16"/>
    <n v="1"/>
    <n v="0"/>
    <n v="1"/>
    <x v="5"/>
    <b v="1"/>
    <n v="1"/>
    <n v="2"/>
    <n v="0.18"/>
    <n v="0.19700000000000001"/>
    <n v="0.43"/>
    <n v="0.16420000000000001"/>
    <n v="0"/>
    <n v="1"/>
    <n v="1"/>
    <x v="0"/>
    <s v="Spring"/>
    <x v="1"/>
    <x v="2"/>
    <n v="2011"/>
    <n v="40587"/>
    <x v="2"/>
  </r>
  <r>
    <n v="379"/>
    <x v="16"/>
    <n v="1"/>
    <n v="0"/>
    <n v="1"/>
    <x v="6"/>
    <b v="1"/>
    <n v="1"/>
    <n v="2"/>
    <n v="0.18"/>
    <n v="0.18179999999999999"/>
    <n v="0.43"/>
    <n v="0.19400000000000001"/>
    <n v="0"/>
    <n v="5"/>
    <n v="5"/>
    <x v="0"/>
    <s v="Spring"/>
    <x v="1"/>
    <x v="2"/>
    <n v="2011"/>
    <n v="40587"/>
    <x v="2"/>
  </r>
  <r>
    <n v="380"/>
    <x v="16"/>
    <n v="1"/>
    <n v="0"/>
    <n v="1"/>
    <x v="7"/>
    <b v="1"/>
    <n v="1"/>
    <n v="2"/>
    <n v="0.16"/>
    <n v="0.18179999999999999"/>
    <n v="0.5"/>
    <n v="0.1343"/>
    <n v="4"/>
    <n v="9"/>
    <n v="13"/>
    <x v="0"/>
    <s v="Spring"/>
    <x v="1"/>
    <x v="2"/>
    <n v="2011"/>
    <n v="40587"/>
    <x v="2"/>
  </r>
  <r>
    <n v="381"/>
    <x v="16"/>
    <n v="1"/>
    <n v="0"/>
    <n v="1"/>
    <x v="8"/>
    <b v="1"/>
    <n v="1"/>
    <n v="2"/>
    <n v="0.16"/>
    <n v="0.1515"/>
    <n v="0.47"/>
    <n v="0.22389999999999999"/>
    <n v="3"/>
    <n v="30"/>
    <n v="33"/>
    <x v="0"/>
    <s v="Spring"/>
    <x v="1"/>
    <x v="2"/>
    <n v="2011"/>
    <n v="40587"/>
    <x v="2"/>
  </r>
  <r>
    <n v="382"/>
    <x v="16"/>
    <n v="1"/>
    <n v="0"/>
    <n v="1"/>
    <x v="9"/>
    <b v="1"/>
    <n v="1"/>
    <n v="2"/>
    <n v="0.16"/>
    <n v="0.1515"/>
    <n v="0.47"/>
    <n v="0.22389999999999999"/>
    <n v="8"/>
    <n v="39"/>
    <n v="47"/>
    <x v="0"/>
    <s v="Spring"/>
    <x v="1"/>
    <x v="2"/>
    <n v="2011"/>
    <n v="40587"/>
    <x v="2"/>
  </r>
  <r>
    <n v="383"/>
    <x v="16"/>
    <n v="1"/>
    <n v="0"/>
    <n v="1"/>
    <x v="10"/>
    <b v="1"/>
    <n v="1"/>
    <n v="2"/>
    <n v="0.16"/>
    <n v="0.1515"/>
    <n v="0.5"/>
    <n v="0.25369999999999998"/>
    <n v="7"/>
    <n v="50"/>
    <n v="57"/>
    <x v="0"/>
    <s v="Spring"/>
    <x v="1"/>
    <x v="2"/>
    <n v="2011"/>
    <n v="40587"/>
    <x v="2"/>
  </r>
  <r>
    <n v="384"/>
    <x v="16"/>
    <n v="1"/>
    <n v="0"/>
    <n v="1"/>
    <x v="11"/>
    <b v="1"/>
    <n v="1"/>
    <n v="2"/>
    <n v="0.16"/>
    <n v="0.1515"/>
    <n v="0.55000000000000004"/>
    <n v="0.19400000000000001"/>
    <n v="9"/>
    <n v="55"/>
    <n v="64"/>
    <x v="0"/>
    <s v="Spring"/>
    <x v="1"/>
    <x v="2"/>
    <n v="2011"/>
    <n v="40587"/>
    <x v="2"/>
  </r>
  <r>
    <n v="385"/>
    <x v="16"/>
    <n v="1"/>
    <n v="0"/>
    <n v="1"/>
    <x v="12"/>
    <b v="1"/>
    <n v="1"/>
    <n v="2"/>
    <n v="0.18"/>
    <n v="0.19700000000000001"/>
    <n v="0.47"/>
    <n v="0.1343"/>
    <n v="10"/>
    <n v="70"/>
    <n v="80"/>
    <x v="0"/>
    <s v="Spring"/>
    <x v="1"/>
    <x v="2"/>
    <n v="2011"/>
    <n v="40587"/>
    <x v="2"/>
  </r>
  <r>
    <n v="386"/>
    <x v="16"/>
    <n v="1"/>
    <n v="0"/>
    <n v="1"/>
    <x v="13"/>
    <b v="1"/>
    <n v="1"/>
    <n v="2"/>
    <n v="0.18"/>
    <n v="0.19700000000000001"/>
    <n v="0.47"/>
    <n v="0.1343"/>
    <n v="13"/>
    <n v="80"/>
    <n v="93"/>
    <x v="0"/>
    <s v="Spring"/>
    <x v="1"/>
    <x v="2"/>
    <n v="2011"/>
    <n v="40587"/>
    <x v="2"/>
  </r>
  <r>
    <n v="387"/>
    <x v="16"/>
    <n v="1"/>
    <n v="0"/>
    <n v="1"/>
    <x v="14"/>
    <b v="1"/>
    <n v="1"/>
    <n v="2"/>
    <n v="0.18"/>
    <n v="0.21210000000000001"/>
    <n v="0.43"/>
    <n v="0.1045"/>
    <n v="12"/>
    <n v="74"/>
    <n v="86"/>
    <x v="0"/>
    <s v="Spring"/>
    <x v="1"/>
    <x v="2"/>
    <n v="2011"/>
    <n v="40587"/>
    <x v="2"/>
  </r>
  <r>
    <n v="388"/>
    <x v="16"/>
    <n v="1"/>
    <n v="0"/>
    <n v="1"/>
    <x v="15"/>
    <b v="1"/>
    <n v="1"/>
    <n v="2"/>
    <n v="0.2"/>
    <n v="0.21210000000000001"/>
    <n v="0.47"/>
    <n v="0.16420000000000001"/>
    <n v="21"/>
    <n v="72"/>
    <n v="93"/>
    <x v="0"/>
    <s v="Spring"/>
    <x v="1"/>
    <x v="2"/>
    <n v="2011"/>
    <n v="40587"/>
    <x v="2"/>
  </r>
  <r>
    <n v="389"/>
    <x v="16"/>
    <n v="1"/>
    <n v="0"/>
    <n v="1"/>
    <x v="16"/>
    <b v="1"/>
    <n v="1"/>
    <n v="2"/>
    <n v="0.2"/>
    <n v="0.21210000000000001"/>
    <n v="0.47"/>
    <n v="0.16420000000000001"/>
    <n v="6"/>
    <n v="76"/>
    <n v="82"/>
    <x v="0"/>
    <s v="Spring"/>
    <x v="1"/>
    <x v="2"/>
    <n v="2011"/>
    <n v="40587"/>
    <x v="2"/>
  </r>
  <r>
    <n v="390"/>
    <x v="16"/>
    <n v="1"/>
    <n v="0"/>
    <n v="1"/>
    <x v="17"/>
    <b v="1"/>
    <n v="1"/>
    <n v="1"/>
    <n v="0.2"/>
    <n v="0.19700000000000001"/>
    <n v="0.51"/>
    <n v="0.19400000000000001"/>
    <n v="4"/>
    <n v="67"/>
    <n v="71"/>
    <x v="0"/>
    <s v="Spring"/>
    <x v="0"/>
    <x v="2"/>
    <n v="2011"/>
    <n v="40587"/>
    <x v="2"/>
  </r>
  <r>
    <n v="391"/>
    <x v="16"/>
    <n v="1"/>
    <n v="0"/>
    <n v="1"/>
    <x v="18"/>
    <b v="1"/>
    <n v="1"/>
    <n v="2"/>
    <n v="0.18"/>
    <n v="0.16669999999999999"/>
    <n v="0.55000000000000004"/>
    <n v="0.25369999999999998"/>
    <n v="7"/>
    <n v="85"/>
    <n v="92"/>
    <x v="0"/>
    <s v="Spring"/>
    <x v="1"/>
    <x v="2"/>
    <n v="2011"/>
    <n v="40587"/>
    <x v="2"/>
  </r>
  <r>
    <n v="392"/>
    <x v="16"/>
    <n v="1"/>
    <n v="0"/>
    <n v="1"/>
    <x v="19"/>
    <b v="1"/>
    <n v="1"/>
    <n v="3"/>
    <n v="0.18"/>
    <n v="0.18179999999999999"/>
    <n v="0.59"/>
    <n v="0.19400000000000001"/>
    <n v="2"/>
    <n v="58"/>
    <n v="60"/>
    <x v="0"/>
    <s v="Spring"/>
    <x v="2"/>
    <x v="2"/>
    <n v="2011"/>
    <n v="40587"/>
    <x v="2"/>
  </r>
  <r>
    <n v="393"/>
    <x v="16"/>
    <n v="1"/>
    <n v="0"/>
    <n v="1"/>
    <x v="20"/>
    <b v="1"/>
    <n v="1"/>
    <n v="3"/>
    <n v="0.16"/>
    <n v="0.1515"/>
    <n v="0.8"/>
    <n v="0.19400000000000001"/>
    <n v="4"/>
    <n v="29"/>
    <n v="33"/>
    <x v="0"/>
    <s v="Spring"/>
    <x v="2"/>
    <x v="2"/>
    <n v="2011"/>
    <n v="40587"/>
    <x v="2"/>
  </r>
  <r>
    <n v="394"/>
    <x v="16"/>
    <n v="1"/>
    <n v="0"/>
    <n v="1"/>
    <x v="21"/>
    <b v="1"/>
    <n v="1"/>
    <n v="3"/>
    <n v="0.16"/>
    <n v="0.1515"/>
    <n v="0.8"/>
    <n v="0.19400000000000001"/>
    <n v="3"/>
    <n v="24"/>
    <n v="27"/>
    <x v="0"/>
    <s v="Spring"/>
    <x v="2"/>
    <x v="2"/>
    <n v="2011"/>
    <n v="40587"/>
    <x v="2"/>
  </r>
  <r>
    <n v="395"/>
    <x v="16"/>
    <n v="1"/>
    <n v="0"/>
    <n v="1"/>
    <x v="22"/>
    <b v="1"/>
    <n v="1"/>
    <n v="3"/>
    <n v="0.14000000000000001"/>
    <n v="0.1212"/>
    <n v="0.93"/>
    <n v="0.25369999999999998"/>
    <n v="0"/>
    <n v="13"/>
    <n v="13"/>
    <x v="0"/>
    <s v="Spring"/>
    <x v="2"/>
    <x v="2"/>
    <n v="2011"/>
    <n v="40587"/>
    <x v="2"/>
  </r>
  <r>
    <n v="396"/>
    <x v="16"/>
    <n v="1"/>
    <n v="0"/>
    <n v="1"/>
    <x v="23"/>
    <b v="1"/>
    <n v="1"/>
    <n v="3"/>
    <n v="0.16"/>
    <n v="0.13639999999999999"/>
    <n v="0.86"/>
    <n v="0.28360000000000002"/>
    <n v="1"/>
    <n v="3"/>
    <n v="4"/>
    <x v="0"/>
    <s v="Spring"/>
    <x v="2"/>
    <x v="2"/>
    <n v="2011"/>
    <n v="40587"/>
    <x v="2"/>
  </r>
  <r>
    <n v="397"/>
    <x v="17"/>
    <n v="1"/>
    <n v="0"/>
    <n v="1"/>
    <x v="12"/>
    <b v="0"/>
    <n v="2"/>
    <n v="2"/>
    <n v="0.2"/>
    <n v="0.18179999999999999"/>
    <n v="0.86"/>
    <n v="0.32840000000000003"/>
    <n v="0"/>
    <n v="3"/>
    <n v="3"/>
    <x v="0"/>
    <s v="Spring"/>
    <x v="1"/>
    <x v="3"/>
    <n v="2011"/>
    <d v="2011-02-13T00:00:00"/>
    <x v="1"/>
  </r>
  <r>
    <n v="398"/>
    <x v="17"/>
    <n v="1"/>
    <n v="0"/>
    <n v="1"/>
    <x v="13"/>
    <b v="0"/>
    <n v="2"/>
    <n v="2"/>
    <n v="0.2"/>
    <n v="0.19700000000000001"/>
    <n v="0.86"/>
    <n v="0.22389999999999999"/>
    <n v="0"/>
    <n v="22"/>
    <n v="22"/>
    <x v="0"/>
    <s v="Spring"/>
    <x v="1"/>
    <x v="3"/>
    <n v="2011"/>
    <d v="2011-02-13T00:00:00"/>
    <x v="1"/>
  </r>
  <r>
    <n v="399"/>
    <x v="17"/>
    <n v="1"/>
    <n v="0"/>
    <n v="1"/>
    <x v="14"/>
    <b v="0"/>
    <n v="2"/>
    <n v="2"/>
    <n v="0.22"/>
    <n v="0.2273"/>
    <n v="0.8"/>
    <n v="0.16420000000000001"/>
    <n v="2"/>
    <n v="26"/>
    <n v="28"/>
    <x v="0"/>
    <s v="Spring"/>
    <x v="1"/>
    <x v="3"/>
    <n v="2011"/>
    <d v="2011-02-13T00:00:00"/>
    <x v="1"/>
  </r>
  <r>
    <n v="400"/>
    <x v="17"/>
    <n v="1"/>
    <n v="0"/>
    <n v="1"/>
    <x v="15"/>
    <b v="0"/>
    <n v="2"/>
    <n v="2"/>
    <n v="0.22"/>
    <n v="0.2273"/>
    <n v="0.87"/>
    <n v="0.16420000000000001"/>
    <n v="3"/>
    <n v="32"/>
    <n v="35"/>
    <x v="0"/>
    <s v="Spring"/>
    <x v="1"/>
    <x v="3"/>
    <n v="2011"/>
    <d v="2011-02-13T00:00:00"/>
    <x v="1"/>
  </r>
  <r>
    <n v="401"/>
    <x v="17"/>
    <n v="1"/>
    <n v="0"/>
    <n v="1"/>
    <x v="16"/>
    <b v="0"/>
    <n v="2"/>
    <n v="2"/>
    <n v="0.22"/>
    <n v="0.2273"/>
    <n v="0.87"/>
    <n v="0.19400000000000001"/>
    <n v="0"/>
    <n v="61"/>
    <n v="61"/>
    <x v="0"/>
    <s v="Spring"/>
    <x v="1"/>
    <x v="3"/>
    <n v="2011"/>
    <d v="2011-02-13T00:00:00"/>
    <x v="1"/>
  </r>
  <r>
    <n v="402"/>
    <x v="17"/>
    <n v="1"/>
    <n v="0"/>
    <n v="1"/>
    <x v="17"/>
    <b v="0"/>
    <n v="2"/>
    <n v="2"/>
    <n v="0.22"/>
    <n v="0.2273"/>
    <n v="0.82"/>
    <n v="0.19400000000000001"/>
    <n v="1"/>
    <n v="124"/>
    <n v="125"/>
    <x v="0"/>
    <s v="Spring"/>
    <x v="1"/>
    <x v="3"/>
    <n v="2011"/>
    <d v="2011-02-13T00:00:00"/>
    <x v="1"/>
  </r>
  <r>
    <n v="403"/>
    <x v="17"/>
    <n v="1"/>
    <n v="0"/>
    <n v="1"/>
    <x v="18"/>
    <b v="0"/>
    <n v="2"/>
    <n v="2"/>
    <n v="0.22"/>
    <n v="0.2273"/>
    <n v="0.8"/>
    <n v="0.16420000000000001"/>
    <n v="1"/>
    <n v="132"/>
    <n v="133"/>
    <x v="0"/>
    <s v="Spring"/>
    <x v="1"/>
    <x v="3"/>
    <n v="2011"/>
    <d v="2011-02-13T00:00:00"/>
    <x v="1"/>
  </r>
  <r>
    <n v="404"/>
    <x v="17"/>
    <n v="1"/>
    <n v="0"/>
    <n v="1"/>
    <x v="19"/>
    <b v="0"/>
    <n v="2"/>
    <n v="2"/>
    <n v="0.22"/>
    <n v="0.2273"/>
    <n v="0.8"/>
    <n v="0.1343"/>
    <n v="1"/>
    <n v="98"/>
    <n v="99"/>
    <x v="0"/>
    <s v="Spring"/>
    <x v="1"/>
    <x v="3"/>
    <n v="2011"/>
    <d v="2011-02-13T00:00:00"/>
    <x v="1"/>
  </r>
  <r>
    <n v="405"/>
    <x v="17"/>
    <n v="1"/>
    <n v="0"/>
    <n v="1"/>
    <x v="20"/>
    <b v="0"/>
    <n v="2"/>
    <n v="2"/>
    <n v="0.22"/>
    <n v="0.2727"/>
    <n v="0.87"/>
    <n v="0"/>
    <n v="0"/>
    <n v="83"/>
    <n v="83"/>
    <x v="0"/>
    <s v="Spring"/>
    <x v="1"/>
    <x v="3"/>
    <n v="2011"/>
    <d v="2011-02-13T00:00:00"/>
    <x v="1"/>
  </r>
  <r>
    <n v="406"/>
    <x v="17"/>
    <n v="1"/>
    <n v="0"/>
    <n v="1"/>
    <x v="21"/>
    <b v="0"/>
    <n v="2"/>
    <n v="2"/>
    <n v="0.22"/>
    <n v="0.2424"/>
    <n v="0.93"/>
    <n v="0.1045"/>
    <n v="0"/>
    <n v="41"/>
    <n v="41"/>
    <x v="0"/>
    <s v="Spring"/>
    <x v="1"/>
    <x v="3"/>
    <n v="2011"/>
    <d v="2011-02-13T00:00:00"/>
    <x v="1"/>
  </r>
  <r>
    <n v="407"/>
    <x v="17"/>
    <n v="1"/>
    <n v="0"/>
    <n v="1"/>
    <x v="22"/>
    <b v="0"/>
    <n v="2"/>
    <n v="2"/>
    <n v="0.22"/>
    <n v="0.2576"/>
    <n v="0.93"/>
    <n v="8.9599999999999999E-2"/>
    <n v="0"/>
    <n v="33"/>
    <n v="33"/>
    <x v="0"/>
    <s v="Spring"/>
    <x v="1"/>
    <x v="3"/>
    <n v="2011"/>
    <d v="2011-02-13T00:00:00"/>
    <x v="1"/>
  </r>
  <r>
    <n v="408"/>
    <x v="17"/>
    <n v="1"/>
    <n v="0"/>
    <n v="1"/>
    <x v="23"/>
    <b v="0"/>
    <n v="2"/>
    <n v="2"/>
    <n v="0.22"/>
    <n v="0.2727"/>
    <n v="0.93"/>
    <n v="0"/>
    <n v="1"/>
    <n v="19"/>
    <n v="20"/>
    <x v="0"/>
    <s v="Spring"/>
    <x v="1"/>
    <x v="3"/>
    <n v="2011"/>
    <d v="2011-02-13T00:00:00"/>
    <x v="1"/>
  </r>
  <r>
    <n v="409"/>
    <x v="18"/>
    <n v="1"/>
    <n v="0"/>
    <n v="1"/>
    <x v="0"/>
    <b v="0"/>
    <n v="3"/>
    <n v="2"/>
    <n v="0.22"/>
    <n v="0.2727"/>
    <n v="0.93"/>
    <n v="0"/>
    <n v="0"/>
    <n v="3"/>
    <n v="3"/>
    <x v="0"/>
    <s v="Spring"/>
    <x v="1"/>
    <x v="4"/>
    <n v="2011"/>
    <d v="2011-02-13T00:00:00"/>
    <x v="1"/>
  </r>
  <r>
    <n v="410"/>
    <x v="18"/>
    <n v="1"/>
    <n v="0"/>
    <n v="1"/>
    <x v="1"/>
    <b v="0"/>
    <n v="3"/>
    <n v="3"/>
    <n v="0.22"/>
    <n v="0.2273"/>
    <n v="0.93"/>
    <n v="0.1343"/>
    <n v="1"/>
    <n v="6"/>
    <n v="7"/>
    <x v="0"/>
    <s v="Spring"/>
    <x v="2"/>
    <x v="4"/>
    <n v="2011"/>
    <d v="2011-02-13T00:00:00"/>
    <x v="1"/>
  </r>
  <r>
    <n v="411"/>
    <x v="18"/>
    <n v="1"/>
    <n v="0"/>
    <n v="1"/>
    <x v="2"/>
    <b v="0"/>
    <n v="3"/>
    <n v="3"/>
    <n v="0.22"/>
    <n v="0.2273"/>
    <n v="0.93"/>
    <n v="0.1343"/>
    <n v="0"/>
    <n v="3"/>
    <n v="3"/>
    <x v="0"/>
    <s v="Spring"/>
    <x v="2"/>
    <x v="4"/>
    <n v="2011"/>
    <d v="2011-02-13T00:00:00"/>
    <x v="1"/>
  </r>
  <r>
    <n v="412"/>
    <x v="18"/>
    <n v="1"/>
    <n v="0"/>
    <n v="1"/>
    <x v="4"/>
    <b v="0"/>
    <n v="3"/>
    <n v="3"/>
    <n v="0.22"/>
    <n v="0.2273"/>
    <n v="0.93"/>
    <n v="0.1343"/>
    <n v="1"/>
    <n v="1"/>
    <n v="2"/>
    <x v="0"/>
    <s v="Spring"/>
    <x v="2"/>
    <x v="4"/>
    <n v="2011"/>
    <d v="2011-02-13T00:00:00"/>
    <x v="1"/>
  </r>
  <r>
    <n v="413"/>
    <x v="18"/>
    <n v="1"/>
    <n v="0"/>
    <n v="1"/>
    <x v="5"/>
    <b v="0"/>
    <n v="3"/>
    <n v="2"/>
    <n v="0.22"/>
    <n v="0.2576"/>
    <n v="0.93"/>
    <n v="8.9599999999999999E-2"/>
    <n v="0"/>
    <n v="7"/>
    <n v="7"/>
    <x v="0"/>
    <s v="Spring"/>
    <x v="1"/>
    <x v="4"/>
    <n v="2011"/>
    <d v="2011-02-13T00:00:00"/>
    <x v="1"/>
  </r>
  <r>
    <n v="414"/>
    <x v="18"/>
    <n v="1"/>
    <n v="0"/>
    <n v="1"/>
    <x v="6"/>
    <b v="0"/>
    <n v="3"/>
    <n v="2"/>
    <n v="0.22"/>
    <n v="0.2576"/>
    <n v="0.93"/>
    <n v="8.9599999999999999E-2"/>
    <n v="0"/>
    <n v="32"/>
    <n v="32"/>
    <x v="0"/>
    <s v="Spring"/>
    <x v="1"/>
    <x v="4"/>
    <n v="2011"/>
    <d v="2011-02-13T00:00:00"/>
    <x v="1"/>
  </r>
  <r>
    <n v="415"/>
    <x v="18"/>
    <n v="1"/>
    <n v="0"/>
    <n v="1"/>
    <x v="7"/>
    <b v="0"/>
    <n v="3"/>
    <n v="2"/>
    <n v="0.24"/>
    <n v="0.2576"/>
    <n v="0.92"/>
    <n v="0.1045"/>
    <n v="1"/>
    <n v="89"/>
    <n v="90"/>
    <x v="0"/>
    <s v="Spring"/>
    <x v="1"/>
    <x v="4"/>
    <n v="2011"/>
    <d v="2011-02-13T00:00:00"/>
    <x v="1"/>
  </r>
  <r>
    <n v="416"/>
    <x v="18"/>
    <n v="1"/>
    <n v="0"/>
    <n v="1"/>
    <x v="8"/>
    <b v="0"/>
    <n v="3"/>
    <n v="2"/>
    <n v="0.24"/>
    <n v="0.2576"/>
    <n v="0.93"/>
    <n v="0.1045"/>
    <n v="1"/>
    <n v="196"/>
    <n v="197"/>
    <x v="0"/>
    <s v="Spring"/>
    <x v="1"/>
    <x v="4"/>
    <n v="2011"/>
    <d v="2011-02-13T00:00:00"/>
    <x v="1"/>
  </r>
  <r>
    <n v="417"/>
    <x v="18"/>
    <n v="1"/>
    <n v="0"/>
    <n v="1"/>
    <x v="9"/>
    <b v="0"/>
    <n v="3"/>
    <n v="2"/>
    <n v="0.24"/>
    <n v="0.2576"/>
    <n v="0.93"/>
    <n v="0.1045"/>
    <n v="2"/>
    <n v="107"/>
    <n v="109"/>
    <x v="0"/>
    <s v="Spring"/>
    <x v="1"/>
    <x v="4"/>
    <n v="2011"/>
    <d v="2011-02-13T00:00:00"/>
    <x v="1"/>
  </r>
  <r>
    <n v="418"/>
    <x v="18"/>
    <n v="1"/>
    <n v="0"/>
    <n v="1"/>
    <x v="10"/>
    <b v="0"/>
    <n v="3"/>
    <n v="2"/>
    <n v="0.26"/>
    <n v="0.2727"/>
    <n v="0.93"/>
    <n v="0.1343"/>
    <n v="1"/>
    <n v="46"/>
    <n v="47"/>
    <x v="0"/>
    <s v="Spring"/>
    <x v="1"/>
    <x v="4"/>
    <n v="2011"/>
    <d v="2011-02-13T00:00:00"/>
    <x v="1"/>
  </r>
  <r>
    <n v="419"/>
    <x v="18"/>
    <n v="1"/>
    <n v="0"/>
    <n v="1"/>
    <x v="11"/>
    <b v="0"/>
    <n v="3"/>
    <n v="2"/>
    <n v="0.28000000000000003"/>
    <n v="0.30299999999999999"/>
    <n v="0.87"/>
    <n v="8.9599999999999999E-2"/>
    <n v="5"/>
    <n v="47"/>
    <n v="52"/>
    <x v="0"/>
    <s v="Spring"/>
    <x v="1"/>
    <x v="4"/>
    <n v="2011"/>
    <d v="2011-02-13T00:00:00"/>
    <x v="1"/>
  </r>
  <r>
    <n v="420"/>
    <x v="18"/>
    <n v="1"/>
    <n v="0"/>
    <n v="1"/>
    <x v="12"/>
    <b v="0"/>
    <n v="3"/>
    <n v="2"/>
    <n v="0.3"/>
    <n v="0.31819999999999998"/>
    <n v="0.81"/>
    <n v="8.9599999999999999E-2"/>
    <n v="5"/>
    <n v="65"/>
    <n v="70"/>
    <x v="0"/>
    <s v="Spring"/>
    <x v="1"/>
    <x v="4"/>
    <n v="2011"/>
    <d v="2011-02-13T00:00:00"/>
    <x v="1"/>
  </r>
  <r>
    <n v="421"/>
    <x v="18"/>
    <n v="1"/>
    <n v="0"/>
    <n v="1"/>
    <x v="13"/>
    <b v="0"/>
    <n v="3"/>
    <n v="1"/>
    <n v="0.4"/>
    <n v="0.40910000000000002"/>
    <n v="0.62"/>
    <n v="0.28360000000000002"/>
    <n v="11"/>
    <n v="67"/>
    <n v="78"/>
    <x v="0"/>
    <s v="Spring"/>
    <x v="0"/>
    <x v="4"/>
    <n v="2011"/>
    <d v="2011-02-13T00:00:00"/>
    <x v="1"/>
  </r>
  <r>
    <n v="422"/>
    <x v="18"/>
    <n v="1"/>
    <n v="0"/>
    <n v="1"/>
    <x v="14"/>
    <b v="0"/>
    <n v="3"/>
    <n v="1"/>
    <n v="0.4"/>
    <n v="0.40910000000000002"/>
    <n v="0.57999999999999996"/>
    <n v="0.25369999999999998"/>
    <n v="7"/>
    <n v="68"/>
    <n v="75"/>
    <x v="0"/>
    <s v="Spring"/>
    <x v="0"/>
    <x v="4"/>
    <n v="2011"/>
    <d v="2011-02-13T00:00:00"/>
    <x v="1"/>
  </r>
  <r>
    <n v="423"/>
    <x v="18"/>
    <n v="1"/>
    <n v="0"/>
    <n v="1"/>
    <x v="15"/>
    <b v="0"/>
    <n v="3"/>
    <n v="1"/>
    <n v="0.4"/>
    <n v="0.40910000000000002"/>
    <n v="0.54"/>
    <n v="0.28360000000000002"/>
    <n v="4"/>
    <n v="78"/>
    <n v="82"/>
    <x v="0"/>
    <s v="Spring"/>
    <x v="0"/>
    <x v="4"/>
    <n v="2011"/>
    <d v="2011-02-13T00:00:00"/>
    <x v="1"/>
  </r>
  <r>
    <n v="424"/>
    <x v="18"/>
    <n v="1"/>
    <n v="0"/>
    <n v="1"/>
    <x v="16"/>
    <b v="0"/>
    <n v="3"/>
    <n v="1"/>
    <n v="0.38"/>
    <n v="0.39389999999999997"/>
    <n v="0.57999999999999996"/>
    <n v="0.3881"/>
    <n v="10"/>
    <n v="94"/>
    <n v="104"/>
    <x v="0"/>
    <s v="Spring"/>
    <x v="0"/>
    <x v="4"/>
    <n v="2011"/>
    <d v="2011-02-13T00:00:00"/>
    <x v="1"/>
  </r>
  <r>
    <n v="425"/>
    <x v="18"/>
    <n v="1"/>
    <n v="0"/>
    <n v="1"/>
    <x v="17"/>
    <b v="0"/>
    <n v="3"/>
    <n v="1"/>
    <n v="0.36"/>
    <n v="0.33329999999999999"/>
    <n v="0.56999999999999995"/>
    <n v="0.32840000000000003"/>
    <n v="7"/>
    <n v="190"/>
    <n v="197"/>
    <x v="0"/>
    <s v="Spring"/>
    <x v="0"/>
    <x v="4"/>
    <n v="2011"/>
    <d v="2011-02-13T00:00:00"/>
    <x v="1"/>
  </r>
  <r>
    <n v="426"/>
    <x v="18"/>
    <n v="1"/>
    <n v="0"/>
    <n v="1"/>
    <x v="18"/>
    <b v="0"/>
    <n v="3"/>
    <n v="1"/>
    <n v="0.34"/>
    <n v="0.31819999999999998"/>
    <n v="0.61"/>
    <n v="0.28360000000000002"/>
    <n v="5"/>
    <n v="156"/>
    <n v="161"/>
    <x v="0"/>
    <s v="Spring"/>
    <x v="0"/>
    <x v="4"/>
    <n v="2011"/>
    <d v="2011-02-13T00:00:00"/>
    <x v="1"/>
  </r>
  <r>
    <n v="427"/>
    <x v="18"/>
    <n v="1"/>
    <n v="0"/>
    <n v="1"/>
    <x v="19"/>
    <b v="0"/>
    <n v="3"/>
    <n v="1"/>
    <n v="0.32"/>
    <n v="0.28789999999999999"/>
    <n v="0.56999999999999995"/>
    <n v="0.41789999999999999"/>
    <n v="4"/>
    <n v="108"/>
    <n v="112"/>
    <x v="0"/>
    <s v="Spring"/>
    <x v="0"/>
    <x v="4"/>
    <n v="2011"/>
    <d v="2011-02-13T00:00:00"/>
    <x v="1"/>
  </r>
  <r>
    <n v="428"/>
    <x v="18"/>
    <n v="1"/>
    <n v="0"/>
    <n v="1"/>
    <x v="20"/>
    <b v="0"/>
    <n v="3"/>
    <n v="1"/>
    <n v="0.32"/>
    <n v="0.30299999999999999"/>
    <n v="0.49"/>
    <n v="0.29849999999999999"/>
    <n v="2"/>
    <n v="74"/>
    <n v="76"/>
    <x v="0"/>
    <s v="Spring"/>
    <x v="0"/>
    <x v="4"/>
    <n v="2011"/>
    <d v="2011-02-13T00:00:00"/>
    <x v="1"/>
  </r>
  <r>
    <n v="429"/>
    <x v="18"/>
    <n v="1"/>
    <n v="0"/>
    <n v="1"/>
    <x v="21"/>
    <b v="0"/>
    <n v="3"/>
    <n v="1"/>
    <n v="0.32"/>
    <n v="0.28789999999999999"/>
    <n v="0.49"/>
    <n v="0.41789999999999999"/>
    <n v="4"/>
    <n v="55"/>
    <n v="59"/>
    <x v="0"/>
    <s v="Spring"/>
    <x v="0"/>
    <x v="4"/>
    <n v="2011"/>
    <d v="2011-02-13T00:00:00"/>
    <x v="1"/>
  </r>
  <r>
    <n v="430"/>
    <x v="18"/>
    <n v="1"/>
    <n v="0"/>
    <n v="1"/>
    <x v="22"/>
    <b v="0"/>
    <n v="3"/>
    <n v="1"/>
    <n v="0.3"/>
    <n v="0.30299999999999999"/>
    <n v="0.52"/>
    <n v="0.16420000000000001"/>
    <n v="6"/>
    <n v="53"/>
    <n v="59"/>
    <x v="0"/>
    <s v="Spring"/>
    <x v="0"/>
    <x v="4"/>
    <n v="2011"/>
    <d v="2011-02-13T00:00:00"/>
    <x v="1"/>
  </r>
  <r>
    <n v="431"/>
    <x v="18"/>
    <n v="1"/>
    <n v="0"/>
    <n v="1"/>
    <x v="23"/>
    <b v="0"/>
    <n v="3"/>
    <n v="1"/>
    <n v="0.3"/>
    <n v="0.2727"/>
    <n v="0.52"/>
    <n v="0.4627"/>
    <n v="1"/>
    <n v="27"/>
    <n v="28"/>
    <x v="0"/>
    <s v="Spring"/>
    <x v="0"/>
    <x v="4"/>
    <n v="2011"/>
    <d v="2011-02-13T00:00:00"/>
    <x v="1"/>
  </r>
  <r>
    <n v="432"/>
    <x v="19"/>
    <n v="1"/>
    <n v="0"/>
    <n v="1"/>
    <x v="0"/>
    <b v="0"/>
    <n v="4"/>
    <n v="1"/>
    <n v="0.26"/>
    <n v="0.2273"/>
    <n v="0.56000000000000005"/>
    <n v="0.3881"/>
    <n v="5"/>
    <n v="8"/>
    <n v="13"/>
    <x v="0"/>
    <s v="Spring"/>
    <x v="0"/>
    <x v="5"/>
    <n v="2011"/>
    <d v="2011-02-13T00:00:00"/>
    <x v="1"/>
  </r>
  <r>
    <n v="433"/>
    <x v="19"/>
    <n v="1"/>
    <n v="0"/>
    <n v="1"/>
    <x v="1"/>
    <b v="0"/>
    <n v="4"/>
    <n v="1"/>
    <n v="0.26"/>
    <n v="0.2727"/>
    <n v="0.56000000000000005"/>
    <n v="0"/>
    <n v="2"/>
    <n v="3"/>
    <n v="5"/>
    <x v="0"/>
    <s v="Spring"/>
    <x v="0"/>
    <x v="5"/>
    <n v="2011"/>
    <d v="2011-02-13T00:00:00"/>
    <x v="1"/>
  </r>
  <r>
    <n v="434"/>
    <x v="19"/>
    <n v="1"/>
    <n v="0"/>
    <n v="1"/>
    <x v="2"/>
    <b v="0"/>
    <n v="4"/>
    <n v="1"/>
    <n v="0.26"/>
    <n v="0.2727"/>
    <n v="0.56000000000000005"/>
    <n v="0"/>
    <n v="0"/>
    <n v="2"/>
    <n v="2"/>
    <x v="0"/>
    <s v="Spring"/>
    <x v="0"/>
    <x v="5"/>
    <n v="2011"/>
    <d v="2011-02-13T00:00:00"/>
    <x v="1"/>
  </r>
  <r>
    <n v="435"/>
    <x v="19"/>
    <n v="1"/>
    <n v="0"/>
    <n v="1"/>
    <x v="3"/>
    <b v="0"/>
    <n v="4"/>
    <n v="1"/>
    <n v="0.26"/>
    <n v="0.2576"/>
    <n v="0.56000000000000005"/>
    <n v="0.16420000000000001"/>
    <n v="0"/>
    <n v="1"/>
    <n v="1"/>
    <x v="0"/>
    <s v="Spring"/>
    <x v="0"/>
    <x v="5"/>
    <n v="2011"/>
    <d v="2011-02-13T00:00:00"/>
    <x v="1"/>
  </r>
  <r>
    <n v="436"/>
    <x v="19"/>
    <n v="1"/>
    <n v="0"/>
    <n v="1"/>
    <x v="4"/>
    <b v="0"/>
    <n v="4"/>
    <n v="1"/>
    <n v="0.26"/>
    <n v="0.2576"/>
    <n v="0.56000000000000005"/>
    <n v="0.16420000000000001"/>
    <n v="0"/>
    <n v="1"/>
    <n v="1"/>
    <x v="0"/>
    <s v="Spring"/>
    <x v="0"/>
    <x v="5"/>
    <n v="2011"/>
    <d v="2011-02-13T00:00:00"/>
    <x v="1"/>
  </r>
  <r>
    <n v="437"/>
    <x v="19"/>
    <n v="1"/>
    <n v="0"/>
    <n v="1"/>
    <x v="5"/>
    <b v="0"/>
    <n v="4"/>
    <n v="1"/>
    <n v="0.24"/>
    <n v="0.2273"/>
    <n v="0.6"/>
    <n v="0.22389999999999999"/>
    <n v="0"/>
    <n v="6"/>
    <n v="6"/>
    <x v="0"/>
    <s v="Spring"/>
    <x v="0"/>
    <x v="5"/>
    <n v="2011"/>
    <d v="2011-02-13T00:00:00"/>
    <x v="1"/>
  </r>
  <r>
    <n v="438"/>
    <x v="19"/>
    <n v="1"/>
    <n v="0"/>
    <n v="1"/>
    <x v="6"/>
    <b v="0"/>
    <n v="4"/>
    <n v="1"/>
    <n v="0.22"/>
    <n v="0.21210000000000001"/>
    <n v="0.6"/>
    <n v="0.22389999999999999"/>
    <n v="0"/>
    <n v="35"/>
    <n v="35"/>
    <x v="0"/>
    <s v="Spring"/>
    <x v="0"/>
    <x v="5"/>
    <n v="2011"/>
    <d v="2011-02-13T00:00:00"/>
    <x v="1"/>
  </r>
  <r>
    <n v="439"/>
    <x v="19"/>
    <n v="1"/>
    <n v="0"/>
    <n v="1"/>
    <x v="7"/>
    <b v="0"/>
    <n v="4"/>
    <n v="1"/>
    <n v="0.22"/>
    <n v="0.21210000000000001"/>
    <n v="0.55000000000000004"/>
    <n v="0.22389999999999999"/>
    <n v="1"/>
    <n v="100"/>
    <n v="101"/>
    <x v="0"/>
    <s v="Spring"/>
    <x v="0"/>
    <x v="5"/>
    <n v="2011"/>
    <d v="2011-02-13T00:00:00"/>
    <x v="1"/>
  </r>
  <r>
    <n v="440"/>
    <x v="19"/>
    <n v="1"/>
    <n v="0"/>
    <n v="1"/>
    <x v="8"/>
    <b v="0"/>
    <n v="4"/>
    <n v="1"/>
    <n v="0.22"/>
    <n v="0.21210000000000001"/>
    <n v="0.55000000000000004"/>
    <n v="0.28360000000000002"/>
    <n v="2"/>
    <n v="247"/>
    <n v="249"/>
    <x v="0"/>
    <s v="Spring"/>
    <x v="0"/>
    <x v="5"/>
    <n v="2011"/>
    <d v="2011-02-13T00:00:00"/>
    <x v="1"/>
  </r>
  <r>
    <n v="441"/>
    <x v="19"/>
    <n v="1"/>
    <n v="0"/>
    <n v="1"/>
    <x v="9"/>
    <b v="0"/>
    <n v="4"/>
    <n v="2"/>
    <n v="0.24"/>
    <n v="0.2273"/>
    <n v="0.52"/>
    <n v="0.22389999999999999"/>
    <n v="3"/>
    <n v="140"/>
    <n v="143"/>
    <x v="0"/>
    <s v="Spring"/>
    <x v="1"/>
    <x v="5"/>
    <n v="2011"/>
    <d v="2011-02-13T00:00:00"/>
    <x v="1"/>
  </r>
  <r>
    <n v="442"/>
    <x v="19"/>
    <n v="1"/>
    <n v="0"/>
    <n v="1"/>
    <x v="10"/>
    <b v="0"/>
    <n v="4"/>
    <n v="1"/>
    <n v="0.26"/>
    <n v="0.2273"/>
    <n v="0.48"/>
    <n v="0.29849999999999999"/>
    <n v="1"/>
    <n v="56"/>
    <n v="57"/>
    <x v="0"/>
    <s v="Spring"/>
    <x v="0"/>
    <x v="5"/>
    <n v="2011"/>
    <d v="2011-02-13T00:00:00"/>
    <x v="1"/>
  </r>
  <r>
    <n v="443"/>
    <x v="19"/>
    <n v="1"/>
    <n v="0"/>
    <n v="1"/>
    <x v="11"/>
    <b v="0"/>
    <n v="4"/>
    <n v="2"/>
    <n v="0.28000000000000003"/>
    <n v="0.2727"/>
    <n v="0.45"/>
    <n v="0.16420000000000001"/>
    <n v="5"/>
    <n v="63"/>
    <n v="68"/>
    <x v="0"/>
    <s v="Spring"/>
    <x v="1"/>
    <x v="5"/>
    <n v="2011"/>
    <d v="2011-02-13T00:00:00"/>
    <x v="1"/>
  </r>
  <r>
    <n v="444"/>
    <x v="19"/>
    <n v="1"/>
    <n v="0"/>
    <n v="1"/>
    <x v="12"/>
    <b v="0"/>
    <n v="4"/>
    <n v="2"/>
    <n v="0.3"/>
    <n v="0.33329999999999999"/>
    <n v="0.42"/>
    <n v="0"/>
    <n v="7"/>
    <n v="77"/>
    <n v="84"/>
    <x v="0"/>
    <s v="Spring"/>
    <x v="1"/>
    <x v="5"/>
    <n v="2011"/>
    <d v="2011-02-13T00:00:00"/>
    <x v="1"/>
  </r>
  <r>
    <n v="445"/>
    <x v="19"/>
    <n v="1"/>
    <n v="0"/>
    <n v="1"/>
    <x v="13"/>
    <b v="0"/>
    <n v="4"/>
    <n v="2"/>
    <n v="0.28000000000000003"/>
    <n v="0.28789999999999999"/>
    <n v="0.45"/>
    <n v="0.1045"/>
    <n v="12"/>
    <n v="86"/>
    <n v="98"/>
    <x v="0"/>
    <s v="Spring"/>
    <x v="1"/>
    <x v="5"/>
    <n v="2011"/>
    <d v="2011-02-13T00:00:00"/>
    <x v="1"/>
  </r>
  <r>
    <n v="446"/>
    <x v="19"/>
    <n v="1"/>
    <n v="0"/>
    <n v="1"/>
    <x v="14"/>
    <b v="0"/>
    <n v="4"/>
    <n v="2"/>
    <n v="0.3"/>
    <n v="0.30299999999999999"/>
    <n v="0.45"/>
    <n v="0.1343"/>
    <n v="6"/>
    <n v="75"/>
    <n v="81"/>
    <x v="0"/>
    <s v="Spring"/>
    <x v="1"/>
    <x v="5"/>
    <n v="2011"/>
    <d v="2011-02-13T00:00:00"/>
    <x v="1"/>
  </r>
  <r>
    <n v="447"/>
    <x v="19"/>
    <n v="1"/>
    <n v="0"/>
    <n v="1"/>
    <x v="15"/>
    <b v="0"/>
    <n v="4"/>
    <n v="2"/>
    <n v="0.32"/>
    <n v="0.31819999999999998"/>
    <n v="0.45"/>
    <n v="0.19400000000000001"/>
    <n v="8"/>
    <n v="62"/>
    <n v="70"/>
    <x v="0"/>
    <s v="Spring"/>
    <x v="1"/>
    <x v="5"/>
    <n v="2011"/>
    <d v="2011-02-13T00:00:00"/>
    <x v="1"/>
  </r>
  <r>
    <n v="448"/>
    <x v="19"/>
    <n v="1"/>
    <n v="0"/>
    <n v="1"/>
    <x v="16"/>
    <b v="0"/>
    <n v="4"/>
    <n v="2"/>
    <n v="0.3"/>
    <n v="0.30299999999999999"/>
    <n v="0.49"/>
    <n v="0.1343"/>
    <n v="8"/>
    <n v="83"/>
    <n v="91"/>
    <x v="0"/>
    <s v="Spring"/>
    <x v="1"/>
    <x v="5"/>
    <n v="2011"/>
    <d v="2011-02-13T00:00:00"/>
    <x v="1"/>
  </r>
  <r>
    <n v="449"/>
    <x v="19"/>
    <n v="1"/>
    <n v="0"/>
    <n v="1"/>
    <x v="17"/>
    <b v="0"/>
    <n v="4"/>
    <n v="2"/>
    <n v="0.3"/>
    <n v="0.31819999999999998"/>
    <n v="0.49"/>
    <n v="0.1045"/>
    <n v="8"/>
    <n v="207"/>
    <n v="215"/>
    <x v="0"/>
    <s v="Spring"/>
    <x v="1"/>
    <x v="5"/>
    <n v="2011"/>
    <d v="2011-02-13T00:00:00"/>
    <x v="1"/>
  </r>
  <r>
    <n v="450"/>
    <x v="19"/>
    <n v="1"/>
    <n v="0"/>
    <n v="1"/>
    <x v="18"/>
    <b v="0"/>
    <n v="4"/>
    <n v="2"/>
    <n v="0.26"/>
    <n v="0.2576"/>
    <n v="0.56000000000000005"/>
    <n v="0.19400000000000001"/>
    <n v="1"/>
    <n v="184"/>
    <n v="185"/>
    <x v="0"/>
    <s v="Spring"/>
    <x v="1"/>
    <x v="5"/>
    <n v="2011"/>
    <d v="2011-02-13T00:00:00"/>
    <x v="1"/>
  </r>
  <r>
    <n v="451"/>
    <x v="19"/>
    <n v="1"/>
    <n v="0"/>
    <n v="1"/>
    <x v="19"/>
    <b v="0"/>
    <n v="4"/>
    <n v="1"/>
    <n v="0.26"/>
    <n v="0.2273"/>
    <n v="0.56000000000000005"/>
    <n v="0.32840000000000003"/>
    <n v="6"/>
    <n v="146"/>
    <n v="152"/>
    <x v="0"/>
    <s v="Spring"/>
    <x v="0"/>
    <x v="5"/>
    <n v="2011"/>
    <d v="2011-02-13T00:00:00"/>
    <x v="1"/>
  </r>
  <r>
    <n v="452"/>
    <x v="19"/>
    <n v="1"/>
    <n v="0"/>
    <n v="1"/>
    <x v="20"/>
    <b v="0"/>
    <n v="4"/>
    <n v="2"/>
    <n v="0.26"/>
    <n v="0.2424"/>
    <n v="0.6"/>
    <n v="0.28360000000000002"/>
    <n v="2"/>
    <n v="124"/>
    <n v="126"/>
    <x v="0"/>
    <s v="Spring"/>
    <x v="1"/>
    <x v="5"/>
    <n v="2011"/>
    <d v="2011-02-13T00:00:00"/>
    <x v="1"/>
  </r>
  <r>
    <n v="453"/>
    <x v="19"/>
    <n v="1"/>
    <n v="0"/>
    <n v="1"/>
    <x v="21"/>
    <b v="0"/>
    <n v="4"/>
    <n v="2"/>
    <n v="0.24"/>
    <n v="0.2273"/>
    <n v="0.6"/>
    <n v="0.25369999999999998"/>
    <n v="3"/>
    <n v="54"/>
    <n v="57"/>
    <x v="0"/>
    <s v="Spring"/>
    <x v="1"/>
    <x v="5"/>
    <n v="2011"/>
    <d v="2011-02-13T00:00:00"/>
    <x v="1"/>
  </r>
  <r>
    <n v="454"/>
    <x v="19"/>
    <n v="1"/>
    <n v="0"/>
    <n v="1"/>
    <x v="22"/>
    <b v="0"/>
    <n v="4"/>
    <n v="2"/>
    <n v="0.24"/>
    <n v="0.21210000000000001"/>
    <n v="0.65"/>
    <n v="0.28360000000000002"/>
    <n v="0"/>
    <n v="56"/>
    <n v="56"/>
    <x v="0"/>
    <s v="Spring"/>
    <x v="1"/>
    <x v="5"/>
    <n v="2011"/>
    <d v="2011-02-13T00:00:00"/>
    <x v="1"/>
  </r>
  <r>
    <n v="455"/>
    <x v="19"/>
    <n v="1"/>
    <n v="0"/>
    <n v="1"/>
    <x v="23"/>
    <b v="0"/>
    <n v="4"/>
    <n v="2"/>
    <n v="0.24"/>
    <n v="0.21210000000000001"/>
    <n v="0.65"/>
    <n v="0.32840000000000003"/>
    <n v="3"/>
    <n v="28"/>
    <n v="31"/>
    <x v="0"/>
    <s v="Spring"/>
    <x v="1"/>
    <x v="5"/>
    <n v="2011"/>
    <d v="2011-02-13T00:00:00"/>
    <x v="1"/>
  </r>
  <r>
    <n v="456"/>
    <x v="20"/>
    <n v="1"/>
    <n v="0"/>
    <n v="1"/>
    <x v="0"/>
    <b v="0"/>
    <n v="5"/>
    <n v="2"/>
    <n v="0.24"/>
    <n v="0.2273"/>
    <n v="0.7"/>
    <n v="0.25369999999999998"/>
    <n v="1"/>
    <n v="20"/>
    <n v="21"/>
    <x v="0"/>
    <s v="Spring"/>
    <x v="1"/>
    <x v="6"/>
    <n v="2011"/>
    <d v="2011-02-13T00:00:00"/>
    <x v="1"/>
  </r>
  <r>
    <n v="457"/>
    <x v="20"/>
    <n v="1"/>
    <n v="0"/>
    <n v="1"/>
    <x v="1"/>
    <b v="0"/>
    <n v="5"/>
    <n v="2"/>
    <n v="0.24"/>
    <n v="0.2273"/>
    <n v="0.7"/>
    <n v="0.25369999999999998"/>
    <n v="0"/>
    <n v="6"/>
    <n v="6"/>
    <x v="0"/>
    <s v="Spring"/>
    <x v="1"/>
    <x v="6"/>
    <n v="2011"/>
    <d v="2011-02-13T00:00:00"/>
    <x v="1"/>
  </r>
  <r>
    <n v="458"/>
    <x v="20"/>
    <n v="1"/>
    <n v="0"/>
    <n v="1"/>
    <x v="2"/>
    <b v="0"/>
    <n v="5"/>
    <n v="3"/>
    <n v="0.24"/>
    <n v="0.2424"/>
    <n v="0.75"/>
    <n v="0.16420000000000001"/>
    <n v="0"/>
    <n v="2"/>
    <n v="2"/>
    <x v="0"/>
    <s v="Spring"/>
    <x v="2"/>
    <x v="6"/>
    <n v="2011"/>
    <d v="2011-02-13T00:00:00"/>
    <x v="1"/>
  </r>
  <r>
    <n v="459"/>
    <x v="20"/>
    <n v="1"/>
    <n v="0"/>
    <n v="1"/>
    <x v="3"/>
    <b v="0"/>
    <n v="5"/>
    <n v="3"/>
    <n v="0.22"/>
    <n v="0.21210000000000001"/>
    <n v="0.8"/>
    <n v="0.29849999999999999"/>
    <n v="0"/>
    <n v="1"/>
    <n v="1"/>
    <x v="0"/>
    <s v="Spring"/>
    <x v="2"/>
    <x v="6"/>
    <n v="2011"/>
    <d v="2011-02-13T00:00:00"/>
    <x v="1"/>
  </r>
  <r>
    <n v="460"/>
    <x v="20"/>
    <n v="1"/>
    <n v="0"/>
    <n v="1"/>
    <x v="4"/>
    <b v="0"/>
    <n v="5"/>
    <n v="2"/>
    <n v="0.22"/>
    <n v="0.2576"/>
    <n v="0.87"/>
    <n v="8.9599999999999999E-2"/>
    <n v="0"/>
    <n v="1"/>
    <n v="1"/>
    <x v="0"/>
    <s v="Spring"/>
    <x v="1"/>
    <x v="6"/>
    <n v="2011"/>
    <d v="2011-02-13T00:00:00"/>
    <x v="1"/>
  </r>
  <r>
    <n v="461"/>
    <x v="20"/>
    <n v="1"/>
    <n v="0"/>
    <n v="1"/>
    <x v="5"/>
    <b v="0"/>
    <n v="5"/>
    <n v="1"/>
    <n v="0.24"/>
    <n v="0.19700000000000001"/>
    <n v="0.6"/>
    <n v="0.41789999999999999"/>
    <n v="1"/>
    <n v="4"/>
    <n v="5"/>
    <x v="0"/>
    <s v="Spring"/>
    <x v="0"/>
    <x v="6"/>
    <n v="2011"/>
    <d v="2011-02-13T00:00:00"/>
    <x v="1"/>
  </r>
  <r>
    <n v="462"/>
    <x v="20"/>
    <n v="1"/>
    <n v="0"/>
    <n v="1"/>
    <x v="6"/>
    <b v="0"/>
    <n v="5"/>
    <n v="1"/>
    <n v="0.22"/>
    <n v="0.21210000000000001"/>
    <n v="0.55000000000000004"/>
    <n v="0.25369999999999998"/>
    <n v="0"/>
    <n v="27"/>
    <n v="27"/>
    <x v="0"/>
    <s v="Spring"/>
    <x v="0"/>
    <x v="6"/>
    <n v="2011"/>
    <d v="2011-02-13T00:00:00"/>
    <x v="1"/>
  </r>
  <r>
    <n v="463"/>
    <x v="20"/>
    <n v="1"/>
    <n v="0"/>
    <n v="1"/>
    <x v="7"/>
    <b v="0"/>
    <n v="5"/>
    <n v="1"/>
    <n v="0.2"/>
    <n v="0.18179999999999999"/>
    <n v="0.51"/>
    <n v="0.28360000000000002"/>
    <n v="2"/>
    <n v="66"/>
    <n v="68"/>
    <x v="0"/>
    <s v="Spring"/>
    <x v="0"/>
    <x v="6"/>
    <n v="2011"/>
    <d v="2011-02-13T00:00:00"/>
    <x v="1"/>
  </r>
  <r>
    <n v="464"/>
    <x v="20"/>
    <n v="1"/>
    <n v="0"/>
    <n v="1"/>
    <x v="8"/>
    <b v="0"/>
    <n v="5"/>
    <n v="1"/>
    <n v="0.2"/>
    <n v="0.18179999999999999"/>
    <n v="0.47"/>
    <n v="0.32840000000000003"/>
    <n v="7"/>
    <n v="210"/>
    <n v="217"/>
    <x v="0"/>
    <s v="Spring"/>
    <x v="0"/>
    <x v="6"/>
    <n v="2011"/>
    <d v="2011-02-13T00:00:00"/>
    <x v="1"/>
  </r>
  <r>
    <n v="465"/>
    <x v="20"/>
    <n v="1"/>
    <n v="0"/>
    <n v="1"/>
    <x v="9"/>
    <b v="0"/>
    <n v="5"/>
    <n v="1"/>
    <n v="0.2"/>
    <n v="0.18179999999999999"/>
    <n v="0.51"/>
    <n v="0.35820000000000002"/>
    <n v="7"/>
    <n v="159"/>
    <n v="166"/>
    <x v="0"/>
    <s v="Spring"/>
    <x v="0"/>
    <x v="6"/>
    <n v="2011"/>
    <d v="2011-02-13T00:00:00"/>
    <x v="1"/>
  </r>
  <r>
    <n v="466"/>
    <x v="20"/>
    <n v="1"/>
    <n v="0"/>
    <n v="1"/>
    <x v="10"/>
    <b v="0"/>
    <n v="5"/>
    <n v="1"/>
    <n v="0.2"/>
    <n v="0.16669999999999999"/>
    <n v="0.47"/>
    <n v="0.4627"/>
    <n v="6"/>
    <n v="57"/>
    <n v="63"/>
    <x v="0"/>
    <s v="Spring"/>
    <x v="0"/>
    <x v="6"/>
    <n v="2011"/>
    <d v="2011-02-13T00:00:00"/>
    <x v="1"/>
  </r>
  <r>
    <n v="467"/>
    <x v="20"/>
    <n v="1"/>
    <n v="0"/>
    <n v="1"/>
    <x v="11"/>
    <b v="0"/>
    <n v="5"/>
    <n v="1"/>
    <n v="0.22"/>
    <n v="0.18179999999999999"/>
    <n v="0.41"/>
    <n v="0.4627"/>
    <n v="6"/>
    <n v="53"/>
    <n v="59"/>
    <x v="0"/>
    <s v="Spring"/>
    <x v="0"/>
    <x v="6"/>
    <n v="2011"/>
    <d v="2011-02-13T00:00:00"/>
    <x v="1"/>
  </r>
  <r>
    <n v="468"/>
    <x v="20"/>
    <n v="1"/>
    <n v="0"/>
    <n v="1"/>
    <x v="12"/>
    <b v="0"/>
    <n v="5"/>
    <n v="1"/>
    <n v="0.22"/>
    <n v="0.18179999999999999"/>
    <n v="0.27"/>
    <n v="0.58209999999999995"/>
    <n v="11"/>
    <n v="67"/>
    <n v="78"/>
    <x v="0"/>
    <s v="Spring"/>
    <x v="0"/>
    <x v="6"/>
    <n v="2011"/>
    <d v="2011-02-13T00:00:00"/>
    <x v="1"/>
  </r>
  <r>
    <n v="469"/>
    <x v="20"/>
    <n v="1"/>
    <n v="0"/>
    <n v="1"/>
    <x v="13"/>
    <b v="0"/>
    <n v="5"/>
    <n v="1"/>
    <n v="0.2"/>
    <n v="0.1515"/>
    <n v="0.21"/>
    <n v="0.58209999999999995"/>
    <n v="8"/>
    <n v="65"/>
    <n v="73"/>
    <x v="0"/>
    <s v="Spring"/>
    <x v="0"/>
    <x v="6"/>
    <n v="2011"/>
    <d v="2011-02-13T00:00:00"/>
    <x v="1"/>
  </r>
  <r>
    <n v="470"/>
    <x v="20"/>
    <n v="1"/>
    <n v="0"/>
    <n v="1"/>
    <x v="14"/>
    <b v="0"/>
    <n v="5"/>
    <n v="1"/>
    <n v="0.2"/>
    <n v="0.1515"/>
    <n v="0.25"/>
    <n v="0.52239999999999998"/>
    <n v="6"/>
    <n v="56"/>
    <n v="62"/>
    <x v="0"/>
    <s v="Spring"/>
    <x v="0"/>
    <x v="6"/>
    <n v="2011"/>
    <d v="2011-02-13T00:00:00"/>
    <x v="1"/>
  </r>
  <r>
    <n v="471"/>
    <x v="20"/>
    <n v="1"/>
    <n v="0"/>
    <n v="1"/>
    <x v="15"/>
    <b v="0"/>
    <n v="5"/>
    <n v="1"/>
    <n v="0.16"/>
    <n v="0.1212"/>
    <n v="0.26"/>
    <n v="0.44779999999999998"/>
    <n v="4"/>
    <n v="61"/>
    <n v="65"/>
    <x v="0"/>
    <s v="Spring"/>
    <x v="0"/>
    <x v="6"/>
    <n v="2011"/>
    <d v="2011-02-13T00:00:00"/>
    <x v="1"/>
  </r>
  <r>
    <n v="472"/>
    <x v="20"/>
    <n v="1"/>
    <n v="0"/>
    <n v="1"/>
    <x v="16"/>
    <b v="0"/>
    <n v="5"/>
    <n v="1"/>
    <n v="0.16"/>
    <n v="0.13639999999999999"/>
    <n v="0.26"/>
    <n v="0.35820000000000002"/>
    <n v="0"/>
    <n v="97"/>
    <n v="97"/>
    <x v="0"/>
    <s v="Spring"/>
    <x v="0"/>
    <x v="6"/>
    <n v="2011"/>
    <d v="2011-02-13T00:00:00"/>
    <x v="1"/>
  </r>
  <r>
    <n v="473"/>
    <x v="20"/>
    <n v="1"/>
    <n v="0"/>
    <n v="1"/>
    <x v="17"/>
    <b v="0"/>
    <n v="5"/>
    <n v="1"/>
    <n v="0.14000000000000001"/>
    <n v="0.1212"/>
    <n v="0.28000000000000003"/>
    <n v="0.35820000000000002"/>
    <n v="10"/>
    <n v="151"/>
    <n v="161"/>
    <x v="0"/>
    <s v="Spring"/>
    <x v="0"/>
    <x v="6"/>
    <n v="2011"/>
    <d v="2011-02-13T00:00:00"/>
    <x v="1"/>
  </r>
  <r>
    <n v="474"/>
    <x v="20"/>
    <n v="1"/>
    <n v="0"/>
    <n v="1"/>
    <x v="18"/>
    <b v="0"/>
    <n v="5"/>
    <n v="1"/>
    <n v="0.12"/>
    <n v="0.1212"/>
    <n v="0.3"/>
    <n v="0.25369999999999998"/>
    <n v="1"/>
    <n v="119"/>
    <n v="120"/>
    <x v="0"/>
    <s v="Spring"/>
    <x v="0"/>
    <x v="6"/>
    <n v="2011"/>
    <d v="2011-02-13T00:00:00"/>
    <x v="1"/>
  </r>
  <r>
    <n v="475"/>
    <x v="20"/>
    <n v="1"/>
    <n v="0"/>
    <n v="1"/>
    <x v="19"/>
    <b v="0"/>
    <n v="5"/>
    <n v="1"/>
    <n v="0.12"/>
    <n v="0.1061"/>
    <n v="0.3"/>
    <n v="0.32840000000000003"/>
    <n v="3"/>
    <n v="93"/>
    <n v="96"/>
    <x v="0"/>
    <s v="Spring"/>
    <x v="0"/>
    <x v="6"/>
    <n v="2011"/>
    <d v="2011-02-13T00:00:00"/>
    <x v="1"/>
  </r>
  <r>
    <n v="476"/>
    <x v="20"/>
    <n v="1"/>
    <n v="0"/>
    <n v="1"/>
    <x v="20"/>
    <b v="0"/>
    <n v="5"/>
    <n v="1"/>
    <n v="0.1"/>
    <n v="7.5800000000000006E-2"/>
    <n v="0.33"/>
    <n v="0.41789999999999999"/>
    <n v="1"/>
    <n v="52"/>
    <n v="53"/>
    <x v="0"/>
    <s v="Spring"/>
    <x v="0"/>
    <x v="6"/>
    <n v="2011"/>
    <d v="2011-02-13T00:00:00"/>
    <x v="1"/>
  </r>
  <r>
    <n v="477"/>
    <x v="20"/>
    <n v="1"/>
    <n v="0"/>
    <n v="1"/>
    <x v="21"/>
    <b v="0"/>
    <n v="5"/>
    <n v="1"/>
    <n v="0.08"/>
    <n v="7.5800000000000006E-2"/>
    <n v="0.38"/>
    <n v="0.28360000000000002"/>
    <n v="0"/>
    <n v="41"/>
    <n v="41"/>
    <x v="0"/>
    <s v="Spring"/>
    <x v="0"/>
    <x v="6"/>
    <n v="2011"/>
    <d v="2011-02-13T00:00:00"/>
    <x v="1"/>
  </r>
  <r>
    <n v="478"/>
    <x v="20"/>
    <n v="1"/>
    <n v="0"/>
    <n v="1"/>
    <x v="22"/>
    <b v="0"/>
    <n v="5"/>
    <n v="1"/>
    <n v="0.06"/>
    <n v="3.0300000000000001E-2"/>
    <n v="0.41"/>
    <n v="0.3881"/>
    <n v="1"/>
    <n v="33"/>
    <n v="34"/>
    <x v="0"/>
    <s v="Spring"/>
    <x v="0"/>
    <x v="6"/>
    <n v="2011"/>
    <d v="2011-02-13T00:00:00"/>
    <x v="1"/>
  </r>
  <r>
    <n v="479"/>
    <x v="20"/>
    <n v="1"/>
    <n v="0"/>
    <n v="1"/>
    <x v="23"/>
    <b v="0"/>
    <n v="5"/>
    <n v="1"/>
    <n v="0.06"/>
    <n v="4.5499999999999999E-2"/>
    <n v="0.38"/>
    <n v="0.32840000000000003"/>
    <n v="0"/>
    <n v="27"/>
    <n v="27"/>
    <x v="0"/>
    <s v="Spring"/>
    <x v="0"/>
    <x v="6"/>
    <n v="2011"/>
    <d v="2011-02-13T00:00:00"/>
    <x v="1"/>
  </r>
  <r>
    <n v="480"/>
    <x v="21"/>
    <n v="1"/>
    <n v="0"/>
    <n v="1"/>
    <x v="0"/>
    <b v="0"/>
    <n v="6"/>
    <n v="1"/>
    <n v="0.04"/>
    <n v="3.0300000000000001E-2"/>
    <n v="0.45"/>
    <n v="0.25369999999999998"/>
    <n v="0"/>
    <n v="13"/>
    <n v="13"/>
    <x v="0"/>
    <s v="Spring"/>
    <x v="0"/>
    <x v="0"/>
    <n v="2011"/>
    <d v="2011-02-13T00:00:00"/>
    <x v="0"/>
  </r>
  <r>
    <n v="481"/>
    <x v="21"/>
    <n v="1"/>
    <n v="0"/>
    <n v="1"/>
    <x v="1"/>
    <b v="0"/>
    <n v="6"/>
    <n v="2"/>
    <n v="0.04"/>
    <n v="0"/>
    <n v="0.41"/>
    <n v="0.3881"/>
    <n v="3"/>
    <n v="9"/>
    <n v="12"/>
    <x v="0"/>
    <s v="Spring"/>
    <x v="1"/>
    <x v="0"/>
    <n v="2011"/>
    <d v="2011-02-13T00:00:00"/>
    <x v="0"/>
  </r>
  <r>
    <n v="482"/>
    <x v="21"/>
    <n v="1"/>
    <n v="0"/>
    <n v="1"/>
    <x v="2"/>
    <b v="0"/>
    <n v="6"/>
    <n v="2"/>
    <n v="0.04"/>
    <n v="3.0300000000000001E-2"/>
    <n v="0.41"/>
    <n v="0.25369999999999998"/>
    <n v="0"/>
    <n v="11"/>
    <n v="11"/>
    <x v="0"/>
    <s v="Spring"/>
    <x v="1"/>
    <x v="0"/>
    <n v="2011"/>
    <d v="2011-02-13T00:00:00"/>
    <x v="0"/>
  </r>
  <r>
    <n v="483"/>
    <x v="21"/>
    <n v="1"/>
    <n v="0"/>
    <n v="1"/>
    <x v="3"/>
    <b v="0"/>
    <n v="6"/>
    <n v="2"/>
    <n v="0.04"/>
    <n v="3.0300000000000001E-2"/>
    <n v="0.41"/>
    <n v="0.28360000000000002"/>
    <n v="1"/>
    <n v="6"/>
    <n v="7"/>
    <x v="0"/>
    <s v="Spring"/>
    <x v="1"/>
    <x v="0"/>
    <n v="2011"/>
    <d v="2011-02-13T00:00:00"/>
    <x v="0"/>
  </r>
  <r>
    <n v="484"/>
    <x v="21"/>
    <n v="1"/>
    <n v="0"/>
    <n v="1"/>
    <x v="4"/>
    <b v="0"/>
    <n v="6"/>
    <n v="2"/>
    <n v="0.02"/>
    <n v="1.52E-2"/>
    <n v="0.48"/>
    <n v="0.29849999999999999"/>
    <n v="0"/>
    <n v="3"/>
    <n v="3"/>
    <x v="0"/>
    <s v="Spring"/>
    <x v="1"/>
    <x v="0"/>
    <n v="2011"/>
    <d v="2011-02-13T00:00:00"/>
    <x v="0"/>
  </r>
  <r>
    <n v="485"/>
    <x v="21"/>
    <n v="1"/>
    <n v="0"/>
    <n v="1"/>
    <x v="6"/>
    <b v="0"/>
    <n v="6"/>
    <n v="2"/>
    <n v="0.02"/>
    <n v="3.0300000000000001E-2"/>
    <n v="0.44"/>
    <n v="0.22389999999999999"/>
    <n v="0"/>
    <n v="2"/>
    <n v="2"/>
    <x v="0"/>
    <s v="Spring"/>
    <x v="1"/>
    <x v="0"/>
    <n v="2011"/>
    <d v="2011-02-13T00:00:00"/>
    <x v="0"/>
  </r>
  <r>
    <n v="486"/>
    <x v="21"/>
    <n v="1"/>
    <n v="0"/>
    <n v="1"/>
    <x v="7"/>
    <b v="0"/>
    <n v="6"/>
    <n v="1"/>
    <n v="0.02"/>
    <n v="1.52E-2"/>
    <n v="0.44"/>
    <n v="0.28360000000000002"/>
    <n v="0"/>
    <n v="8"/>
    <n v="8"/>
    <x v="0"/>
    <s v="Spring"/>
    <x v="0"/>
    <x v="0"/>
    <n v="2011"/>
    <d v="2011-02-13T00:00:00"/>
    <x v="0"/>
  </r>
  <r>
    <n v="487"/>
    <x v="21"/>
    <n v="1"/>
    <n v="0"/>
    <n v="1"/>
    <x v="8"/>
    <b v="0"/>
    <n v="6"/>
    <n v="1"/>
    <n v="0.02"/>
    <n v="0"/>
    <n v="0.44"/>
    <n v="0.32840000000000003"/>
    <n v="1"/>
    <n v="26"/>
    <n v="27"/>
    <x v="0"/>
    <s v="Spring"/>
    <x v="0"/>
    <x v="0"/>
    <n v="2011"/>
    <d v="2011-02-13T00:00:00"/>
    <x v="0"/>
  </r>
  <r>
    <n v="488"/>
    <x v="21"/>
    <n v="1"/>
    <n v="0"/>
    <n v="1"/>
    <x v="9"/>
    <b v="0"/>
    <n v="6"/>
    <n v="1"/>
    <n v="0.04"/>
    <n v="3.0300000000000001E-2"/>
    <n v="0.41"/>
    <n v="0.25369999999999998"/>
    <n v="3"/>
    <n v="37"/>
    <n v="40"/>
    <x v="0"/>
    <s v="Spring"/>
    <x v="0"/>
    <x v="0"/>
    <n v="2011"/>
    <d v="2011-02-13T00:00:00"/>
    <x v="0"/>
  </r>
  <r>
    <n v="489"/>
    <x v="21"/>
    <n v="1"/>
    <n v="0"/>
    <n v="1"/>
    <x v="10"/>
    <b v="0"/>
    <n v="6"/>
    <n v="2"/>
    <n v="0.04"/>
    <n v="6.0600000000000001E-2"/>
    <n v="0.41"/>
    <n v="0.16420000000000001"/>
    <n v="3"/>
    <n v="50"/>
    <n v="53"/>
    <x v="0"/>
    <s v="Spring"/>
    <x v="1"/>
    <x v="0"/>
    <n v="2011"/>
    <d v="2011-02-13T00:00:00"/>
    <x v="0"/>
  </r>
  <r>
    <n v="490"/>
    <x v="21"/>
    <n v="1"/>
    <n v="0"/>
    <n v="1"/>
    <x v="11"/>
    <b v="0"/>
    <n v="6"/>
    <n v="2"/>
    <n v="0.06"/>
    <n v="7.5800000000000006E-2"/>
    <n v="0.38"/>
    <n v="0.1343"/>
    <n v="4"/>
    <n v="59"/>
    <n v="63"/>
    <x v="0"/>
    <s v="Spring"/>
    <x v="1"/>
    <x v="0"/>
    <n v="2011"/>
    <d v="2011-02-13T00:00:00"/>
    <x v="0"/>
  </r>
  <r>
    <n v="491"/>
    <x v="21"/>
    <n v="1"/>
    <n v="0"/>
    <n v="1"/>
    <x v="12"/>
    <b v="0"/>
    <n v="6"/>
    <n v="2"/>
    <n v="0.06"/>
    <n v="0.1061"/>
    <n v="0.38"/>
    <n v="0.1045"/>
    <n v="10"/>
    <n v="60"/>
    <n v="70"/>
    <x v="0"/>
    <s v="Spring"/>
    <x v="1"/>
    <x v="0"/>
    <n v="2011"/>
    <d v="2011-02-13T00:00:00"/>
    <x v="0"/>
  </r>
  <r>
    <n v="492"/>
    <x v="21"/>
    <n v="1"/>
    <n v="0"/>
    <n v="1"/>
    <x v="13"/>
    <b v="0"/>
    <n v="6"/>
    <n v="1"/>
    <n v="0.08"/>
    <n v="0.16669999999999999"/>
    <n v="0.35"/>
    <n v="0"/>
    <n v="12"/>
    <n v="72"/>
    <n v="84"/>
    <x v="0"/>
    <s v="Spring"/>
    <x v="0"/>
    <x v="0"/>
    <n v="2011"/>
    <d v="2011-02-13T00:00:00"/>
    <x v="0"/>
  </r>
  <r>
    <n v="493"/>
    <x v="21"/>
    <n v="1"/>
    <n v="0"/>
    <n v="1"/>
    <x v="14"/>
    <b v="0"/>
    <n v="6"/>
    <n v="1"/>
    <n v="0.1"/>
    <n v="0.13639999999999999"/>
    <n v="0.33"/>
    <n v="0.1045"/>
    <n v="11"/>
    <n v="64"/>
    <n v="75"/>
    <x v="0"/>
    <s v="Spring"/>
    <x v="0"/>
    <x v="0"/>
    <n v="2011"/>
    <d v="2011-02-13T00:00:00"/>
    <x v="0"/>
  </r>
  <r>
    <n v="494"/>
    <x v="21"/>
    <n v="1"/>
    <n v="0"/>
    <n v="1"/>
    <x v="15"/>
    <b v="0"/>
    <n v="6"/>
    <n v="1"/>
    <n v="0.12"/>
    <n v="0.1515"/>
    <n v="0.28000000000000003"/>
    <n v="0"/>
    <n v="10"/>
    <n v="93"/>
    <n v="103"/>
    <x v="0"/>
    <s v="Spring"/>
    <x v="0"/>
    <x v="0"/>
    <n v="2011"/>
    <d v="2011-02-13T00:00:00"/>
    <x v="0"/>
  </r>
  <r>
    <n v="495"/>
    <x v="21"/>
    <n v="1"/>
    <n v="0"/>
    <n v="1"/>
    <x v="16"/>
    <b v="0"/>
    <n v="6"/>
    <n v="1"/>
    <n v="0.12"/>
    <n v="0.13639999999999999"/>
    <n v="0.28000000000000003"/>
    <n v="0.19400000000000001"/>
    <n v="11"/>
    <n v="72"/>
    <n v="83"/>
    <x v="0"/>
    <s v="Spring"/>
    <x v="0"/>
    <x v="0"/>
    <n v="2011"/>
    <d v="2011-02-13T00:00:00"/>
    <x v="0"/>
  </r>
  <r>
    <n v="496"/>
    <x v="21"/>
    <n v="1"/>
    <n v="0"/>
    <n v="1"/>
    <x v="17"/>
    <b v="0"/>
    <n v="6"/>
    <n v="1"/>
    <n v="0.12"/>
    <n v="0.19700000000000001"/>
    <n v="0.28000000000000003"/>
    <n v="0"/>
    <n v="8"/>
    <n v="59"/>
    <n v="67"/>
    <x v="0"/>
    <s v="Spring"/>
    <x v="0"/>
    <x v="0"/>
    <n v="2011"/>
    <d v="2011-02-13T00:00:00"/>
    <x v="0"/>
  </r>
  <r>
    <n v="497"/>
    <x v="21"/>
    <n v="1"/>
    <n v="0"/>
    <n v="1"/>
    <x v="18"/>
    <b v="0"/>
    <n v="6"/>
    <n v="1"/>
    <n v="0.08"/>
    <n v="9.0899999999999995E-2"/>
    <n v="0.35"/>
    <n v="0.19400000000000001"/>
    <n v="0"/>
    <n v="54"/>
    <n v="54"/>
    <x v="0"/>
    <s v="Spring"/>
    <x v="0"/>
    <x v="0"/>
    <n v="2011"/>
    <d v="2011-02-13T00:00:00"/>
    <x v="0"/>
  </r>
  <r>
    <n v="498"/>
    <x v="21"/>
    <n v="1"/>
    <n v="0"/>
    <n v="1"/>
    <x v="19"/>
    <b v="0"/>
    <n v="6"/>
    <n v="1"/>
    <n v="0.08"/>
    <n v="0.1061"/>
    <n v="0.35"/>
    <n v="0.1343"/>
    <n v="6"/>
    <n v="53"/>
    <n v="59"/>
    <x v="0"/>
    <s v="Spring"/>
    <x v="0"/>
    <x v="0"/>
    <n v="2011"/>
    <d v="2011-02-13T00:00:00"/>
    <x v="0"/>
  </r>
  <r>
    <n v="499"/>
    <x v="21"/>
    <n v="1"/>
    <n v="0"/>
    <n v="1"/>
    <x v="20"/>
    <b v="0"/>
    <n v="6"/>
    <n v="1"/>
    <n v="0.06"/>
    <n v="7.5800000000000006E-2"/>
    <n v="0.45"/>
    <n v="0.16420000000000001"/>
    <n v="1"/>
    <n v="44"/>
    <n v="45"/>
    <x v="0"/>
    <s v="Spring"/>
    <x v="0"/>
    <x v="0"/>
    <n v="2011"/>
    <d v="2011-02-13T00:00:00"/>
    <x v="0"/>
  </r>
  <r>
    <n v="500"/>
    <x v="21"/>
    <n v="1"/>
    <n v="0"/>
    <n v="1"/>
    <x v="21"/>
    <b v="0"/>
    <n v="6"/>
    <n v="1"/>
    <n v="0.06"/>
    <n v="0.1061"/>
    <n v="0.41"/>
    <n v="8.9599999999999999E-2"/>
    <n v="0"/>
    <n v="39"/>
    <n v="39"/>
    <x v="0"/>
    <s v="Spring"/>
    <x v="0"/>
    <x v="0"/>
    <n v="2011"/>
    <d v="2011-02-13T00:00:00"/>
    <x v="0"/>
  </r>
  <r>
    <n v="501"/>
    <x v="21"/>
    <n v="1"/>
    <n v="0"/>
    <n v="1"/>
    <x v="22"/>
    <b v="0"/>
    <n v="6"/>
    <n v="1"/>
    <n v="0.06"/>
    <n v="0.1515"/>
    <n v="0.49"/>
    <n v="0"/>
    <n v="7"/>
    <n v="23"/>
    <n v="30"/>
    <x v="0"/>
    <s v="Spring"/>
    <x v="0"/>
    <x v="0"/>
    <n v="2011"/>
    <d v="2011-02-13T00:00:00"/>
    <x v="0"/>
  </r>
  <r>
    <n v="502"/>
    <x v="21"/>
    <n v="1"/>
    <n v="0"/>
    <n v="1"/>
    <x v="23"/>
    <b v="0"/>
    <n v="6"/>
    <n v="1"/>
    <n v="0.04"/>
    <n v="7.5800000000000006E-2"/>
    <n v="0.56999999999999995"/>
    <n v="0.1045"/>
    <n v="2"/>
    <n v="31"/>
    <n v="33"/>
    <x v="0"/>
    <s v="Spring"/>
    <x v="0"/>
    <x v="0"/>
    <n v="2011"/>
    <d v="2011-02-13T00:00:00"/>
    <x v="0"/>
  </r>
  <r>
    <n v="503"/>
    <x v="22"/>
    <n v="1"/>
    <n v="0"/>
    <n v="1"/>
    <x v="0"/>
    <b v="0"/>
    <n v="0"/>
    <n v="1"/>
    <n v="0.04"/>
    <n v="7.5800000000000006E-2"/>
    <n v="0.56999999999999995"/>
    <n v="0.1045"/>
    <n v="2"/>
    <n v="20"/>
    <n v="22"/>
    <x v="0"/>
    <s v="Spring"/>
    <x v="0"/>
    <x v="1"/>
    <n v="2011"/>
    <d v="2011-02-13T00:00:00"/>
    <x v="0"/>
  </r>
  <r>
    <n v="504"/>
    <x v="22"/>
    <n v="1"/>
    <n v="0"/>
    <n v="1"/>
    <x v="1"/>
    <b v="0"/>
    <n v="0"/>
    <n v="1"/>
    <n v="0.04"/>
    <n v="7.5800000000000006E-2"/>
    <n v="0.56999999999999995"/>
    <n v="0.1045"/>
    <n v="1"/>
    <n v="12"/>
    <n v="13"/>
    <x v="0"/>
    <s v="Spring"/>
    <x v="0"/>
    <x v="1"/>
    <n v="2011"/>
    <d v="2011-02-13T00:00:00"/>
    <x v="0"/>
  </r>
  <r>
    <n v="505"/>
    <x v="22"/>
    <n v="1"/>
    <n v="0"/>
    <n v="1"/>
    <x v="2"/>
    <b v="0"/>
    <n v="0"/>
    <n v="1"/>
    <n v="0.02"/>
    <n v="6.0600000000000001E-2"/>
    <n v="0.62"/>
    <n v="0.1343"/>
    <n v="3"/>
    <n v="15"/>
    <n v="18"/>
    <x v="0"/>
    <s v="Spring"/>
    <x v="0"/>
    <x v="1"/>
    <n v="2011"/>
    <d v="2011-02-13T00:00:00"/>
    <x v="0"/>
  </r>
  <r>
    <n v="506"/>
    <x v="22"/>
    <n v="1"/>
    <n v="0"/>
    <n v="1"/>
    <x v="3"/>
    <b v="0"/>
    <n v="0"/>
    <n v="1"/>
    <n v="0.02"/>
    <n v="6.0600000000000001E-2"/>
    <n v="0.62"/>
    <n v="0.1343"/>
    <n v="1"/>
    <n v="4"/>
    <n v="5"/>
    <x v="0"/>
    <s v="Spring"/>
    <x v="0"/>
    <x v="1"/>
    <n v="2011"/>
    <d v="2011-02-13T00:00:00"/>
    <x v="0"/>
  </r>
  <r>
    <n v="507"/>
    <x v="22"/>
    <n v="1"/>
    <n v="0"/>
    <n v="1"/>
    <x v="5"/>
    <b v="0"/>
    <n v="0"/>
    <n v="2"/>
    <n v="0.04"/>
    <n v="7.5800000000000006E-2"/>
    <n v="0.56999999999999995"/>
    <n v="0.1045"/>
    <n v="0"/>
    <n v="3"/>
    <n v="3"/>
    <x v="0"/>
    <s v="Spring"/>
    <x v="1"/>
    <x v="1"/>
    <n v="2011"/>
    <d v="2011-02-13T00:00:00"/>
    <x v="0"/>
  </r>
  <r>
    <n v="508"/>
    <x v="22"/>
    <n v="1"/>
    <n v="0"/>
    <n v="1"/>
    <x v="6"/>
    <b v="0"/>
    <n v="0"/>
    <n v="2"/>
    <n v="0.04"/>
    <n v="7.5800000000000006E-2"/>
    <n v="0.56999999999999995"/>
    <n v="0.1045"/>
    <n v="0"/>
    <n v="1"/>
    <n v="1"/>
    <x v="0"/>
    <s v="Spring"/>
    <x v="1"/>
    <x v="1"/>
    <n v="2011"/>
    <d v="2011-02-13T00:00:00"/>
    <x v="0"/>
  </r>
  <r>
    <n v="509"/>
    <x v="22"/>
    <n v="1"/>
    <n v="0"/>
    <n v="1"/>
    <x v="7"/>
    <b v="0"/>
    <n v="0"/>
    <n v="1"/>
    <n v="0.08"/>
    <n v="0.1061"/>
    <n v="0.57999999999999996"/>
    <n v="0.16420000000000001"/>
    <n v="1"/>
    <n v="1"/>
    <n v="2"/>
    <x v="0"/>
    <s v="Spring"/>
    <x v="0"/>
    <x v="1"/>
    <n v="2011"/>
    <d v="2011-02-13T00:00:00"/>
    <x v="0"/>
  </r>
  <r>
    <n v="510"/>
    <x v="22"/>
    <n v="1"/>
    <n v="0"/>
    <n v="1"/>
    <x v="8"/>
    <b v="0"/>
    <n v="0"/>
    <n v="1"/>
    <n v="0.06"/>
    <n v="7.5800000000000006E-2"/>
    <n v="0.62"/>
    <n v="0.16420000000000001"/>
    <n v="2"/>
    <n v="17"/>
    <n v="19"/>
    <x v="0"/>
    <s v="Spring"/>
    <x v="0"/>
    <x v="1"/>
    <n v="2011"/>
    <d v="2011-02-13T00:00:00"/>
    <x v="0"/>
  </r>
  <r>
    <n v="511"/>
    <x v="22"/>
    <n v="1"/>
    <n v="0"/>
    <n v="1"/>
    <x v="9"/>
    <b v="0"/>
    <n v="0"/>
    <n v="1"/>
    <n v="0.1"/>
    <n v="7.5800000000000006E-2"/>
    <n v="0.54"/>
    <n v="0.35820000000000002"/>
    <n v="3"/>
    <n v="25"/>
    <n v="28"/>
    <x v="0"/>
    <s v="Spring"/>
    <x v="0"/>
    <x v="1"/>
    <n v="2011"/>
    <d v="2011-02-13T00:00:00"/>
    <x v="0"/>
  </r>
  <r>
    <n v="512"/>
    <x v="22"/>
    <n v="1"/>
    <n v="0"/>
    <n v="1"/>
    <x v="10"/>
    <b v="0"/>
    <n v="0"/>
    <n v="1"/>
    <n v="0.14000000000000001"/>
    <n v="0.1061"/>
    <n v="0.46"/>
    <n v="0.3881"/>
    <n v="7"/>
    <n v="51"/>
    <n v="58"/>
    <x v="0"/>
    <s v="Spring"/>
    <x v="0"/>
    <x v="1"/>
    <n v="2011"/>
    <d v="2011-02-13T00:00:00"/>
    <x v="0"/>
  </r>
  <r>
    <n v="513"/>
    <x v="22"/>
    <n v="1"/>
    <n v="0"/>
    <n v="1"/>
    <x v="11"/>
    <b v="0"/>
    <n v="0"/>
    <n v="1"/>
    <n v="0.14000000000000001"/>
    <n v="0.13639999999999999"/>
    <n v="0.43"/>
    <n v="0.22389999999999999"/>
    <n v="22"/>
    <n v="77"/>
    <n v="99"/>
    <x v="0"/>
    <s v="Spring"/>
    <x v="0"/>
    <x v="1"/>
    <n v="2011"/>
    <d v="2011-02-13T00:00:00"/>
    <x v="0"/>
  </r>
  <r>
    <n v="514"/>
    <x v="22"/>
    <n v="1"/>
    <n v="0"/>
    <n v="1"/>
    <x v="12"/>
    <b v="0"/>
    <n v="0"/>
    <n v="1"/>
    <n v="0.16"/>
    <n v="0.1212"/>
    <n v="0.37"/>
    <n v="0.4627"/>
    <n v="24"/>
    <n v="92"/>
    <n v="116"/>
    <x v="0"/>
    <s v="Spring"/>
    <x v="0"/>
    <x v="1"/>
    <n v="2011"/>
    <d v="2011-02-13T00:00:00"/>
    <x v="0"/>
  </r>
  <r>
    <n v="515"/>
    <x v="22"/>
    <n v="1"/>
    <n v="0"/>
    <n v="1"/>
    <x v="13"/>
    <b v="0"/>
    <n v="0"/>
    <n v="1"/>
    <n v="0.14000000000000001"/>
    <n v="0.1061"/>
    <n v="0.33"/>
    <n v="0.3881"/>
    <n v="12"/>
    <n v="75"/>
    <n v="87"/>
    <x v="0"/>
    <s v="Spring"/>
    <x v="0"/>
    <x v="1"/>
    <n v="2011"/>
    <d v="2011-02-13T00:00:00"/>
    <x v="0"/>
  </r>
  <r>
    <n v="516"/>
    <x v="22"/>
    <n v="1"/>
    <n v="0"/>
    <n v="1"/>
    <x v="14"/>
    <b v="0"/>
    <n v="0"/>
    <n v="1"/>
    <n v="0.16"/>
    <n v="0.13639999999999999"/>
    <n v="0.28000000000000003"/>
    <n v="0.35820000000000002"/>
    <n v="17"/>
    <n v="93"/>
    <n v="110"/>
    <x v="0"/>
    <s v="Spring"/>
    <x v="0"/>
    <x v="1"/>
    <n v="2011"/>
    <d v="2011-02-13T00:00:00"/>
    <x v="0"/>
  </r>
  <r>
    <n v="517"/>
    <x v="22"/>
    <n v="1"/>
    <n v="0"/>
    <n v="1"/>
    <x v="15"/>
    <b v="0"/>
    <n v="0"/>
    <n v="1"/>
    <n v="0.16"/>
    <n v="0.13639999999999999"/>
    <n v="0.28000000000000003"/>
    <n v="0.35820000000000002"/>
    <n v="13"/>
    <n v="64"/>
    <n v="77"/>
    <x v="0"/>
    <s v="Spring"/>
    <x v="0"/>
    <x v="1"/>
    <n v="2011"/>
    <d v="2011-02-13T00:00:00"/>
    <x v="0"/>
  </r>
  <r>
    <n v="518"/>
    <x v="22"/>
    <n v="1"/>
    <n v="0"/>
    <n v="1"/>
    <x v="16"/>
    <b v="0"/>
    <n v="0"/>
    <n v="1"/>
    <n v="0.16"/>
    <n v="0.13639999999999999"/>
    <n v="0.26"/>
    <n v="0.32840000000000003"/>
    <n v="9"/>
    <n v="56"/>
    <n v="65"/>
    <x v="0"/>
    <s v="Spring"/>
    <x v="0"/>
    <x v="1"/>
    <n v="2011"/>
    <d v="2011-02-13T00:00:00"/>
    <x v="0"/>
  </r>
  <r>
    <n v="519"/>
    <x v="22"/>
    <n v="1"/>
    <n v="0"/>
    <n v="1"/>
    <x v="17"/>
    <b v="0"/>
    <n v="0"/>
    <n v="1"/>
    <n v="0.14000000000000001"/>
    <n v="0.1061"/>
    <n v="0.26"/>
    <n v="0.3881"/>
    <n v="5"/>
    <n v="50"/>
    <n v="55"/>
    <x v="0"/>
    <s v="Spring"/>
    <x v="0"/>
    <x v="1"/>
    <n v="2011"/>
    <d v="2011-02-13T00:00:00"/>
    <x v="0"/>
  </r>
  <r>
    <n v="520"/>
    <x v="22"/>
    <n v="1"/>
    <n v="0"/>
    <n v="1"/>
    <x v="18"/>
    <b v="0"/>
    <n v="0"/>
    <n v="1"/>
    <n v="0.12"/>
    <n v="0.1212"/>
    <n v="0.3"/>
    <n v="0.25369999999999998"/>
    <n v="5"/>
    <n v="44"/>
    <n v="49"/>
    <x v="0"/>
    <s v="Spring"/>
    <x v="0"/>
    <x v="1"/>
    <n v="2011"/>
    <d v="2011-02-13T00:00:00"/>
    <x v="0"/>
  </r>
  <r>
    <n v="521"/>
    <x v="22"/>
    <n v="1"/>
    <n v="0"/>
    <n v="1"/>
    <x v="19"/>
    <b v="0"/>
    <n v="0"/>
    <n v="1"/>
    <n v="0.12"/>
    <n v="0.1212"/>
    <n v="0.3"/>
    <n v="0.28360000000000002"/>
    <n v="5"/>
    <n v="45"/>
    <n v="50"/>
    <x v="0"/>
    <s v="Spring"/>
    <x v="0"/>
    <x v="1"/>
    <n v="2011"/>
    <d v="2011-02-13T00:00:00"/>
    <x v="0"/>
  </r>
  <r>
    <n v="522"/>
    <x v="22"/>
    <n v="1"/>
    <n v="0"/>
    <n v="1"/>
    <x v="20"/>
    <b v="0"/>
    <n v="0"/>
    <n v="1"/>
    <n v="0.1"/>
    <n v="0.1061"/>
    <n v="0.36"/>
    <n v="0.25369999999999998"/>
    <n v="4"/>
    <n v="31"/>
    <n v="35"/>
    <x v="0"/>
    <s v="Spring"/>
    <x v="0"/>
    <x v="1"/>
    <n v="2011"/>
    <d v="2011-02-13T00:00:00"/>
    <x v="0"/>
  </r>
  <r>
    <n v="523"/>
    <x v="22"/>
    <n v="1"/>
    <n v="0"/>
    <n v="1"/>
    <x v="21"/>
    <b v="0"/>
    <n v="0"/>
    <n v="1"/>
    <n v="0.1"/>
    <n v="0.1061"/>
    <n v="0.36"/>
    <n v="0.19400000000000001"/>
    <n v="5"/>
    <n v="20"/>
    <n v="25"/>
    <x v="0"/>
    <s v="Spring"/>
    <x v="0"/>
    <x v="1"/>
    <n v="2011"/>
    <d v="2011-02-13T00:00:00"/>
    <x v="0"/>
  </r>
  <r>
    <n v="524"/>
    <x v="22"/>
    <n v="1"/>
    <n v="0"/>
    <n v="1"/>
    <x v="22"/>
    <b v="0"/>
    <n v="0"/>
    <n v="1"/>
    <n v="0.08"/>
    <n v="9.0899999999999995E-2"/>
    <n v="0.38"/>
    <n v="0.19400000000000001"/>
    <n v="5"/>
    <n v="23"/>
    <n v="28"/>
    <x v="0"/>
    <s v="Spring"/>
    <x v="0"/>
    <x v="1"/>
    <n v="2011"/>
    <d v="2011-02-13T00:00:00"/>
    <x v="0"/>
  </r>
  <r>
    <n v="525"/>
    <x v="22"/>
    <n v="1"/>
    <n v="0"/>
    <n v="1"/>
    <x v="23"/>
    <b v="0"/>
    <n v="0"/>
    <n v="1"/>
    <n v="0.06"/>
    <n v="6.0600000000000001E-2"/>
    <n v="0.41"/>
    <n v="0.22389999999999999"/>
    <n v="4"/>
    <n v="17"/>
    <n v="21"/>
    <x v="0"/>
    <s v="Spring"/>
    <x v="0"/>
    <x v="1"/>
    <n v="2011"/>
    <d v="2011-02-13T00:00:00"/>
    <x v="0"/>
  </r>
  <r>
    <n v="526"/>
    <x v="23"/>
    <n v="1"/>
    <n v="0"/>
    <n v="1"/>
    <x v="0"/>
    <b v="0"/>
    <n v="1"/>
    <n v="1"/>
    <n v="0.06"/>
    <n v="6.0600000000000001E-2"/>
    <n v="0.41"/>
    <n v="0.19400000000000001"/>
    <n v="0"/>
    <n v="7"/>
    <n v="7"/>
    <x v="0"/>
    <s v="Spring"/>
    <x v="0"/>
    <x v="2"/>
    <n v="2011"/>
    <d v="2011-02-13T00:00:00"/>
    <x v="1"/>
  </r>
  <r>
    <n v="527"/>
    <x v="23"/>
    <n v="1"/>
    <n v="0"/>
    <n v="1"/>
    <x v="1"/>
    <b v="0"/>
    <n v="1"/>
    <n v="1"/>
    <n v="0.04"/>
    <n v="4.5499999999999999E-2"/>
    <n v="0.45"/>
    <n v="0.19400000000000001"/>
    <n v="0"/>
    <n v="1"/>
    <n v="1"/>
    <x v="0"/>
    <s v="Spring"/>
    <x v="0"/>
    <x v="2"/>
    <n v="2011"/>
    <d v="2011-02-13T00:00:00"/>
    <x v="1"/>
  </r>
  <r>
    <n v="528"/>
    <x v="23"/>
    <n v="1"/>
    <n v="0"/>
    <n v="1"/>
    <x v="3"/>
    <b v="0"/>
    <n v="1"/>
    <n v="1"/>
    <n v="0.04"/>
    <n v="3.0300000000000001E-2"/>
    <n v="0.45"/>
    <n v="0.25369999999999998"/>
    <n v="0"/>
    <n v="1"/>
    <n v="1"/>
    <x v="0"/>
    <s v="Spring"/>
    <x v="0"/>
    <x v="2"/>
    <n v="2011"/>
    <d v="2011-02-13T00:00:00"/>
    <x v="1"/>
  </r>
  <r>
    <n v="529"/>
    <x v="23"/>
    <n v="1"/>
    <n v="0"/>
    <n v="1"/>
    <x v="4"/>
    <b v="0"/>
    <n v="1"/>
    <n v="1"/>
    <n v="0.02"/>
    <n v="6.0600000000000001E-2"/>
    <n v="0.48"/>
    <n v="0.1343"/>
    <n v="0"/>
    <n v="1"/>
    <n v="1"/>
    <x v="0"/>
    <s v="Spring"/>
    <x v="0"/>
    <x v="2"/>
    <n v="2011"/>
    <d v="2011-02-13T00:00:00"/>
    <x v="1"/>
  </r>
  <r>
    <n v="530"/>
    <x v="23"/>
    <n v="1"/>
    <n v="0"/>
    <n v="1"/>
    <x v="5"/>
    <b v="0"/>
    <n v="1"/>
    <n v="1"/>
    <n v="0.02"/>
    <n v="6.0600000000000001E-2"/>
    <n v="0.48"/>
    <n v="0.1343"/>
    <n v="0"/>
    <n v="5"/>
    <n v="5"/>
    <x v="0"/>
    <s v="Spring"/>
    <x v="0"/>
    <x v="2"/>
    <n v="2011"/>
    <d v="2011-02-13T00:00:00"/>
    <x v="1"/>
  </r>
  <r>
    <n v="531"/>
    <x v="23"/>
    <n v="1"/>
    <n v="0"/>
    <n v="1"/>
    <x v="6"/>
    <b v="0"/>
    <n v="1"/>
    <n v="1"/>
    <n v="0.02"/>
    <n v="7.5800000000000006E-2"/>
    <n v="0.48"/>
    <n v="8.9599999999999999E-2"/>
    <n v="0"/>
    <n v="15"/>
    <n v="15"/>
    <x v="0"/>
    <s v="Spring"/>
    <x v="0"/>
    <x v="2"/>
    <n v="2011"/>
    <d v="2011-02-13T00:00:00"/>
    <x v="1"/>
  </r>
  <r>
    <n v="532"/>
    <x v="23"/>
    <n v="1"/>
    <n v="0"/>
    <n v="1"/>
    <x v="7"/>
    <b v="0"/>
    <n v="1"/>
    <n v="1"/>
    <n v="0.02"/>
    <n v="0.1212"/>
    <n v="0.48"/>
    <n v="0"/>
    <n v="5"/>
    <n v="79"/>
    <n v="84"/>
    <x v="0"/>
    <s v="Spring"/>
    <x v="0"/>
    <x v="2"/>
    <n v="2011"/>
    <d v="2011-02-13T00:00:00"/>
    <x v="1"/>
  </r>
  <r>
    <n v="533"/>
    <x v="23"/>
    <n v="1"/>
    <n v="0"/>
    <n v="1"/>
    <x v="8"/>
    <b v="0"/>
    <n v="1"/>
    <n v="1"/>
    <n v="0.04"/>
    <n v="0.13639999999999999"/>
    <n v="0.49"/>
    <n v="0"/>
    <n v="6"/>
    <n v="171"/>
    <n v="177"/>
    <x v="0"/>
    <s v="Spring"/>
    <x v="0"/>
    <x v="2"/>
    <n v="2011"/>
    <d v="2011-02-13T00:00:00"/>
    <x v="1"/>
  </r>
  <r>
    <n v="534"/>
    <x v="23"/>
    <n v="1"/>
    <n v="0"/>
    <n v="1"/>
    <x v="9"/>
    <b v="0"/>
    <n v="1"/>
    <n v="1"/>
    <n v="0.06"/>
    <n v="0.1515"/>
    <n v="0.41"/>
    <n v="0"/>
    <n v="4"/>
    <n v="98"/>
    <n v="102"/>
    <x v="0"/>
    <s v="Spring"/>
    <x v="0"/>
    <x v="2"/>
    <n v="2011"/>
    <d v="2011-02-13T00:00:00"/>
    <x v="1"/>
  </r>
  <r>
    <n v="535"/>
    <x v="23"/>
    <n v="1"/>
    <n v="0"/>
    <n v="1"/>
    <x v="10"/>
    <b v="0"/>
    <n v="1"/>
    <n v="1"/>
    <n v="0.1"/>
    <n v="0.13639999999999999"/>
    <n v="0.42"/>
    <n v="0"/>
    <n v="6"/>
    <n v="34"/>
    <n v="40"/>
    <x v="0"/>
    <s v="Spring"/>
    <x v="0"/>
    <x v="2"/>
    <n v="2011"/>
    <d v="2011-02-13T00:00:00"/>
    <x v="1"/>
  </r>
  <r>
    <n v="536"/>
    <x v="23"/>
    <n v="1"/>
    <n v="0"/>
    <n v="1"/>
    <x v="11"/>
    <b v="0"/>
    <n v="1"/>
    <n v="1"/>
    <n v="0.1"/>
    <n v="0.1212"/>
    <n v="0.46"/>
    <n v="0.1343"/>
    <n v="3"/>
    <n v="43"/>
    <n v="46"/>
    <x v="0"/>
    <s v="Spring"/>
    <x v="0"/>
    <x v="2"/>
    <n v="2011"/>
    <d v="2011-02-13T00:00:00"/>
    <x v="1"/>
  </r>
  <r>
    <n v="537"/>
    <x v="23"/>
    <n v="1"/>
    <n v="0"/>
    <n v="1"/>
    <x v="12"/>
    <b v="0"/>
    <n v="1"/>
    <n v="2"/>
    <n v="0.12"/>
    <n v="0.13639999999999999"/>
    <n v="0.42"/>
    <n v="0.19400000000000001"/>
    <n v="11"/>
    <n v="52"/>
    <n v="63"/>
    <x v="0"/>
    <s v="Spring"/>
    <x v="1"/>
    <x v="2"/>
    <n v="2011"/>
    <d v="2011-02-13T00:00:00"/>
    <x v="1"/>
  </r>
  <r>
    <n v="538"/>
    <x v="23"/>
    <n v="1"/>
    <n v="0"/>
    <n v="1"/>
    <x v="13"/>
    <b v="0"/>
    <n v="1"/>
    <n v="2"/>
    <n v="0.14000000000000001"/>
    <n v="0.13639999999999999"/>
    <n v="0.43"/>
    <n v="0.22389999999999999"/>
    <n v="6"/>
    <n v="54"/>
    <n v="60"/>
    <x v="0"/>
    <s v="Spring"/>
    <x v="1"/>
    <x v="2"/>
    <n v="2011"/>
    <d v="2011-02-13T00:00:00"/>
    <x v="1"/>
  </r>
  <r>
    <n v="539"/>
    <x v="23"/>
    <n v="1"/>
    <n v="0"/>
    <n v="1"/>
    <x v="14"/>
    <b v="0"/>
    <n v="1"/>
    <n v="2"/>
    <n v="0.14000000000000001"/>
    <n v="0.13639999999999999"/>
    <n v="0.46"/>
    <n v="0.22389999999999999"/>
    <n v="2"/>
    <n v="43"/>
    <n v="45"/>
    <x v="0"/>
    <s v="Spring"/>
    <x v="1"/>
    <x v="2"/>
    <n v="2011"/>
    <d v="2011-02-13T00:00:00"/>
    <x v="1"/>
  </r>
  <r>
    <n v="540"/>
    <x v="23"/>
    <n v="1"/>
    <n v="0"/>
    <n v="1"/>
    <x v="15"/>
    <b v="0"/>
    <n v="1"/>
    <n v="1"/>
    <n v="0.16"/>
    <n v="0.16669999999999999"/>
    <n v="0.4"/>
    <n v="0.16420000000000001"/>
    <n v="7"/>
    <n v="50"/>
    <n v="57"/>
    <x v="0"/>
    <s v="Spring"/>
    <x v="0"/>
    <x v="2"/>
    <n v="2011"/>
    <d v="2011-02-13T00:00:00"/>
    <x v="1"/>
  </r>
  <r>
    <n v="541"/>
    <x v="23"/>
    <n v="1"/>
    <n v="0"/>
    <n v="1"/>
    <x v="16"/>
    <b v="0"/>
    <n v="1"/>
    <n v="1"/>
    <n v="0.16"/>
    <n v="0.1515"/>
    <n v="0.47"/>
    <n v="0.25369999999999998"/>
    <n v="4"/>
    <n v="66"/>
    <n v="70"/>
    <x v="0"/>
    <s v="Spring"/>
    <x v="0"/>
    <x v="2"/>
    <n v="2011"/>
    <d v="2011-02-13T00:00:00"/>
    <x v="1"/>
  </r>
  <r>
    <n v="542"/>
    <x v="23"/>
    <n v="1"/>
    <n v="0"/>
    <n v="1"/>
    <x v="17"/>
    <b v="0"/>
    <n v="1"/>
    <n v="1"/>
    <n v="0.14000000000000001"/>
    <n v="0.1212"/>
    <n v="0.5"/>
    <n v="0.25369999999999998"/>
    <n v="6"/>
    <n v="178"/>
    <n v="184"/>
    <x v="0"/>
    <s v="Spring"/>
    <x v="0"/>
    <x v="2"/>
    <n v="2011"/>
    <d v="2011-02-13T00:00:00"/>
    <x v="1"/>
  </r>
  <r>
    <n v="543"/>
    <x v="23"/>
    <n v="1"/>
    <n v="0"/>
    <n v="1"/>
    <x v="18"/>
    <b v="0"/>
    <n v="1"/>
    <n v="1"/>
    <n v="0.14000000000000001"/>
    <n v="0.13639999999999999"/>
    <n v="0.59"/>
    <n v="0.19400000000000001"/>
    <n v="8"/>
    <n v="145"/>
    <n v="153"/>
    <x v="0"/>
    <s v="Spring"/>
    <x v="0"/>
    <x v="2"/>
    <n v="2011"/>
    <d v="2011-02-13T00:00:00"/>
    <x v="1"/>
  </r>
  <r>
    <n v="544"/>
    <x v="23"/>
    <n v="1"/>
    <n v="0"/>
    <n v="1"/>
    <x v="19"/>
    <b v="0"/>
    <n v="1"/>
    <n v="1"/>
    <n v="0.14000000000000001"/>
    <n v="0.1515"/>
    <n v="0.54"/>
    <n v="0.16420000000000001"/>
    <n v="5"/>
    <n v="101"/>
    <n v="106"/>
    <x v="0"/>
    <s v="Spring"/>
    <x v="0"/>
    <x v="2"/>
    <n v="2011"/>
    <d v="2011-02-13T00:00:00"/>
    <x v="1"/>
  </r>
  <r>
    <n v="545"/>
    <x v="23"/>
    <n v="1"/>
    <n v="0"/>
    <n v="1"/>
    <x v="20"/>
    <b v="0"/>
    <n v="1"/>
    <n v="1"/>
    <n v="0.14000000000000001"/>
    <n v="0.13639999999999999"/>
    <n v="0.59"/>
    <n v="0.19400000000000001"/>
    <n v="1"/>
    <n v="80"/>
    <n v="81"/>
    <x v="0"/>
    <s v="Spring"/>
    <x v="0"/>
    <x v="2"/>
    <n v="2011"/>
    <d v="2011-02-13T00:00:00"/>
    <x v="1"/>
  </r>
  <r>
    <n v="546"/>
    <x v="23"/>
    <n v="1"/>
    <n v="0"/>
    <n v="1"/>
    <x v="21"/>
    <b v="0"/>
    <n v="1"/>
    <n v="1"/>
    <n v="0.14000000000000001"/>
    <n v="0.1515"/>
    <n v="0.63"/>
    <n v="0.16420000000000001"/>
    <n v="6"/>
    <n v="53"/>
    <n v="59"/>
    <x v="0"/>
    <s v="Spring"/>
    <x v="0"/>
    <x v="2"/>
    <n v="2011"/>
    <d v="2011-02-13T00:00:00"/>
    <x v="1"/>
  </r>
  <r>
    <n v="547"/>
    <x v="23"/>
    <n v="1"/>
    <n v="0"/>
    <n v="1"/>
    <x v="22"/>
    <b v="0"/>
    <n v="1"/>
    <n v="2"/>
    <n v="0.14000000000000001"/>
    <n v="0.13639999999999999"/>
    <n v="0.63"/>
    <n v="0.22389999999999999"/>
    <n v="3"/>
    <n v="32"/>
    <n v="35"/>
    <x v="0"/>
    <s v="Spring"/>
    <x v="1"/>
    <x v="2"/>
    <n v="2011"/>
    <d v="2011-02-13T00:00:00"/>
    <x v="1"/>
  </r>
  <r>
    <n v="548"/>
    <x v="23"/>
    <n v="1"/>
    <n v="0"/>
    <n v="1"/>
    <x v="23"/>
    <b v="0"/>
    <n v="1"/>
    <n v="2"/>
    <n v="0.16"/>
    <n v="0.1515"/>
    <n v="0.64"/>
    <n v="0.25369999999999998"/>
    <n v="3"/>
    <n v="21"/>
    <n v="24"/>
    <x v="0"/>
    <s v="Spring"/>
    <x v="1"/>
    <x v="2"/>
    <n v="2011"/>
    <d v="2011-02-13T00:00:00"/>
    <x v="1"/>
  </r>
  <r>
    <n v="549"/>
    <x v="24"/>
    <n v="1"/>
    <n v="0"/>
    <n v="1"/>
    <x v="0"/>
    <b v="0"/>
    <n v="2"/>
    <n v="2"/>
    <n v="0.16"/>
    <n v="0.13639999999999999"/>
    <n v="0.69"/>
    <n v="0.28360000000000002"/>
    <n v="3"/>
    <n v="6"/>
    <n v="9"/>
    <x v="0"/>
    <s v="Spring"/>
    <x v="1"/>
    <x v="3"/>
    <n v="2011"/>
    <d v="2011-02-13T00:00:00"/>
    <x v="1"/>
  </r>
  <r>
    <n v="550"/>
    <x v="24"/>
    <n v="1"/>
    <n v="0"/>
    <n v="1"/>
    <x v="1"/>
    <b v="0"/>
    <n v="2"/>
    <n v="2"/>
    <n v="0.16"/>
    <n v="0.16669999999999999"/>
    <n v="0.69"/>
    <n v="0.16420000000000001"/>
    <n v="0"/>
    <n v="5"/>
    <n v="5"/>
    <x v="0"/>
    <s v="Spring"/>
    <x v="1"/>
    <x v="3"/>
    <n v="2011"/>
    <d v="2011-02-13T00:00:00"/>
    <x v="1"/>
  </r>
  <r>
    <n v="551"/>
    <x v="24"/>
    <n v="1"/>
    <n v="0"/>
    <n v="1"/>
    <x v="2"/>
    <b v="0"/>
    <n v="2"/>
    <n v="1"/>
    <n v="0.16"/>
    <n v="0.1515"/>
    <n v="0.69"/>
    <n v="0.22389999999999999"/>
    <n v="0"/>
    <n v="2"/>
    <n v="2"/>
    <x v="0"/>
    <s v="Spring"/>
    <x v="0"/>
    <x v="3"/>
    <n v="2011"/>
    <d v="2011-02-13T00:00:00"/>
    <x v="1"/>
  </r>
  <r>
    <n v="552"/>
    <x v="24"/>
    <n v="1"/>
    <n v="0"/>
    <n v="1"/>
    <x v="4"/>
    <b v="0"/>
    <n v="2"/>
    <n v="1"/>
    <n v="0.14000000000000001"/>
    <n v="0.16669999999999999"/>
    <n v="0.74"/>
    <n v="0.1045"/>
    <n v="0"/>
    <n v="1"/>
    <n v="1"/>
    <x v="0"/>
    <s v="Spring"/>
    <x v="0"/>
    <x v="3"/>
    <n v="2011"/>
    <d v="2011-02-13T00:00:00"/>
    <x v="1"/>
  </r>
  <r>
    <n v="553"/>
    <x v="24"/>
    <n v="1"/>
    <n v="0"/>
    <n v="1"/>
    <x v="5"/>
    <b v="0"/>
    <n v="2"/>
    <n v="1"/>
    <n v="0.14000000000000001"/>
    <n v="0.13639999999999999"/>
    <n v="0.74"/>
    <n v="0.22389999999999999"/>
    <n v="0"/>
    <n v="9"/>
    <n v="9"/>
    <x v="0"/>
    <s v="Spring"/>
    <x v="0"/>
    <x v="3"/>
    <n v="2011"/>
    <d v="2011-02-13T00:00:00"/>
    <x v="1"/>
  </r>
  <r>
    <n v="554"/>
    <x v="24"/>
    <n v="1"/>
    <n v="0"/>
    <n v="1"/>
    <x v="6"/>
    <b v="0"/>
    <n v="2"/>
    <n v="1"/>
    <n v="0.16"/>
    <n v="0.18179999999999999"/>
    <n v="0.74"/>
    <n v="0.1045"/>
    <n v="1"/>
    <n v="35"/>
    <n v="36"/>
    <x v="0"/>
    <s v="Spring"/>
    <x v="0"/>
    <x v="3"/>
    <n v="2011"/>
    <d v="2011-02-13T00:00:00"/>
    <x v="1"/>
  </r>
  <r>
    <n v="555"/>
    <x v="24"/>
    <n v="1"/>
    <n v="0"/>
    <n v="1"/>
    <x v="7"/>
    <b v="0"/>
    <n v="2"/>
    <n v="1"/>
    <n v="0.16"/>
    <n v="0.1515"/>
    <n v="0.74"/>
    <n v="0.22389999999999999"/>
    <n v="5"/>
    <n v="103"/>
    <n v="108"/>
    <x v="0"/>
    <s v="Spring"/>
    <x v="0"/>
    <x v="3"/>
    <n v="2011"/>
    <d v="2011-02-13T00:00:00"/>
    <x v="1"/>
  </r>
  <r>
    <n v="556"/>
    <x v="24"/>
    <n v="1"/>
    <n v="0"/>
    <n v="1"/>
    <x v="8"/>
    <b v="0"/>
    <n v="2"/>
    <n v="2"/>
    <n v="0.16"/>
    <n v="0.18179999999999999"/>
    <n v="0.74"/>
    <n v="0.1343"/>
    <n v="5"/>
    <n v="233"/>
    <n v="238"/>
    <x v="0"/>
    <s v="Spring"/>
    <x v="1"/>
    <x v="3"/>
    <n v="2011"/>
    <d v="2011-02-13T00:00:00"/>
    <x v="1"/>
  </r>
  <r>
    <n v="557"/>
    <x v="24"/>
    <n v="1"/>
    <n v="0"/>
    <n v="1"/>
    <x v="9"/>
    <b v="0"/>
    <n v="2"/>
    <n v="2"/>
    <n v="0.2"/>
    <n v="0.2273"/>
    <n v="0.64"/>
    <n v="8.9599999999999999E-2"/>
    <n v="10"/>
    <n v="134"/>
    <n v="144"/>
    <x v="0"/>
    <s v="Spring"/>
    <x v="1"/>
    <x v="3"/>
    <n v="2011"/>
    <d v="2011-02-13T00:00:00"/>
    <x v="1"/>
  </r>
  <r>
    <n v="558"/>
    <x v="24"/>
    <n v="1"/>
    <n v="0"/>
    <n v="1"/>
    <x v="10"/>
    <b v="0"/>
    <n v="2"/>
    <n v="2"/>
    <n v="0.22"/>
    <n v="0.2424"/>
    <n v="0.6"/>
    <n v="0.1045"/>
    <n v="6"/>
    <n v="49"/>
    <n v="55"/>
    <x v="0"/>
    <s v="Spring"/>
    <x v="1"/>
    <x v="3"/>
    <n v="2011"/>
    <d v="2011-02-13T00:00:00"/>
    <x v="1"/>
  </r>
  <r>
    <n v="559"/>
    <x v="24"/>
    <n v="1"/>
    <n v="0"/>
    <n v="1"/>
    <x v="11"/>
    <b v="0"/>
    <n v="2"/>
    <n v="2"/>
    <n v="0.24"/>
    <n v="0.2424"/>
    <n v="0.6"/>
    <n v="0.1343"/>
    <n v="6"/>
    <n v="55"/>
    <n v="61"/>
    <x v="0"/>
    <s v="Spring"/>
    <x v="1"/>
    <x v="3"/>
    <n v="2011"/>
    <d v="2011-02-13T00:00:00"/>
    <x v="1"/>
  </r>
  <r>
    <n v="560"/>
    <x v="24"/>
    <n v="1"/>
    <n v="0"/>
    <n v="1"/>
    <x v="12"/>
    <b v="0"/>
    <n v="2"/>
    <n v="2"/>
    <n v="0.26"/>
    <n v="0.28789999999999999"/>
    <n v="0.56000000000000005"/>
    <n v="8.9599999999999999E-2"/>
    <n v="21"/>
    <n v="85"/>
    <n v="106"/>
    <x v="0"/>
    <s v="Spring"/>
    <x v="1"/>
    <x v="3"/>
    <n v="2011"/>
    <d v="2011-02-13T00:00:00"/>
    <x v="1"/>
  </r>
  <r>
    <n v="561"/>
    <x v="24"/>
    <n v="1"/>
    <n v="0"/>
    <n v="1"/>
    <x v="13"/>
    <b v="0"/>
    <n v="2"/>
    <n v="2"/>
    <n v="0.26"/>
    <n v="0.2727"/>
    <n v="0.56000000000000005"/>
    <n v="0.1343"/>
    <n v="21"/>
    <n v="72"/>
    <n v="93"/>
    <x v="0"/>
    <s v="Spring"/>
    <x v="1"/>
    <x v="3"/>
    <n v="2011"/>
    <d v="2011-02-13T00:00:00"/>
    <x v="1"/>
  </r>
  <r>
    <n v="562"/>
    <x v="24"/>
    <n v="1"/>
    <n v="0"/>
    <n v="1"/>
    <x v="14"/>
    <b v="0"/>
    <n v="2"/>
    <n v="2"/>
    <n v="0.3"/>
    <n v="0.33329999999999999"/>
    <n v="0.45"/>
    <n v="0"/>
    <n v="11"/>
    <n v="57"/>
    <n v="68"/>
    <x v="0"/>
    <s v="Spring"/>
    <x v="1"/>
    <x v="3"/>
    <n v="2011"/>
    <d v="2011-02-13T00:00:00"/>
    <x v="1"/>
  </r>
  <r>
    <n v="563"/>
    <x v="24"/>
    <n v="1"/>
    <n v="0"/>
    <n v="1"/>
    <x v="15"/>
    <b v="0"/>
    <n v="2"/>
    <n v="2"/>
    <n v="0.32"/>
    <n v="0.34849999999999998"/>
    <n v="0.42"/>
    <n v="0"/>
    <n v="21"/>
    <n v="63"/>
    <n v="84"/>
    <x v="0"/>
    <s v="Spring"/>
    <x v="1"/>
    <x v="3"/>
    <n v="2011"/>
    <d v="2011-02-13T00:00:00"/>
    <x v="1"/>
  </r>
  <r>
    <n v="564"/>
    <x v="24"/>
    <n v="1"/>
    <n v="0"/>
    <n v="1"/>
    <x v="16"/>
    <b v="0"/>
    <n v="2"/>
    <n v="2"/>
    <n v="0.32"/>
    <n v="0.34849999999999998"/>
    <n v="0.42"/>
    <n v="0"/>
    <n v="14"/>
    <n v="102"/>
    <n v="116"/>
    <x v="0"/>
    <s v="Spring"/>
    <x v="1"/>
    <x v="3"/>
    <n v="2011"/>
    <d v="2011-02-13T00:00:00"/>
    <x v="1"/>
  </r>
  <r>
    <n v="565"/>
    <x v="24"/>
    <n v="1"/>
    <n v="0"/>
    <n v="1"/>
    <x v="17"/>
    <b v="0"/>
    <n v="2"/>
    <n v="1"/>
    <n v="0.3"/>
    <n v="0.33329999999999999"/>
    <n v="0.45"/>
    <n v="0"/>
    <n v="14"/>
    <n v="208"/>
    <n v="222"/>
    <x v="0"/>
    <s v="Spring"/>
    <x v="0"/>
    <x v="3"/>
    <n v="2011"/>
    <d v="2011-02-13T00:00:00"/>
    <x v="1"/>
  </r>
  <r>
    <n v="566"/>
    <x v="24"/>
    <n v="1"/>
    <n v="0"/>
    <n v="1"/>
    <x v="18"/>
    <b v="0"/>
    <n v="2"/>
    <n v="2"/>
    <n v="0.3"/>
    <n v="0.31819999999999998"/>
    <n v="0.49"/>
    <n v="8.9599999999999999E-2"/>
    <n v="7"/>
    <n v="218"/>
    <n v="225"/>
    <x v="0"/>
    <s v="Spring"/>
    <x v="1"/>
    <x v="3"/>
    <n v="2011"/>
    <d v="2011-02-13T00:00:00"/>
    <x v="1"/>
  </r>
  <r>
    <n v="567"/>
    <x v="24"/>
    <n v="1"/>
    <n v="0"/>
    <n v="1"/>
    <x v="19"/>
    <b v="0"/>
    <n v="2"/>
    <n v="2"/>
    <n v="0.26"/>
    <n v="0.2576"/>
    <n v="0.65"/>
    <n v="0.16420000000000001"/>
    <n v="13"/>
    <n v="133"/>
    <n v="146"/>
    <x v="0"/>
    <s v="Spring"/>
    <x v="1"/>
    <x v="3"/>
    <n v="2011"/>
    <d v="2011-02-13T00:00:00"/>
    <x v="1"/>
  </r>
  <r>
    <n v="568"/>
    <x v="24"/>
    <n v="1"/>
    <n v="0"/>
    <n v="1"/>
    <x v="20"/>
    <b v="0"/>
    <n v="2"/>
    <n v="1"/>
    <n v="0.24"/>
    <n v="0.2273"/>
    <n v="0.65"/>
    <n v="0.19400000000000001"/>
    <n v="16"/>
    <n v="103"/>
    <n v="119"/>
    <x v="0"/>
    <s v="Spring"/>
    <x v="0"/>
    <x v="3"/>
    <n v="2011"/>
    <d v="2011-02-13T00:00:00"/>
    <x v="1"/>
  </r>
  <r>
    <n v="569"/>
    <x v="24"/>
    <n v="1"/>
    <n v="0"/>
    <n v="1"/>
    <x v="21"/>
    <b v="0"/>
    <n v="2"/>
    <n v="1"/>
    <n v="0.24"/>
    <n v="0.2273"/>
    <n v="0.65"/>
    <n v="0.19400000000000001"/>
    <n v="5"/>
    <n v="40"/>
    <n v="45"/>
    <x v="0"/>
    <s v="Spring"/>
    <x v="0"/>
    <x v="3"/>
    <n v="2011"/>
    <d v="2011-02-13T00:00:00"/>
    <x v="1"/>
  </r>
  <r>
    <n v="570"/>
    <x v="24"/>
    <n v="1"/>
    <n v="0"/>
    <n v="1"/>
    <x v="22"/>
    <b v="0"/>
    <n v="2"/>
    <n v="1"/>
    <n v="0.22"/>
    <n v="0.2273"/>
    <n v="0.64"/>
    <n v="0.16420000000000001"/>
    <n v="4"/>
    <n v="49"/>
    <n v="53"/>
    <x v="0"/>
    <s v="Spring"/>
    <x v="0"/>
    <x v="3"/>
    <n v="2011"/>
    <d v="2011-02-13T00:00:00"/>
    <x v="1"/>
  </r>
  <r>
    <n v="571"/>
    <x v="24"/>
    <n v="1"/>
    <n v="0"/>
    <n v="1"/>
    <x v="23"/>
    <b v="0"/>
    <n v="2"/>
    <n v="2"/>
    <n v="0.22"/>
    <n v="0.2273"/>
    <n v="0.64"/>
    <n v="0.16420000000000001"/>
    <n v="3"/>
    <n v="37"/>
    <n v="40"/>
    <x v="0"/>
    <s v="Spring"/>
    <x v="1"/>
    <x v="3"/>
    <n v="2011"/>
    <d v="2011-02-13T00:00:00"/>
    <x v="1"/>
  </r>
  <r>
    <n v="572"/>
    <x v="25"/>
    <n v="1"/>
    <n v="0"/>
    <n v="1"/>
    <x v="0"/>
    <b v="0"/>
    <n v="3"/>
    <n v="2"/>
    <n v="0.22"/>
    <n v="0.2273"/>
    <n v="0.69"/>
    <n v="0.1343"/>
    <n v="3"/>
    <n v="14"/>
    <n v="17"/>
    <x v="0"/>
    <s v="Spring"/>
    <x v="1"/>
    <x v="4"/>
    <n v="2011"/>
    <d v="2011-02-13T00:00:00"/>
    <x v="1"/>
  </r>
  <r>
    <n v="573"/>
    <x v="25"/>
    <n v="1"/>
    <n v="0"/>
    <n v="1"/>
    <x v="1"/>
    <b v="0"/>
    <n v="3"/>
    <n v="2"/>
    <n v="0.24"/>
    <n v="0.2424"/>
    <n v="0.65"/>
    <n v="0.1343"/>
    <n v="0"/>
    <n v="5"/>
    <n v="5"/>
    <x v="0"/>
    <s v="Spring"/>
    <x v="1"/>
    <x v="4"/>
    <n v="2011"/>
    <d v="2011-02-13T00:00:00"/>
    <x v="1"/>
  </r>
  <r>
    <n v="574"/>
    <x v="25"/>
    <n v="1"/>
    <n v="0"/>
    <n v="1"/>
    <x v="2"/>
    <b v="0"/>
    <n v="3"/>
    <n v="3"/>
    <n v="0.22"/>
    <n v="0.2273"/>
    <n v="0.69"/>
    <n v="0.19400000000000001"/>
    <n v="3"/>
    <n v="7"/>
    <n v="10"/>
    <x v="0"/>
    <s v="Spring"/>
    <x v="2"/>
    <x v="4"/>
    <n v="2011"/>
    <d v="2011-02-13T00:00:00"/>
    <x v="1"/>
  </r>
  <r>
    <n v="575"/>
    <x v="25"/>
    <n v="1"/>
    <n v="0"/>
    <n v="1"/>
    <x v="5"/>
    <b v="0"/>
    <n v="3"/>
    <n v="3"/>
    <n v="0.2"/>
    <n v="0.18179999999999999"/>
    <n v="0.86"/>
    <n v="0.28360000000000002"/>
    <n v="0"/>
    <n v="1"/>
    <n v="1"/>
    <x v="0"/>
    <s v="Spring"/>
    <x v="2"/>
    <x v="4"/>
    <n v="2011"/>
    <d v="2011-02-13T00:00:00"/>
    <x v="1"/>
  </r>
  <r>
    <n v="576"/>
    <x v="25"/>
    <n v="1"/>
    <n v="0"/>
    <n v="1"/>
    <x v="6"/>
    <b v="0"/>
    <n v="3"/>
    <n v="3"/>
    <n v="0.2"/>
    <n v="0.18179999999999999"/>
    <n v="0.86"/>
    <n v="0.28360000000000002"/>
    <n v="0"/>
    <n v="8"/>
    <n v="8"/>
    <x v="0"/>
    <s v="Spring"/>
    <x v="2"/>
    <x v="4"/>
    <n v="2011"/>
    <d v="2011-02-13T00:00:00"/>
    <x v="1"/>
  </r>
  <r>
    <n v="577"/>
    <x v="25"/>
    <n v="1"/>
    <n v="0"/>
    <n v="1"/>
    <x v="7"/>
    <b v="0"/>
    <n v="3"/>
    <n v="3"/>
    <n v="0.22"/>
    <n v="0.21210000000000001"/>
    <n v="0.87"/>
    <n v="0.29849999999999999"/>
    <n v="1"/>
    <n v="29"/>
    <n v="30"/>
    <x v="0"/>
    <s v="Spring"/>
    <x v="2"/>
    <x v="4"/>
    <n v="2011"/>
    <d v="2011-02-13T00:00:00"/>
    <x v="1"/>
  </r>
  <r>
    <n v="578"/>
    <x v="25"/>
    <n v="1"/>
    <n v="0"/>
    <n v="1"/>
    <x v="8"/>
    <b v="0"/>
    <n v="3"/>
    <n v="3"/>
    <n v="0.22"/>
    <n v="0.21210000000000001"/>
    <n v="0.87"/>
    <n v="0.29849999999999999"/>
    <n v="3"/>
    <n v="69"/>
    <n v="72"/>
    <x v="0"/>
    <s v="Spring"/>
    <x v="2"/>
    <x v="4"/>
    <n v="2011"/>
    <d v="2011-02-13T00:00:00"/>
    <x v="1"/>
  </r>
  <r>
    <n v="579"/>
    <x v="25"/>
    <n v="1"/>
    <n v="0"/>
    <n v="1"/>
    <x v="9"/>
    <b v="0"/>
    <n v="3"/>
    <n v="3"/>
    <n v="0.22"/>
    <n v="0.21210000000000001"/>
    <n v="0.87"/>
    <n v="0.29849999999999999"/>
    <n v="3"/>
    <n v="55"/>
    <n v="58"/>
    <x v="0"/>
    <s v="Spring"/>
    <x v="2"/>
    <x v="4"/>
    <n v="2011"/>
    <d v="2011-02-13T00:00:00"/>
    <x v="1"/>
  </r>
  <r>
    <n v="580"/>
    <x v="25"/>
    <n v="1"/>
    <n v="0"/>
    <n v="1"/>
    <x v="10"/>
    <b v="0"/>
    <n v="3"/>
    <n v="3"/>
    <n v="0.22"/>
    <n v="0.21210000000000001"/>
    <n v="0.93"/>
    <n v="0.28360000000000002"/>
    <n v="2"/>
    <n v="26"/>
    <n v="28"/>
    <x v="0"/>
    <s v="Spring"/>
    <x v="2"/>
    <x v="4"/>
    <n v="2011"/>
    <d v="2011-02-13T00:00:00"/>
    <x v="1"/>
  </r>
  <r>
    <n v="581"/>
    <x v="25"/>
    <n v="1"/>
    <n v="0"/>
    <n v="1"/>
    <x v="11"/>
    <b v="0"/>
    <n v="3"/>
    <n v="3"/>
    <n v="0.22"/>
    <n v="0.19700000000000001"/>
    <n v="0.93"/>
    <n v="0.32840000000000003"/>
    <n v="6"/>
    <n v="35"/>
    <n v="41"/>
    <x v="0"/>
    <s v="Spring"/>
    <x v="2"/>
    <x v="4"/>
    <n v="2011"/>
    <d v="2011-02-13T00:00:00"/>
    <x v="1"/>
  </r>
  <r>
    <n v="582"/>
    <x v="25"/>
    <n v="1"/>
    <n v="0"/>
    <n v="1"/>
    <x v="12"/>
    <b v="0"/>
    <n v="3"/>
    <n v="3"/>
    <n v="0.22"/>
    <n v="0.19700000000000001"/>
    <n v="0.93"/>
    <n v="0.32840000000000003"/>
    <n v="7"/>
    <n v="41"/>
    <n v="48"/>
    <x v="0"/>
    <s v="Spring"/>
    <x v="2"/>
    <x v="4"/>
    <n v="2011"/>
    <d v="2011-02-13T00:00:00"/>
    <x v="1"/>
  </r>
  <r>
    <n v="583"/>
    <x v="25"/>
    <n v="1"/>
    <n v="0"/>
    <n v="1"/>
    <x v="13"/>
    <b v="0"/>
    <n v="3"/>
    <n v="3"/>
    <n v="0.22"/>
    <n v="0.19700000000000001"/>
    <n v="0.93"/>
    <n v="0.32840000000000003"/>
    <n v="4"/>
    <n v="43"/>
    <n v="47"/>
    <x v="0"/>
    <s v="Spring"/>
    <x v="2"/>
    <x v="4"/>
    <n v="2011"/>
    <d v="2011-02-13T00:00:00"/>
    <x v="1"/>
  </r>
  <r>
    <n v="584"/>
    <x v="25"/>
    <n v="1"/>
    <n v="0"/>
    <n v="1"/>
    <x v="14"/>
    <b v="0"/>
    <n v="3"/>
    <n v="3"/>
    <n v="0.22"/>
    <n v="0.19700000000000001"/>
    <n v="0.93"/>
    <n v="0.35820000000000002"/>
    <n v="0"/>
    <n v="36"/>
    <n v="36"/>
    <x v="0"/>
    <s v="Spring"/>
    <x v="2"/>
    <x v="4"/>
    <n v="2011"/>
    <d v="2011-02-13T00:00:00"/>
    <x v="1"/>
  </r>
  <r>
    <n v="585"/>
    <x v="25"/>
    <n v="1"/>
    <n v="0"/>
    <n v="1"/>
    <x v="15"/>
    <b v="0"/>
    <n v="3"/>
    <n v="3"/>
    <n v="0.22"/>
    <n v="0.18179999999999999"/>
    <n v="0.93"/>
    <n v="0.4627"/>
    <n v="1"/>
    <n v="42"/>
    <n v="43"/>
    <x v="0"/>
    <s v="Spring"/>
    <x v="2"/>
    <x v="4"/>
    <n v="2011"/>
    <d v="2011-02-13T00:00:00"/>
    <x v="1"/>
  </r>
  <r>
    <n v="586"/>
    <x v="25"/>
    <n v="1"/>
    <n v="0"/>
    <n v="1"/>
    <x v="16"/>
    <b v="0"/>
    <n v="3"/>
    <n v="4"/>
    <n v="0.22"/>
    <n v="0.19700000000000001"/>
    <n v="0.93"/>
    <n v="0.32840000000000003"/>
    <n v="1"/>
    <n v="35"/>
    <n v="36"/>
    <x v="0"/>
    <s v="Spring"/>
    <x v="3"/>
    <x v="4"/>
    <n v="2011"/>
    <d v="2011-02-13T00:00:00"/>
    <x v="1"/>
  </r>
  <r>
    <n v="587"/>
    <x v="25"/>
    <n v="1"/>
    <n v="0"/>
    <n v="1"/>
    <x v="17"/>
    <b v="0"/>
    <n v="3"/>
    <n v="3"/>
    <n v="0.2"/>
    <n v="0.18179999999999999"/>
    <n v="0.93"/>
    <n v="0.35820000000000002"/>
    <n v="0"/>
    <n v="26"/>
    <n v="26"/>
    <x v="0"/>
    <s v="Spring"/>
    <x v="2"/>
    <x v="4"/>
    <n v="2011"/>
    <d v="2011-02-13T00:00:00"/>
    <x v="1"/>
  </r>
  <r>
    <n v="588"/>
    <x v="26"/>
    <n v="1"/>
    <n v="0"/>
    <n v="1"/>
    <x v="16"/>
    <b v="0"/>
    <n v="4"/>
    <n v="1"/>
    <n v="0.22"/>
    <n v="0.2273"/>
    <n v="0.55000000000000004"/>
    <n v="0.19400000000000001"/>
    <n v="1"/>
    <n v="23"/>
    <n v="24"/>
    <x v="0"/>
    <s v="Spring"/>
    <x v="0"/>
    <x v="5"/>
    <n v="2011"/>
    <d v="2011-02-13T00:00:00"/>
    <x v="1"/>
  </r>
  <r>
    <n v="589"/>
    <x v="26"/>
    <n v="1"/>
    <n v="0"/>
    <n v="1"/>
    <x v="17"/>
    <b v="0"/>
    <n v="4"/>
    <n v="1"/>
    <n v="0.22"/>
    <n v="0.2424"/>
    <n v="0.55000000000000004"/>
    <n v="0.1045"/>
    <n v="2"/>
    <n v="82"/>
    <n v="84"/>
    <x v="0"/>
    <s v="Spring"/>
    <x v="0"/>
    <x v="5"/>
    <n v="2011"/>
    <d v="2011-02-13T00:00:00"/>
    <x v="1"/>
  </r>
  <r>
    <n v="590"/>
    <x v="26"/>
    <n v="1"/>
    <n v="0"/>
    <n v="1"/>
    <x v="18"/>
    <b v="0"/>
    <n v="4"/>
    <n v="1"/>
    <n v="0.2"/>
    <n v="0.2273"/>
    <n v="0.69"/>
    <n v="8.9599999999999999E-2"/>
    <n v="3"/>
    <n v="101"/>
    <n v="104"/>
    <x v="0"/>
    <s v="Spring"/>
    <x v="0"/>
    <x v="5"/>
    <n v="2011"/>
    <d v="2011-02-13T00:00:00"/>
    <x v="1"/>
  </r>
  <r>
    <n v="591"/>
    <x v="26"/>
    <n v="1"/>
    <n v="0"/>
    <n v="1"/>
    <x v="19"/>
    <b v="0"/>
    <n v="4"/>
    <n v="1"/>
    <n v="0.2"/>
    <n v="0.2273"/>
    <n v="0.69"/>
    <n v="8.9599999999999999E-2"/>
    <n v="3"/>
    <n v="76"/>
    <n v="79"/>
    <x v="0"/>
    <s v="Spring"/>
    <x v="0"/>
    <x v="5"/>
    <n v="2011"/>
    <d v="2011-02-13T00:00:00"/>
    <x v="1"/>
  </r>
  <r>
    <n v="592"/>
    <x v="26"/>
    <n v="1"/>
    <n v="0"/>
    <n v="1"/>
    <x v="20"/>
    <b v="0"/>
    <n v="4"/>
    <n v="1"/>
    <n v="0.18"/>
    <n v="0.21210000000000001"/>
    <n v="0.74"/>
    <n v="8.9599999999999999E-2"/>
    <n v="4"/>
    <n v="55"/>
    <n v="59"/>
    <x v="0"/>
    <s v="Spring"/>
    <x v="0"/>
    <x v="5"/>
    <n v="2011"/>
    <d v="2011-02-13T00:00:00"/>
    <x v="1"/>
  </r>
  <r>
    <n v="593"/>
    <x v="26"/>
    <n v="1"/>
    <n v="0"/>
    <n v="1"/>
    <x v="21"/>
    <b v="0"/>
    <n v="4"/>
    <n v="1"/>
    <n v="0.18"/>
    <n v="0.21210000000000001"/>
    <n v="0.74"/>
    <n v="8.9599999999999999E-2"/>
    <n v="2"/>
    <n v="36"/>
    <n v="38"/>
    <x v="0"/>
    <s v="Spring"/>
    <x v="0"/>
    <x v="5"/>
    <n v="2011"/>
    <d v="2011-02-13T00:00:00"/>
    <x v="1"/>
  </r>
  <r>
    <n v="594"/>
    <x v="26"/>
    <n v="1"/>
    <n v="0"/>
    <n v="1"/>
    <x v="22"/>
    <b v="0"/>
    <n v="4"/>
    <n v="1"/>
    <n v="0.18"/>
    <n v="0.21210000000000001"/>
    <n v="0.74"/>
    <n v="8.9599999999999999E-2"/>
    <n v="0"/>
    <n v="27"/>
    <n v="27"/>
    <x v="0"/>
    <s v="Spring"/>
    <x v="0"/>
    <x v="5"/>
    <n v="2011"/>
    <d v="2011-02-13T00:00:00"/>
    <x v="1"/>
  </r>
  <r>
    <n v="595"/>
    <x v="26"/>
    <n v="1"/>
    <n v="0"/>
    <n v="1"/>
    <x v="23"/>
    <b v="0"/>
    <n v="4"/>
    <n v="1"/>
    <n v="0.18"/>
    <n v="0.19700000000000001"/>
    <n v="0.8"/>
    <n v="0.16420000000000001"/>
    <n v="0"/>
    <n v="16"/>
    <n v="16"/>
    <x v="0"/>
    <s v="Spring"/>
    <x v="0"/>
    <x v="5"/>
    <n v="2011"/>
    <d v="2011-02-13T00:00:00"/>
    <x v="1"/>
  </r>
  <r>
    <n v="596"/>
    <x v="27"/>
    <n v="1"/>
    <n v="0"/>
    <n v="1"/>
    <x v="0"/>
    <b v="0"/>
    <n v="5"/>
    <n v="2"/>
    <n v="0.2"/>
    <n v="0.21210000000000001"/>
    <n v="0.75"/>
    <n v="0.1343"/>
    <n v="0"/>
    <n v="9"/>
    <n v="9"/>
    <x v="0"/>
    <s v="Spring"/>
    <x v="1"/>
    <x v="6"/>
    <n v="2011"/>
    <d v="2011-02-13T00:00:00"/>
    <x v="1"/>
  </r>
  <r>
    <n v="597"/>
    <x v="27"/>
    <n v="1"/>
    <n v="0"/>
    <n v="1"/>
    <x v="1"/>
    <b v="0"/>
    <n v="5"/>
    <n v="2"/>
    <n v="0.2"/>
    <n v="0.21210000000000001"/>
    <n v="0.75"/>
    <n v="0.1343"/>
    <n v="1"/>
    <n v="2"/>
    <n v="3"/>
    <x v="0"/>
    <s v="Spring"/>
    <x v="1"/>
    <x v="6"/>
    <n v="2011"/>
    <d v="2011-02-13T00:00:00"/>
    <x v="1"/>
  </r>
  <r>
    <n v="598"/>
    <x v="27"/>
    <n v="1"/>
    <n v="0"/>
    <n v="1"/>
    <x v="2"/>
    <b v="0"/>
    <n v="5"/>
    <n v="2"/>
    <n v="0.2"/>
    <n v="0.21210000000000001"/>
    <n v="0.75"/>
    <n v="0.16420000000000001"/>
    <n v="0"/>
    <n v="2"/>
    <n v="2"/>
    <x v="0"/>
    <s v="Spring"/>
    <x v="1"/>
    <x v="6"/>
    <n v="2011"/>
    <d v="2011-02-13T00:00:00"/>
    <x v="1"/>
  </r>
  <r>
    <n v="599"/>
    <x v="27"/>
    <n v="1"/>
    <n v="0"/>
    <n v="1"/>
    <x v="3"/>
    <b v="0"/>
    <n v="5"/>
    <n v="2"/>
    <n v="0.2"/>
    <n v="0.2273"/>
    <n v="0.75"/>
    <n v="0.1045"/>
    <n v="1"/>
    <n v="0"/>
    <n v="1"/>
    <x v="0"/>
    <s v="Spring"/>
    <x v="1"/>
    <x v="6"/>
    <n v="2011"/>
    <d v="2011-02-13T00:00:00"/>
    <x v="1"/>
  </r>
  <r>
    <n v="600"/>
    <x v="27"/>
    <n v="1"/>
    <n v="0"/>
    <n v="1"/>
    <x v="5"/>
    <b v="0"/>
    <n v="5"/>
    <n v="2"/>
    <n v="0.18"/>
    <n v="0.21210000000000001"/>
    <n v="0.8"/>
    <n v="0.1045"/>
    <n v="0"/>
    <n v="4"/>
    <n v="4"/>
    <x v="0"/>
    <s v="Spring"/>
    <x v="1"/>
    <x v="6"/>
    <n v="2011"/>
    <d v="2011-02-13T00:00:00"/>
    <x v="1"/>
  </r>
  <r>
    <n v="601"/>
    <x v="27"/>
    <n v="1"/>
    <n v="0"/>
    <n v="1"/>
    <x v="6"/>
    <b v="0"/>
    <n v="5"/>
    <n v="2"/>
    <n v="0.18"/>
    <n v="0.19700000000000001"/>
    <n v="0.8"/>
    <n v="0.1343"/>
    <n v="0"/>
    <n v="16"/>
    <n v="16"/>
    <x v="0"/>
    <s v="Spring"/>
    <x v="1"/>
    <x v="6"/>
    <n v="2011"/>
    <d v="2011-02-13T00:00:00"/>
    <x v="1"/>
  </r>
  <r>
    <n v="602"/>
    <x v="27"/>
    <n v="1"/>
    <n v="0"/>
    <n v="1"/>
    <x v="7"/>
    <b v="0"/>
    <n v="5"/>
    <n v="2"/>
    <n v="0.16"/>
    <n v="0.19700000000000001"/>
    <n v="0.86"/>
    <n v="8.9599999999999999E-2"/>
    <n v="2"/>
    <n v="58"/>
    <n v="60"/>
    <x v="0"/>
    <s v="Spring"/>
    <x v="1"/>
    <x v="6"/>
    <n v="2011"/>
    <d v="2011-02-13T00:00:00"/>
    <x v="1"/>
  </r>
  <r>
    <n v="603"/>
    <x v="27"/>
    <n v="1"/>
    <n v="0"/>
    <n v="1"/>
    <x v="8"/>
    <b v="0"/>
    <n v="5"/>
    <n v="2"/>
    <n v="0.16"/>
    <n v="0.19700000000000001"/>
    <n v="0.86"/>
    <n v="8.9599999999999999E-2"/>
    <n v="2"/>
    <n v="155"/>
    <n v="157"/>
    <x v="0"/>
    <s v="Spring"/>
    <x v="1"/>
    <x v="6"/>
    <n v="2011"/>
    <d v="2011-02-13T00:00:00"/>
    <x v="1"/>
  </r>
  <r>
    <n v="604"/>
    <x v="27"/>
    <n v="1"/>
    <n v="0"/>
    <n v="1"/>
    <x v="9"/>
    <b v="0"/>
    <n v="5"/>
    <n v="3"/>
    <n v="0.18"/>
    <n v="0.21210000000000001"/>
    <n v="0.86"/>
    <n v="8.9599999999999999E-2"/>
    <n v="6"/>
    <n v="95"/>
    <n v="101"/>
    <x v="0"/>
    <s v="Spring"/>
    <x v="2"/>
    <x v="6"/>
    <n v="2011"/>
    <d v="2011-02-13T00:00:00"/>
    <x v="1"/>
  </r>
  <r>
    <n v="605"/>
    <x v="27"/>
    <n v="1"/>
    <n v="0"/>
    <n v="1"/>
    <x v="10"/>
    <b v="0"/>
    <n v="5"/>
    <n v="3"/>
    <n v="0.18"/>
    <n v="0.21210000000000001"/>
    <n v="0.86"/>
    <n v="0.1045"/>
    <n v="0"/>
    <n v="49"/>
    <n v="49"/>
    <x v="0"/>
    <s v="Spring"/>
    <x v="2"/>
    <x v="6"/>
    <n v="2011"/>
    <d v="2011-02-13T00:00:00"/>
    <x v="1"/>
  </r>
  <r>
    <n v="606"/>
    <x v="27"/>
    <n v="1"/>
    <n v="0"/>
    <n v="1"/>
    <x v="11"/>
    <b v="0"/>
    <n v="5"/>
    <n v="3"/>
    <n v="0.18"/>
    <n v="0.21210000000000001"/>
    <n v="0.93"/>
    <n v="0.1045"/>
    <n v="0"/>
    <n v="30"/>
    <n v="30"/>
    <x v="0"/>
    <s v="Spring"/>
    <x v="2"/>
    <x v="6"/>
    <n v="2011"/>
    <d v="2011-02-13T00:00:00"/>
    <x v="1"/>
  </r>
  <r>
    <n v="607"/>
    <x v="27"/>
    <n v="1"/>
    <n v="0"/>
    <n v="1"/>
    <x v="12"/>
    <b v="0"/>
    <n v="5"/>
    <n v="3"/>
    <n v="0.18"/>
    <n v="0.21210000000000001"/>
    <n v="0.93"/>
    <n v="0.1045"/>
    <n v="1"/>
    <n v="28"/>
    <n v="29"/>
    <x v="0"/>
    <s v="Spring"/>
    <x v="2"/>
    <x v="6"/>
    <n v="2011"/>
    <d v="2011-02-13T00:00:00"/>
    <x v="1"/>
  </r>
  <r>
    <n v="608"/>
    <x v="27"/>
    <n v="1"/>
    <n v="0"/>
    <n v="1"/>
    <x v="13"/>
    <b v="0"/>
    <n v="5"/>
    <n v="3"/>
    <n v="0.18"/>
    <n v="0.21210000000000001"/>
    <n v="0.93"/>
    <n v="0.1045"/>
    <n v="0"/>
    <n v="31"/>
    <n v="31"/>
    <x v="0"/>
    <s v="Spring"/>
    <x v="2"/>
    <x v="6"/>
    <n v="2011"/>
    <d v="2011-02-13T00:00:00"/>
    <x v="1"/>
  </r>
  <r>
    <n v="609"/>
    <x v="27"/>
    <n v="1"/>
    <n v="0"/>
    <n v="1"/>
    <x v="14"/>
    <b v="0"/>
    <n v="5"/>
    <n v="3"/>
    <n v="0.22"/>
    <n v="0.2727"/>
    <n v="0.8"/>
    <n v="0"/>
    <n v="2"/>
    <n v="36"/>
    <n v="38"/>
    <x v="0"/>
    <s v="Spring"/>
    <x v="2"/>
    <x v="6"/>
    <n v="2011"/>
    <d v="2011-02-13T00:00:00"/>
    <x v="1"/>
  </r>
  <r>
    <n v="610"/>
    <x v="27"/>
    <n v="1"/>
    <n v="0"/>
    <n v="1"/>
    <x v="15"/>
    <b v="0"/>
    <n v="5"/>
    <n v="2"/>
    <n v="0.2"/>
    <n v="0.2576"/>
    <n v="0.86"/>
    <n v="0"/>
    <n v="1"/>
    <n v="40"/>
    <n v="41"/>
    <x v="0"/>
    <s v="Spring"/>
    <x v="1"/>
    <x v="6"/>
    <n v="2011"/>
    <d v="2011-02-13T00:00:00"/>
    <x v="1"/>
  </r>
  <r>
    <n v="611"/>
    <x v="27"/>
    <n v="1"/>
    <n v="0"/>
    <n v="1"/>
    <x v="16"/>
    <b v="0"/>
    <n v="5"/>
    <n v="1"/>
    <n v="0.22"/>
    <n v="0.2727"/>
    <n v="0.8"/>
    <n v="0"/>
    <n v="10"/>
    <n v="70"/>
    <n v="80"/>
    <x v="0"/>
    <s v="Spring"/>
    <x v="0"/>
    <x v="6"/>
    <n v="2011"/>
    <d v="2011-02-13T00:00:00"/>
    <x v="1"/>
  </r>
  <r>
    <n v="612"/>
    <x v="27"/>
    <n v="1"/>
    <n v="0"/>
    <n v="1"/>
    <x v="17"/>
    <b v="0"/>
    <n v="5"/>
    <n v="1"/>
    <n v="0.24"/>
    <n v="0.2424"/>
    <n v="0.75"/>
    <n v="0.1343"/>
    <n v="2"/>
    <n v="147"/>
    <n v="149"/>
    <x v="0"/>
    <s v="Spring"/>
    <x v="0"/>
    <x v="6"/>
    <n v="2011"/>
    <d v="2011-02-13T00:00:00"/>
    <x v="1"/>
  </r>
  <r>
    <n v="613"/>
    <x v="27"/>
    <n v="1"/>
    <n v="0"/>
    <n v="1"/>
    <x v="18"/>
    <b v="0"/>
    <n v="5"/>
    <n v="1"/>
    <n v="0.24"/>
    <n v="0.2273"/>
    <n v="0.75"/>
    <n v="0.19400000000000001"/>
    <n v="2"/>
    <n v="107"/>
    <n v="109"/>
    <x v="0"/>
    <s v="Spring"/>
    <x v="0"/>
    <x v="6"/>
    <n v="2011"/>
    <d v="2011-02-13T00:00:00"/>
    <x v="1"/>
  </r>
  <r>
    <n v="614"/>
    <x v="27"/>
    <n v="1"/>
    <n v="0"/>
    <n v="1"/>
    <x v="19"/>
    <b v="0"/>
    <n v="5"/>
    <n v="2"/>
    <n v="0.24"/>
    <n v="0.2424"/>
    <n v="0.75"/>
    <n v="0.1343"/>
    <n v="5"/>
    <n v="84"/>
    <n v="89"/>
    <x v="0"/>
    <s v="Spring"/>
    <x v="1"/>
    <x v="6"/>
    <n v="2011"/>
    <d v="2011-02-13T00:00:00"/>
    <x v="1"/>
  </r>
  <r>
    <n v="615"/>
    <x v="27"/>
    <n v="1"/>
    <n v="0"/>
    <n v="1"/>
    <x v="20"/>
    <b v="0"/>
    <n v="5"/>
    <n v="2"/>
    <n v="0.24"/>
    <n v="0.2273"/>
    <n v="0.7"/>
    <n v="0.19400000000000001"/>
    <n v="1"/>
    <n v="61"/>
    <n v="62"/>
    <x v="0"/>
    <s v="Spring"/>
    <x v="1"/>
    <x v="6"/>
    <n v="2011"/>
    <d v="2011-02-13T00:00:00"/>
    <x v="1"/>
  </r>
  <r>
    <n v="616"/>
    <x v="27"/>
    <n v="1"/>
    <n v="0"/>
    <n v="1"/>
    <x v="21"/>
    <b v="0"/>
    <n v="5"/>
    <n v="2"/>
    <n v="0.22"/>
    <n v="0.2273"/>
    <n v="0.75"/>
    <n v="0.1343"/>
    <n v="1"/>
    <n v="57"/>
    <n v="58"/>
    <x v="0"/>
    <s v="Spring"/>
    <x v="1"/>
    <x v="6"/>
    <n v="2011"/>
    <d v="2011-02-13T00:00:00"/>
    <x v="1"/>
  </r>
  <r>
    <n v="617"/>
    <x v="27"/>
    <n v="1"/>
    <n v="0"/>
    <n v="1"/>
    <x v="22"/>
    <b v="0"/>
    <n v="5"/>
    <n v="1"/>
    <n v="0.24"/>
    <n v="0.21210000000000001"/>
    <n v="0.65"/>
    <n v="0.35820000000000002"/>
    <n v="0"/>
    <n v="26"/>
    <n v="26"/>
    <x v="0"/>
    <s v="Spring"/>
    <x v="0"/>
    <x v="6"/>
    <n v="2011"/>
    <d v="2011-02-13T00:00:00"/>
    <x v="1"/>
  </r>
  <r>
    <n v="618"/>
    <x v="27"/>
    <n v="1"/>
    <n v="0"/>
    <n v="1"/>
    <x v="23"/>
    <b v="0"/>
    <n v="5"/>
    <n v="1"/>
    <n v="0.24"/>
    <n v="0.2273"/>
    <n v="0.6"/>
    <n v="0.22389999999999999"/>
    <n v="1"/>
    <n v="22"/>
    <n v="23"/>
    <x v="0"/>
    <s v="Spring"/>
    <x v="0"/>
    <x v="6"/>
    <n v="2011"/>
    <d v="2011-02-13T00:00:00"/>
    <x v="1"/>
  </r>
  <r>
    <n v="619"/>
    <x v="28"/>
    <n v="1"/>
    <n v="0"/>
    <n v="1"/>
    <x v="0"/>
    <b v="0"/>
    <n v="6"/>
    <n v="1"/>
    <n v="0.22"/>
    <n v="0.19700000000000001"/>
    <n v="0.64"/>
    <n v="0.35820000000000002"/>
    <n v="2"/>
    <n v="26"/>
    <n v="28"/>
    <x v="0"/>
    <s v="Spring"/>
    <x v="0"/>
    <x v="0"/>
    <n v="2011"/>
    <d v="2011-02-13T00:00:00"/>
    <x v="0"/>
  </r>
  <r>
    <n v="620"/>
    <x v="28"/>
    <n v="1"/>
    <n v="0"/>
    <n v="1"/>
    <x v="1"/>
    <b v="0"/>
    <n v="6"/>
    <n v="1"/>
    <n v="0.22"/>
    <n v="0.2273"/>
    <n v="0.64"/>
    <n v="0.19400000000000001"/>
    <n v="0"/>
    <n v="20"/>
    <n v="20"/>
    <x v="0"/>
    <s v="Spring"/>
    <x v="0"/>
    <x v="0"/>
    <n v="2011"/>
    <d v="2011-02-13T00:00:00"/>
    <x v="0"/>
  </r>
  <r>
    <n v="621"/>
    <x v="28"/>
    <n v="1"/>
    <n v="0"/>
    <n v="1"/>
    <x v="2"/>
    <b v="0"/>
    <n v="6"/>
    <n v="1"/>
    <n v="0.22"/>
    <n v="0.2273"/>
    <n v="0.64"/>
    <n v="0.16420000000000001"/>
    <n v="0"/>
    <n v="15"/>
    <n v="15"/>
    <x v="0"/>
    <s v="Spring"/>
    <x v="0"/>
    <x v="0"/>
    <n v="2011"/>
    <d v="2011-02-13T00:00:00"/>
    <x v="0"/>
  </r>
  <r>
    <n v="622"/>
    <x v="28"/>
    <n v="1"/>
    <n v="0"/>
    <n v="1"/>
    <x v="3"/>
    <b v="0"/>
    <n v="6"/>
    <n v="1"/>
    <n v="0.2"/>
    <n v="0.21210000000000001"/>
    <n v="0.64"/>
    <n v="0.1343"/>
    <n v="3"/>
    <n v="5"/>
    <n v="8"/>
    <x v="0"/>
    <s v="Spring"/>
    <x v="0"/>
    <x v="0"/>
    <n v="2011"/>
    <d v="2011-02-13T00:00:00"/>
    <x v="0"/>
  </r>
  <r>
    <n v="623"/>
    <x v="28"/>
    <n v="1"/>
    <n v="0"/>
    <n v="1"/>
    <x v="4"/>
    <b v="0"/>
    <n v="6"/>
    <n v="1"/>
    <n v="0.16"/>
    <n v="0.18179999999999999"/>
    <n v="0.69"/>
    <n v="0.1045"/>
    <n v="1"/>
    <n v="2"/>
    <n v="3"/>
    <x v="0"/>
    <s v="Spring"/>
    <x v="0"/>
    <x v="0"/>
    <n v="2011"/>
    <d v="2011-02-13T00:00:00"/>
    <x v="0"/>
  </r>
  <r>
    <n v="624"/>
    <x v="28"/>
    <n v="1"/>
    <n v="0"/>
    <n v="1"/>
    <x v="6"/>
    <b v="0"/>
    <n v="6"/>
    <n v="1"/>
    <n v="0.16"/>
    <n v="0.18179999999999999"/>
    <n v="0.64"/>
    <n v="0.1343"/>
    <n v="0"/>
    <n v="2"/>
    <n v="2"/>
    <x v="0"/>
    <s v="Spring"/>
    <x v="0"/>
    <x v="0"/>
    <n v="2011"/>
    <d v="2011-02-13T00:00:00"/>
    <x v="0"/>
  </r>
  <r>
    <n v="625"/>
    <x v="28"/>
    <n v="1"/>
    <n v="0"/>
    <n v="1"/>
    <x v="7"/>
    <b v="0"/>
    <n v="6"/>
    <n v="1"/>
    <n v="0.16"/>
    <n v="0.18179999999999999"/>
    <n v="0.59"/>
    <n v="0.1045"/>
    <n v="1"/>
    <n v="4"/>
    <n v="5"/>
    <x v="0"/>
    <s v="Spring"/>
    <x v="0"/>
    <x v="0"/>
    <n v="2011"/>
    <d v="2011-02-13T00:00:00"/>
    <x v="0"/>
  </r>
  <r>
    <n v="626"/>
    <x v="28"/>
    <n v="1"/>
    <n v="0"/>
    <n v="1"/>
    <x v="8"/>
    <b v="0"/>
    <n v="6"/>
    <n v="1"/>
    <n v="0.18"/>
    <n v="0.19700000000000001"/>
    <n v="0.55000000000000004"/>
    <n v="0.16420000000000001"/>
    <n v="3"/>
    <n v="31"/>
    <n v="34"/>
    <x v="0"/>
    <s v="Spring"/>
    <x v="0"/>
    <x v="0"/>
    <n v="2011"/>
    <d v="2011-02-13T00:00:00"/>
    <x v="0"/>
  </r>
  <r>
    <n v="627"/>
    <x v="28"/>
    <n v="1"/>
    <n v="0"/>
    <n v="1"/>
    <x v="9"/>
    <b v="0"/>
    <n v="6"/>
    <n v="1"/>
    <n v="0.18"/>
    <n v="0.21210000000000001"/>
    <n v="0.59"/>
    <n v="8.9599999999999999E-2"/>
    <n v="0"/>
    <n v="34"/>
    <n v="34"/>
    <x v="0"/>
    <s v="Spring"/>
    <x v="0"/>
    <x v="0"/>
    <n v="2011"/>
    <d v="2011-02-13T00:00:00"/>
    <x v="0"/>
  </r>
  <r>
    <n v="628"/>
    <x v="28"/>
    <n v="1"/>
    <n v="0"/>
    <n v="1"/>
    <x v="10"/>
    <b v="0"/>
    <n v="6"/>
    <n v="2"/>
    <n v="0.18"/>
    <n v="0.21210000000000001"/>
    <n v="0.64"/>
    <n v="0.1045"/>
    <n v="4"/>
    <n v="51"/>
    <n v="55"/>
    <x v="0"/>
    <s v="Spring"/>
    <x v="1"/>
    <x v="0"/>
    <n v="2011"/>
    <d v="2011-02-13T00:00:00"/>
    <x v="0"/>
  </r>
  <r>
    <n v="629"/>
    <x v="28"/>
    <n v="1"/>
    <n v="0"/>
    <n v="1"/>
    <x v="11"/>
    <b v="0"/>
    <n v="6"/>
    <n v="2"/>
    <n v="0.18"/>
    <n v="0.19700000000000001"/>
    <n v="0.64"/>
    <n v="0.1343"/>
    <n v="4"/>
    <n v="60"/>
    <n v="64"/>
    <x v="0"/>
    <s v="Spring"/>
    <x v="1"/>
    <x v="0"/>
    <n v="2011"/>
    <d v="2011-02-13T00:00:00"/>
    <x v="0"/>
  </r>
  <r>
    <n v="630"/>
    <x v="28"/>
    <n v="1"/>
    <n v="0"/>
    <n v="1"/>
    <x v="12"/>
    <b v="0"/>
    <n v="6"/>
    <n v="2"/>
    <n v="0.2"/>
    <n v="0.19700000000000001"/>
    <n v="0.59"/>
    <n v="0.19400000000000001"/>
    <n v="12"/>
    <n v="66"/>
    <n v="78"/>
    <x v="0"/>
    <s v="Spring"/>
    <x v="1"/>
    <x v="0"/>
    <n v="2011"/>
    <d v="2011-02-13T00:00:00"/>
    <x v="0"/>
  </r>
  <r>
    <n v="631"/>
    <x v="28"/>
    <n v="1"/>
    <n v="0"/>
    <n v="1"/>
    <x v="13"/>
    <b v="0"/>
    <n v="6"/>
    <n v="2"/>
    <n v="0.22"/>
    <n v="0.2273"/>
    <n v="0.55000000000000004"/>
    <n v="0.16420000000000001"/>
    <n v="9"/>
    <n v="56"/>
    <n v="65"/>
    <x v="0"/>
    <s v="Spring"/>
    <x v="1"/>
    <x v="0"/>
    <n v="2011"/>
    <d v="2011-02-13T00:00:00"/>
    <x v="0"/>
  </r>
  <r>
    <n v="632"/>
    <x v="28"/>
    <n v="1"/>
    <n v="0"/>
    <n v="1"/>
    <x v="14"/>
    <b v="0"/>
    <n v="6"/>
    <n v="2"/>
    <n v="0.22"/>
    <n v="0.2273"/>
    <n v="0.6"/>
    <n v="0.1343"/>
    <n v="10"/>
    <n v="89"/>
    <n v="99"/>
    <x v="0"/>
    <s v="Spring"/>
    <x v="1"/>
    <x v="0"/>
    <n v="2011"/>
    <d v="2011-02-13T00:00:00"/>
    <x v="0"/>
  </r>
  <r>
    <n v="633"/>
    <x v="28"/>
    <n v="1"/>
    <n v="0"/>
    <n v="1"/>
    <x v="15"/>
    <b v="0"/>
    <n v="6"/>
    <n v="1"/>
    <n v="0.22"/>
    <n v="0.21210000000000001"/>
    <n v="0.69"/>
    <n v="0.25369999999999998"/>
    <n v="22"/>
    <n v="98"/>
    <n v="120"/>
    <x v="0"/>
    <s v="Spring"/>
    <x v="0"/>
    <x v="0"/>
    <n v="2011"/>
    <d v="2011-02-13T00:00:00"/>
    <x v="0"/>
  </r>
  <r>
    <n v="634"/>
    <x v="28"/>
    <n v="1"/>
    <n v="0"/>
    <n v="1"/>
    <x v="16"/>
    <b v="0"/>
    <n v="6"/>
    <n v="1"/>
    <n v="0.24"/>
    <n v="0.2424"/>
    <n v="0.6"/>
    <n v="0.16420000000000001"/>
    <n v="19"/>
    <n v="88"/>
    <n v="107"/>
    <x v="0"/>
    <s v="Spring"/>
    <x v="0"/>
    <x v="0"/>
    <n v="2011"/>
    <d v="2011-02-13T00:00:00"/>
    <x v="0"/>
  </r>
  <r>
    <n v="635"/>
    <x v="28"/>
    <n v="1"/>
    <n v="0"/>
    <n v="1"/>
    <x v="17"/>
    <b v="0"/>
    <n v="6"/>
    <n v="1"/>
    <n v="0.24"/>
    <n v="0.28789999999999999"/>
    <n v="0.6"/>
    <n v="0"/>
    <n v="9"/>
    <n v="82"/>
    <n v="91"/>
    <x v="0"/>
    <s v="Spring"/>
    <x v="0"/>
    <x v="0"/>
    <n v="2011"/>
    <d v="2011-02-13T00:00:00"/>
    <x v="0"/>
  </r>
  <r>
    <n v="636"/>
    <x v="28"/>
    <n v="1"/>
    <n v="0"/>
    <n v="1"/>
    <x v="18"/>
    <b v="0"/>
    <n v="6"/>
    <n v="1"/>
    <n v="0.22"/>
    <n v="0.2273"/>
    <n v="0.69"/>
    <n v="0.1343"/>
    <n v="9"/>
    <n v="59"/>
    <n v="68"/>
    <x v="0"/>
    <s v="Spring"/>
    <x v="0"/>
    <x v="0"/>
    <n v="2011"/>
    <d v="2011-02-13T00:00:00"/>
    <x v="0"/>
  </r>
  <r>
    <n v="637"/>
    <x v="28"/>
    <n v="1"/>
    <n v="0"/>
    <n v="1"/>
    <x v="19"/>
    <b v="0"/>
    <n v="6"/>
    <n v="2"/>
    <n v="0.22"/>
    <n v="0.21210000000000001"/>
    <n v="0.69"/>
    <n v="0.25369999999999998"/>
    <n v="6"/>
    <n v="52"/>
    <n v="58"/>
    <x v="0"/>
    <s v="Spring"/>
    <x v="1"/>
    <x v="0"/>
    <n v="2011"/>
    <d v="2011-02-13T00:00:00"/>
    <x v="0"/>
  </r>
  <r>
    <n v="638"/>
    <x v="28"/>
    <n v="1"/>
    <n v="0"/>
    <n v="1"/>
    <x v="20"/>
    <b v="0"/>
    <n v="6"/>
    <n v="1"/>
    <n v="0.18"/>
    <n v="0.21210000000000001"/>
    <n v="0.74"/>
    <n v="8.9599999999999999E-2"/>
    <n v="1"/>
    <n v="42"/>
    <n v="43"/>
    <x v="0"/>
    <s v="Spring"/>
    <x v="0"/>
    <x v="0"/>
    <n v="2011"/>
    <d v="2011-02-13T00:00:00"/>
    <x v="0"/>
  </r>
  <r>
    <n v="639"/>
    <x v="28"/>
    <n v="1"/>
    <n v="0"/>
    <n v="1"/>
    <x v="21"/>
    <b v="0"/>
    <n v="6"/>
    <n v="1"/>
    <n v="0.18"/>
    <n v="0.21210000000000001"/>
    <n v="0.74"/>
    <n v="8.9599999999999999E-2"/>
    <n v="1"/>
    <n v="35"/>
    <n v="36"/>
    <x v="0"/>
    <s v="Spring"/>
    <x v="0"/>
    <x v="0"/>
    <n v="2011"/>
    <d v="2011-02-13T00:00:00"/>
    <x v="0"/>
  </r>
  <r>
    <n v="640"/>
    <x v="28"/>
    <n v="1"/>
    <n v="0"/>
    <n v="1"/>
    <x v="22"/>
    <b v="0"/>
    <n v="6"/>
    <n v="1"/>
    <n v="0.16"/>
    <n v="0.19700000000000001"/>
    <n v="0.8"/>
    <n v="8.9599999999999999E-2"/>
    <n v="4"/>
    <n v="28"/>
    <n v="32"/>
    <x v="0"/>
    <s v="Spring"/>
    <x v="0"/>
    <x v="0"/>
    <n v="2011"/>
    <d v="2011-02-13T00:00:00"/>
    <x v="0"/>
  </r>
  <r>
    <n v="641"/>
    <x v="28"/>
    <n v="1"/>
    <n v="0"/>
    <n v="1"/>
    <x v="23"/>
    <b v="0"/>
    <n v="6"/>
    <n v="1"/>
    <n v="0.16"/>
    <n v="0.19700000000000001"/>
    <n v="0.8"/>
    <n v="8.9599999999999999E-2"/>
    <n v="3"/>
    <n v="30"/>
    <n v="33"/>
    <x v="0"/>
    <s v="Spring"/>
    <x v="0"/>
    <x v="0"/>
    <n v="2011"/>
    <d v="2011-02-13T00:00:00"/>
    <x v="0"/>
  </r>
  <r>
    <n v="642"/>
    <x v="29"/>
    <n v="1"/>
    <n v="0"/>
    <n v="1"/>
    <x v="0"/>
    <b v="0"/>
    <n v="0"/>
    <n v="1"/>
    <n v="0.16"/>
    <n v="0.18179999999999999"/>
    <n v="0.8"/>
    <n v="0.1045"/>
    <n v="0"/>
    <n v="33"/>
    <n v="33"/>
    <x v="0"/>
    <s v="Spring"/>
    <x v="0"/>
    <x v="1"/>
    <n v="2011"/>
    <d v="2011-02-13T00:00:00"/>
    <x v="0"/>
  </r>
  <r>
    <n v="643"/>
    <x v="29"/>
    <n v="1"/>
    <n v="0"/>
    <n v="1"/>
    <x v="1"/>
    <b v="0"/>
    <n v="0"/>
    <n v="1"/>
    <n v="0.14000000000000001"/>
    <n v="0.21210000000000001"/>
    <n v="0.8"/>
    <n v="0"/>
    <n v="7"/>
    <n v="22"/>
    <n v="29"/>
    <x v="0"/>
    <s v="Spring"/>
    <x v="0"/>
    <x v="1"/>
    <n v="2011"/>
    <d v="2011-02-13T00:00:00"/>
    <x v="0"/>
  </r>
  <r>
    <n v="644"/>
    <x v="29"/>
    <n v="1"/>
    <n v="0"/>
    <n v="1"/>
    <x v="2"/>
    <b v="0"/>
    <n v="0"/>
    <n v="1"/>
    <n v="0.16"/>
    <n v="0.2273"/>
    <n v="0.8"/>
    <n v="0"/>
    <n v="1"/>
    <n v="10"/>
    <n v="11"/>
    <x v="0"/>
    <s v="Spring"/>
    <x v="0"/>
    <x v="1"/>
    <n v="2011"/>
    <d v="2011-02-13T00:00:00"/>
    <x v="0"/>
  </r>
  <r>
    <n v="645"/>
    <x v="29"/>
    <n v="1"/>
    <n v="0"/>
    <n v="1"/>
    <x v="3"/>
    <b v="0"/>
    <n v="0"/>
    <n v="1"/>
    <n v="0.14000000000000001"/>
    <n v="0.21210000000000001"/>
    <n v="0.93"/>
    <n v="0"/>
    <n v="1"/>
    <n v="7"/>
    <n v="8"/>
    <x v="0"/>
    <s v="Spring"/>
    <x v="0"/>
    <x v="1"/>
    <n v="2011"/>
    <d v="2011-02-13T00:00:00"/>
    <x v="0"/>
  </r>
  <r>
    <n v="646"/>
    <x v="29"/>
    <n v="1"/>
    <n v="0"/>
    <n v="1"/>
    <x v="4"/>
    <b v="0"/>
    <n v="0"/>
    <n v="1"/>
    <n v="0.14000000000000001"/>
    <n v="0.21210000000000001"/>
    <n v="0.93"/>
    <n v="0"/>
    <n v="0"/>
    <n v="1"/>
    <n v="1"/>
    <x v="0"/>
    <s v="Spring"/>
    <x v="0"/>
    <x v="1"/>
    <n v="2011"/>
    <d v="2011-02-13T00:00:00"/>
    <x v="0"/>
  </r>
  <r>
    <n v="647"/>
    <x v="29"/>
    <n v="1"/>
    <n v="0"/>
    <n v="1"/>
    <x v="5"/>
    <b v="0"/>
    <n v="0"/>
    <n v="1"/>
    <n v="0.14000000000000001"/>
    <n v="0.21210000000000001"/>
    <n v="0.86"/>
    <n v="0"/>
    <n v="0"/>
    <n v="3"/>
    <n v="3"/>
    <x v="0"/>
    <s v="Spring"/>
    <x v="0"/>
    <x v="1"/>
    <n v="2011"/>
    <d v="2011-02-13T00:00:00"/>
    <x v="0"/>
  </r>
  <r>
    <n v="648"/>
    <x v="29"/>
    <n v="1"/>
    <n v="0"/>
    <n v="1"/>
    <x v="7"/>
    <b v="0"/>
    <n v="0"/>
    <n v="1"/>
    <n v="0.14000000000000001"/>
    <n v="0.21210000000000001"/>
    <n v="0.86"/>
    <n v="0"/>
    <n v="0"/>
    <n v="3"/>
    <n v="3"/>
    <x v="0"/>
    <s v="Spring"/>
    <x v="0"/>
    <x v="1"/>
    <n v="2011"/>
    <d v="2011-02-13T00:00:00"/>
    <x v="0"/>
  </r>
  <r>
    <n v="649"/>
    <x v="29"/>
    <n v="1"/>
    <n v="0"/>
    <n v="1"/>
    <x v="8"/>
    <b v="0"/>
    <n v="0"/>
    <n v="2"/>
    <n v="0.14000000000000001"/>
    <n v="0.21210000000000001"/>
    <n v="0.86"/>
    <n v="0"/>
    <n v="1"/>
    <n v="11"/>
    <n v="12"/>
    <x v="0"/>
    <s v="Spring"/>
    <x v="1"/>
    <x v="1"/>
    <n v="2011"/>
    <d v="2011-02-13T00:00:00"/>
    <x v="0"/>
  </r>
  <r>
    <n v="650"/>
    <x v="29"/>
    <n v="1"/>
    <n v="0"/>
    <n v="1"/>
    <x v="9"/>
    <b v="0"/>
    <n v="0"/>
    <n v="2"/>
    <n v="0.16"/>
    <n v="0.2273"/>
    <n v="0.8"/>
    <n v="0"/>
    <n v="4"/>
    <n v="34"/>
    <n v="38"/>
    <x v="0"/>
    <s v="Spring"/>
    <x v="1"/>
    <x v="1"/>
    <n v="2011"/>
    <d v="2011-02-13T00:00:00"/>
    <x v="0"/>
  </r>
  <r>
    <n v="651"/>
    <x v="29"/>
    <n v="1"/>
    <n v="0"/>
    <n v="1"/>
    <x v="10"/>
    <b v="0"/>
    <n v="0"/>
    <n v="2"/>
    <n v="0.18"/>
    <n v="0.2424"/>
    <n v="0.8"/>
    <n v="0"/>
    <n v="7"/>
    <n v="57"/>
    <n v="64"/>
    <x v="0"/>
    <s v="Spring"/>
    <x v="1"/>
    <x v="1"/>
    <n v="2011"/>
    <d v="2011-02-13T00:00:00"/>
    <x v="0"/>
  </r>
  <r>
    <n v="652"/>
    <x v="29"/>
    <n v="1"/>
    <n v="0"/>
    <n v="1"/>
    <x v="11"/>
    <b v="0"/>
    <n v="0"/>
    <n v="1"/>
    <n v="0.22"/>
    <n v="0.2727"/>
    <n v="0.75"/>
    <n v="0"/>
    <n v="9"/>
    <n v="50"/>
    <n v="59"/>
    <x v="0"/>
    <s v="Spring"/>
    <x v="0"/>
    <x v="1"/>
    <n v="2011"/>
    <d v="2011-02-13T00:00:00"/>
    <x v="0"/>
  </r>
  <r>
    <n v="653"/>
    <x v="29"/>
    <n v="1"/>
    <n v="0"/>
    <n v="1"/>
    <x v="12"/>
    <b v="0"/>
    <n v="0"/>
    <n v="1"/>
    <n v="0.3"/>
    <n v="0.31819999999999998"/>
    <n v="0.52"/>
    <n v="0.1045"/>
    <n v="10"/>
    <n v="87"/>
    <n v="97"/>
    <x v="0"/>
    <s v="Spring"/>
    <x v="0"/>
    <x v="1"/>
    <n v="2011"/>
    <d v="2011-02-13T00:00:00"/>
    <x v="0"/>
  </r>
  <r>
    <n v="654"/>
    <x v="29"/>
    <n v="1"/>
    <n v="0"/>
    <n v="1"/>
    <x v="13"/>
    <b v="0"/>
    <n v="0"/>
    <n v="1"/>
    <n v="0.28000000000000003"/>
    <n v="0.28789999999999999"/>
    <n v="0.61"/>
    <n v="0.1045"/>
    <n v="13"/>
    <n v="71"/>
    <n v="84"/>
    <x v="0"/>
    <s v="Spring"/>
    <x v="0"/>
    <x v="1"/>
    <n v="2011"/>
    <d v="2011-02-13T00:00:00"/>
    <x v="0"/>
  </r>
  <r>
    <n v="655"/>
    <x v="29"/>
    <n v="1"/>
    <n v="0"/>
    <n v="1"/>
    <x v="14"/>
    <b v="0"/>
    <n v="0"/>
    <n v="1"/>
    <n v="0.28000000000000003"/>
    <n v="0.30299999999999999"/>
    <n v="0.61"/>
    <n v="8.9599999999999999E-2"/>
    <n v="18"/>
    <n v="104"/>
    <n v="122"/>
    <x v="0"/>
    <s v="Spring"/>
    <x v="0"/>
    <x v="1"/>
    <n v="2011"/>
    <d v="2011-02-13T00:00:00"/>
    <x v="0"/>
  </r>
  <r>
    <n v="656"/>
    <x v="29"/>
    <n v="1"/>
    <n v="0"/>
    <n v="1"/>
    <x v="15"/>
    <b v="0"/>
    <n v="0"/>
    <n v="1"/>
    <n v="0.3"/>
    <n v="0.33329999999999999"/>
    <n v="0.56000000000000005"/>
    <n v="0"/>
    <n v="14"/>
    <n v="95"/>
    <n v="109"/>
    <x v="0"/>
    <s v="Spring"/>
    <x v="0"/>
    <x v="1"/>
    <n v="2011"/>
    <d v="2011-02-13T00:00:00"/>
    <x v="0"/>
  </r>
  <r>
    <n v="657"/>
    <x v="29"/>
    <n v="1"/>
    <n v="0"/>
    <n v="1"/>
    <x v="16"/>
    <b v="0"/>
    <n v="0"/>
    <n v="1"/>
    <n v="0.3"/>
    <n v="0.33329999999999999"/>
    <n v="0.56000000000000005"/>
    <n v="0"/>
    <n v="19"/>
    <n v="104"/>
    <n v="123"/>
    <x v="0"/>
    <s v="Spring"/>
    <x v="0"/>
    <x v="1"/>
    <n v="2011"/>
    <d v="2011-02-13T00:00:00"/>
    <x v="0"/>
  </r>
  <r>
    <n v="658"/>
    <x v="29"/>
    <n v="1"/>
    <n v="0"/>
    <n v="1"/>
    <x v="17"/>
    <b v="0"/>
    <n v="0"/>
    <n v="1"/>
    <n v="0.3"/>
    <n v="0.28789999999999999"/>
    <n v="0.56000000000000005"/>
    <n v="0.19400000000000001"/>
    <n v="6"/>
    <n v="71"/>
    <n v="77"/>
    <x v="0"/>
    <s v="Spring"/>
    <x v="0"/>
    <x v="1"/>
    <n v="2011"/>
    <d v="2011-02-13T00:00:00"/>
    <x v="0"/>
  </r>
  <r>
    <n v="659"/>
    <x v="29"/>
    <n v="1"/>
    <n v="0"/>
    <n v="1"/>
    <x v="18"/>
    <b v="0"/>
    <n v="0"/>
    <n v="1"/>
    <n v="0.26"/>
    <n v="0.2576"/>
    <n v="0.65"/>
    <n v="0.16420000000000001"/>
    <n v="8"/>
    <n v="57"/>
    <n v="65"/>
    <x v="0"/>
    <s v="Spring"/>
    <x v="0"/>
    <x v="1"/>
    <n v="2011"/>
    <d v="2011-02-13T00:00:00"/>
    <x v="0"/>
  </r>
  <r>
    <n v="660"/>
    <x v="29"/>
    <n v="1"/>
    <n v="0"/>
    <n v="1"/>
    <x v="19"/>
    <b v="0"/>
    <n v="0"/>
    <n v="1"/>
    <n v="0.26"/>
    <n v="0.2576"/>
    <n v="0.65"/>
    <n v="0.19400000000000001"/>
    <n v="9"/>
    <n v="46"/>
    <n v="55"/>
    <x v="0"/>
    <s v="Spring"/>
    <x v="0"/>
    <x v="1"/>
    <n v="2011"/>
    <d v="2011-02-13T00:00:00"/>
    <x v="0"/>
  </r>
  <r>
    <n v="661"/>
    <x v="29"/>
    <n v="1"/>
    <n v="0"/>
    <n v="1"/>
    <x v="20"/>
    <b v="0"/>
    <n v="0"/>
    <n v="2"/>
    <n v="0.26"/>
    <n v="0.2727"/>
    <n v="0.65"/>
    <n v="0.1045"/>
    <n v="3"/>
    <n v="30"/>
    <n v="33"/>
    <x v="0"/>
    <s v="Spring"/>
    <x v="1"/>
    <x v="1"/>
    <n v="2011"/>
    <d v="2011-02-13T00:00:00"/>
    <x v="0"/>
  </r>
  <r>
    <n v="662"/>
    <x v="29"/>
    <n v="1"/>
    <n v="0"/>
    <n v="1"/>
    <x v="21"/>
    <b v="0"/>
    <n v="0"/>
    <n v="2"/>
    <n v="0.24"/>
    <n v="0.2424"/>
    <n v="0.7"/>
    <n v="0.16420000000000001"/>
    <n v="3"/>
    <n v="25"/>
    <n v="28"/>
    <x v="0"/>
    <s v="Spring"/>
    <x v="1"/>
    <x v="1"/>
    <n v="2011"/>
    <d v="2011-02-13T00:00:00"/>
    <x v="0"/>
  </r>
  <r>
    <n v="663"/>
    <x v="29"/>
    <n v="1"/>
    <n v="0"/>
    <n v="1"/>
    <x v="22"/>
    <b v="0"/>
    <n v="0"/>
    <n v="2"/>
    <n v="0.24"/>
    <n v="0.2273"/>
    <n v="0.7"/>
    <n v="0.19400000000000001"/>
    <n v="2"/>
    <n v="19"/>
    <n v="21"/>
    <x v="0"/>
    <s v="Spring"/>
    <x v="1"/>
    <x v="1"/>
    <n v="2011"/>
    <d v="2011-02-13T00:00:00"/>
    <x v="0"/>
  </r>
  <r>
    <n v="664"/>
    <x v="29"/>
    <n v="1"/>
    <n v="0"/>
    <n v="1"/>
    <x v="23"/>
    <b v="0"/>
    <n v="0"/>
    <n v="2"/>
    <n v="0.24"/>
    <n v="0.21210000000000001"/>
    <n v="0.65"/>
    <n v="0.28360000000000002"/>
    <n v="5"/>
    <n v="16"/>
    <n v="21"/>
    <x v="0"/>
    <s v="Spring"/>
    <x v="1"/>
    <x v="1"/>
    <n v="2011"/>
    <d v="2011-02-13T00:00:00"/>
    <x v="0"/>
  </r>
  <r>
    <n v="665"/>
    <x v="30"/>
    <n v="1"/>
    <n v="0"/>
    <n v="1"/>
    <x v="0"/>
    <b v="0"/>
    <n v="1"/>
    <n v="2"/>
    <n v="0.24"/>
    <n v="0.2273"/>
    <n v="0.65"/>
    <n v="0.22389999999999999"/>
    <n v="1"/>
    <n v="6"/>
    <n v="7"/>
    <x v="0"/>
    <s v="Spring"/>
    <x v="1"/>
    <x v="2"/>
    <n v="2011"/>
    <d v="2011-02-13T00:00:00"/>
    <x v="1"/>
  </r>
  <r>
    <n v="666"/>
    <x v="30"/>
    <n v="1"/>
    <n v="0"/>
    <n v="1"/>
    <x v="1"/>
    <b v="0"/>
    <n v="1"/>
    <n v="1"/>
    <n v="0.22"/>
    <n v="0.21210000000000001"/>
    <n v="0.64"/>
    <n v="0.25369999999999998"/>
    <n v="2"/>
    <n v="5"/>
    <n v="7"/>
    <x v="0"/>
    <s v="Spring"/>
    <x v="0"/>
    <x v="2"/>
    <n v="2011"/>
    <d v="2011-02-13T00:00:00"/>
    <x v="1"/>
  </r>
  <r>
    <n v="667"/>
    <x v="30"/>
    <n v="1"/>
    <n v="0"/>
    <n v="1"/>
    <x v="2"/>
    <b v="0"/>
    <n v="1"/>
    <n v="1"/>
    <n v="0.22"/>
    <n v="0.2273"/>
    <n v="0.64"/>
    <n v="0.19400000000000001"/>
    <n v="0"/>
    <n v="1"/>
    <n v="1"/>
    <x v="0"/>
    <s v="Spring"/>
    <x v="0"/>
    <x v="2"/>
    <n v="2011"/>
    <d v="2011-02-13T00:00:00"/>
    <x v="1"/>
  </r>
  <r>
    <n v="668"/>
    <x v="30"/>
    <n v="1"/>
    <n v="0"/>
    <n v="1"/>
    <x v="3"/>
    <b v="0"/>
    <n v="1"/>
    <n v="1"/>
    <n v="0.22"/>
    <n v="0.2273"/>
    <n v="0.64"/>
    <n v="0.19400000000000001"/>
    <n v="0"/>
    <n v="2"/>
    <n v="2"/>
    <x v="0"/>
    <s v="Spring"/>
    <x v="0"/>
    <x v="2"/>
    <n v="2011"/>
    <d v="2011-02-13T00:00:00"/>
    <x v="1"/>
  </r>
  <r>
    <n v="669"/>
    <x v="30"/>
    <n v="1"/>
    <n v="0"/>
    <n v="1"/>
    <x v="4"/>
    <b v="0"/>
    <n v="1"/>
    <n v="1"/>
    <n v="0.2"/>
    <n v="0.19700000000000001"/>
    <n v="0.59"/>
    <n v="0.22389999999999999"/>
    <n v="0"/>
    <n v="2"/>
    <n v="2"/>
    <x v="0"/>
    <s v="Spring"/>
    <x v="0"/>
    <x v="2"/>
    <n v="2011"/>
    <d v="2011-02-13T00:00:00"/>
    <x v="1"/>
  </r>
  <r>
    <n v="670"/>
    <x v="30"/>
    <n v="1"/>
    <n v="0"/>
    <n v="1"/>
    <x v="5"/>
    <b v="0"/>
    <n v="1"/>
    <n v="1"/>
    <n v="0.18"/>
    <n v="0.16669999999999999"/>
    <n v="0.64"/>
    <n v="0.28360000000000002"/>
    <n v="0"/>
    <n v="8"/>
    <n v="8"/>
    <x v="0"/>
    <s v="Spring"/>
    <x v="0"/>
    <x v="2"/>
    <n v="2011"/>
    <d v="2011-02-13T00:00:00"/>
    <x v="1"/>
  </r>
  <r>
    <n v="671"/>
    <x v="30"/>
    <n v="1"/>
    <n v="0"/>
    <n v="1"/>
    <x v="6"/>
    <b v="0"/>
    <n v="1"/>
    <n v="1"/>
    <n v="0.16"/>
    <n v="0.13639999999999999"/>
    <n v="0.69"/>
    <n v="0.32840000000000003"/>
    <n v="0"/>
    <n v="37"/>
    <n v="37"/>
    <x v="0"/>
    <s v="Spring"/>
    <x v="0"/>
    <x v="2"/>
    <n v="2011"/>
    <d v="2011-02-13T00:00:00"/>
    <x v="1"/>
  </r>
  <r>
    <n v="672"/>
    <x v="30"/>
    <n v="1"/>
    <n v="0"/>
    <n v="1"/>
    <x v="7"/>
    <b v="0"/>
    <n v="1"/>
    <n v="2"/>
    <n v="0.16"/>
    <n v="0.13639999999999999"/>
    <n v="0.64"/>
    <n v="0.28360000000000002"/>
    <n v="1"/>
    <n v="71"/>
    <n v="72"/>
    <x v="0"/>
    <s v="Spring"/>
    <x v="1"/>
    <x v="2"/>
    <n v="2011"/>
    <d v="2011-02-13T00:00:00"/>
    <x v="1"/>
  </r>
  <r>
    <n v="673"/>
    <x v="30"/>
    <n v="1"/>
    <n v="0"/>
    <n v="1"/>
    <x v="8"/>
    <b v="0"/>
    <n v="1"/>
    <n v="2"/>
    <n v="0.16"/>
    <n v="0.13639999999999999"/>
    <n v="0.59"/>
    <n v="0.28360000000000002"/>
    <n v="3"/>
    <n v="182"/>
    <n v="185"/>
    <x v="0"/>
    <s v="Spring"/>
    <x v="1"/>
    <x v="2"/>
    <n v="2011"/>
    <d v="2011-02-13T00:00:00"/>
    <x v="1"/>
  </r>
  <r>
    <n v="674"/>
    <x v="30"/>
    <n v="1"/>
    <n v="0"/>
    <n v="1"/>
    <x v="9"/>
    <b v="0"/>
    <n v="1"/>
    <n v="2"/>
    <n v="0.16"/>
    <n v="0.13639999999999999"/>
    <n v="0.59"/>
    <n v="0.29849999999999999"/>
    <n v="0"/>
    <n v="112"/>
    <n v="112"/>
    <x v="0"/>
    <s v="Spring"/>
    <x v="1"/>
    <x v="2"/>
    <n v="2011"/>
    <d v="2011-02-13T00:00:00"/>
    <x v="1"/>
  </r>
  <r>
    <n v="675"/>
    <x v="30"/>
    <n v="1"/>
    <n v="0"/>
    <n v="1"/>
    <x v="10"/>
    <b v="0"/>
    <n v="1"/>
    <n v="2"/>
    <n v="0.16"/>
    <n v="0.1515"/>
    <n v="0.59"/>
    <n v="0.19400000000000001"/>
    <n v="1"/>
    <n v="68"/>
    <n v="69"/>
    <x v="0"/>
    <s v="Spring"/>
    <x v="1"/>
    <x v="2"/>
    <n v="2011"/>
    <d v="2011-02-13T00:00:00"/>
    <x v="1"/>
  </r>
  <r>
    <n v="676"/>
    <x v="30"/>
    <n v="1"/>
    <n v="0"/>
    <n v="1"/>
    <x v="11"/>
    <b v="0"/>
    <n v="1"/>
    <n v="2"/>
    <n v="0.16"/>
    <n v="0.1515"/>
    <n v="0.59"/>
    <n v="0.19400000000000001"/>
    <n v="2"/>
    <n v="46"/>
    <n v="48"/>
    <x v="0"/>
    <s v="Spring"/>
    <x v="1"/>
    <x v="2"/>
    <n v="2011"/>
    <d v="2011-02-13T00:00:00"/>
    <x v="1"/>
  </r>
  <r>
    <n v="677"/>
    <x v="30"/>
    <n v="1"/>
    <n v="0"/>
    <n v="1"/>
    <x v="12"/>
    <b v="0"/>
    <n v="1"/>
    <n v="2"/>
    <n v="0.18"/>
    <n v="0.21210000000000001"/>
    <n v="0.55000000000000004"/>
    <n v="0.1045"/>
    <n v="6"/>
    <n v="62"/>
    <n v="68"/>
    <x v="0"/>
    <s v="Spring"/>
    <x v="1"/>
    <x v="2"/>
    <n v="2011"/>
    <d v="2011-02-13T00:00:00"/>
    <x v="1"/>
  </r>
  <r>
    <n v="678"/>
    <x v="30"/>
    <n v="1"/>
    <n v="0"/>
    <n v="1"/>
    <x v="13"/>
    <b v="0"/>
    <n v="1"/>
    <n v="2"/>
    <n v="0.16"/>
    <n v="0.2273"/>
    <n v="0.59"/>
    <n v="0"/>
    <n v="2"/>
    <n v="52"/>
    <n v="54"/>
    <x v="0"/>
    <s v="Spring"/>
    <x v="1"/>
    <x v="2"/>
    <n v="2011"/>
    <d v="2011-02-13T00:00:00"/>
    <x v="1"/>
  </r>
  <r>
    <n v="679"/>
    <x v="30"/>
    <n v="1"/>
    <n v="0"/>
    <n v="1"/>
    <x v="14"/>
    <b v="0"/>
    <n v="1"/>
    <n v="2"/>
    <n v="0.18"/>
    <n v="0.19700000000000001"/>
    <n v="0.55000000000000004"/>
    <n v="0.1343"/>
    <n v="1"/>
    <n v="85"/>
    <n v="86"/>
    <x v="0"/>
    <s v="Spring"/>
    <x v="1"/>
    <x v="2"/>
    <n v="2011"/>
    <d v="2011-02-13T00:00:00"/>
    <x v="1"/>
  </r>
  <r>
    <n v="680"/>
    <x v="30"/>
    <n v="1"/>
    <n v="0"/>
    <n v="1"/>
    <x v="15"/>
    <b v="0"/>
    <n v="1"/>
    <n v="2"/>
    <n v="0.16"/>
    <n v="0.18179999999999999"/>
    <n v="0.59"/>
    <n v="0.1343"/>
    <n v="3"/>
    <n v="41"/>
    <n v="44"/>
    <x v="0"/>
    <s v="Spring"/>
    <x v="1"/>
    <x v="2"/>
    <n v="2011"/>
    <d v="2011-02-13T00:00:00"/>
    <x v="1"/>
  </r>
  <r>
    <n v="681"/>
    <x v="30"/>
    <n v="1"/>
    <n v="0"/>
    <n v="1"/>
    <x v="16"/>
    <b v="0"/>
    <n v="1"/>
    <n v="2"/>
    <n v="0.16"/>
    <n v="0.18179999999999999"/>
    <n v="0.56000000000000005"/>
    <n v="0.19400000000000001"/>
    <n v="3"/>
    <n v="83"/>
    <n v="86"/>
    <x v="0"/>
    <s v="Spring"/>
    <x v="1"/>
    <x v="2"/>
    <n v="2011"/>
    <d v="2011-02-13T00:00:00"/>
    <x v="1"/>
  </r>
  <r>
    <n v="682"/>
    <x v="30"/>
    <n v="1"/>
    <n v="0"/>
    <n v="1"/>
    <x v="17"/>
    <b v="0"/>
    <n v="1"/>
    <n v="2"/>
    <n v="0.16"/>
    <n v="0.1515"/>
    <n v="0.59"/>
    <n v="0.19400000000000001"/>
    <n v="6"/>
    <n v="155"/>
    <n v="161"/>
    <x v="0"/>
    <s v="Spring"/>
    <x v="1"/>
    <x v="2"/>
    <n v="2011"/>
    <d v="2011-02-13T00:00:00"/>
    <x v="1"/>
  </r>
  <r>
    <n v="683"/>
    <x v="30"/>
    <n v="1"/>
    <n v="0"/>
    <n v="1"/>
    <x v="18"/>
    <b v="0"/>
    <n v="1"/>
    <n v="2"/>
    <n v="0.16"/>
    <n v="0.1515"/>
    <n v="0.55000000000000004"/>
    <n v="0.22389999999999999"/>
    <n v="3"/>
    <n v="153"/>
    <n v="156"/>
    <x v="0"/>
    <s v="Spring"/>
    <x v="1"/>
    <x v="2"/>
    <n v="2011"/>
    <d v="2011-02-13T00:00:00"/>
    <x v="1"/>
  </r>
  <r>
    <n v="684"/>
    <x v="30"/>
    <n v="1"/>
    <n v="0"/>
    <n v="1"/>
    <x v="19"/>
    <b v="0"/>
    <n v="1"/>
    <n v="1"/>
    <n v="0.3"/>
    <n v="0.31819999999999998"/>
    <n v="0.61"/>
    <n v="0.1045"/>
    <n v="3"/>
    <n v="108"/>
    <n v="111"/>
    <x v="0"/>
    <s v="Spring"/>
    <x v="0"/>
    <x v="2"/>
    <n v="2011"/>
    <d v="2011-02-13T00:00:00"/>
    <x v="1"/>
  </r>
  <r>
    <n v="685"/>
    <x v="30"/>
    <n v="1"/>
    <n v="0"/>
    <n v="1"/>
    <x v="20"/>
    <b v="0"/>
    <n v="1"/>
    <n v="3"/>
    <n v="0.16"/>
    <n v="0.16669999999999999"/>
    <n v="0.59"/>
    <n v="0.16420000000000001"/>
    <n v="0"/>
    <n v="78"/>
    <n v="78"/>
    <x v="0"/>
    <s v="Spring"/>
    <x v="2"/>
    <x v="2"/>
    <n v="2011"/>
    <d v="2011-02-13T00:00:00"/>
    <x v="1"/>
  </r>
  <r>
    <n v="686"/>
    <x v="30"/>
    <n v="1"/>
    <n v="0"/>
    <n v="1"/>
    <x v="21"/>
    <b v="0"/>
    <n v="1"/>
    <n v="3"/>
    <n v="0.16"/>
    <n v="0.19700000000000001"/>
    <n v="0.59"/>
    <n v="8.9599999999999999E-2"/>
    <n v="3"/>
    <n v="53"/>
    <n v="56"/>
    <x v="0"/>
    <s v="Spring"/>
    <x v="2"/>
    <x v="2"/>
    <n v="2011"/>
    <d v="2011-02-13T00:00:00"/>
    <x v="1"/>
  </r>
  <r>
    <n v="687"/>
    <x v="30"/>
    <n v="1"/>
    <n v="0"/>
    <n v="1"/>
    <x v="22"/>
    <b v="0"/>
    <n v="1"/>
    <n v="2"/>
    <n v="0.16"/>
    <n v="0.18179999999999999"/>
    <n v="0.59"/>
    <n v="0.1045"/>
    <n v="0"/>
    <n v="34"/>
    <n v="34"/>
    <x v="0"/>
    <s v="Spring"/>
    <x v="1"/>
    <x v="2"/>
    <n v="2011"/>
    <d v="2011-02-13T00:00:00"/>
    <x v="1"/>
  </r>
  <r>
    <n v="688"/>
    <x v="30"/>
    <n v="1"/>
    <n v="0"/>
    <n v="1"/>
    <x v="23"/>
    <b v="0"/>
    <n v="1"/>
    <n v="2"/>
    <n v="0.16"/>
    <n v="0.19700000000000001"/>
    <n v="0.64"/>
    <n v="8.9599999999999999E-2"/>
    <n v="2"/>
    <n v="15"/>
    <n v="17"/>
    <x v="0"/>
    <s v="Spring"/>
    <x v="1"/>
    <x v="2"/>
    <n v="2011"/>
    <d v="2011-02-13T00:00:00"/>
    <x v="1"/>
  </r>
  <r>
    <n v="689"/>
    <x v="31"/>
    <n v="1"/>
    <n v="0"/>
    <n v="2"/>
    <x v="0"/>
    <b v="0"/>
    <n v="2"/>
    <n v="2"/>
    <n v="0.16"/>
    <n v="0.18179999999999999"/>
    <n v="0.64"/>
    <n v="0.1045"/>
    <n v="2"/>
    <n v="6"/>
    <n v="8"/>
    <x v="1"/>
    <s v="Spring"/>
    <x v="1"/>
    <x v="3"/>
    <n v="2011"/>
    <d v="2011-02-13T00:00:00"/>
    <x v="1"/>
  </r>
  <r>
    <n v="690"/>
    <x v="31"/>
    <n v="1"/>
    <n v="0"/>
    <n v="2"/>
    <x v="1"/>
    <b v="0"/>
    <n v="2"/>
    <n v="2"/>
    <n v="0.16"/>
    <n v="0.18179999999999999"/>
    <n v="0.69"/>
    <n v="0.1045"/>
    <n v="0"/>
    <n v="3"/>
    <n v="3"/>
    <x v="1"/>
    <s v="Spring"/>
    <x v="1"/>
    <x v="3"/>
    <n v="2011"/>
    <d v="2011-02-13T00:00:00"/>
    <x v="1"/>
  </r>
  <r>
    <n v="691"/>
    <x v="31"/>
    <n v="1"/>
    <n v="0"/>
    <n v="2"/>
    <x v="2"/>
    <b v="0"/>
    <n v="2"/>
    <n v="2"/>
    <n v="0.16"/>
    <n v="0.2273"/>
    <n v="0.69"/>
    <n v="0"/>
    <n v="0"/>
    <n v="2"/>
    <n v="2"/>
    <x v="1"/>
    <s v="Spring"/>
    <x v="1"/>
    <x v="3"/>
    <n v="2011"/>
    <d v="2011-02-13T00:00:00"/>
    <x v="1"/>
  </r>
  <r>
    <n v="692"/>
    <x v="31"/>
    <n v="1"/>
    <n v="0"/>
    <n v="2"/>
    <x v="3"/>
    <b v="0"/>
    <n v="2"/>
    <n v="2"/>
    <n v="0.16"/>
    <n v="0.2273"/>
    <n v="0.69"/>
    <n v="0"/>
    <n v="0"/>
    <n v="2"/>
    <n v="2"/>
    <x v="1"/>
    <s v="Spring"/>
    <x v="1"/>
    <x v="3"/>
    <n v="2011"/>
    <d v="2011-02-13T00:00:00"/>
    <x v="1"/>
  </r>
  <r>
    <n v="693"/>
    <x v="31"/>
    <n v="1"/>
    <n v="0"/>
    <n v="2"/>
    <x v="5"/>
    <b v="0"/>
    <n v="2"/>
    <n v="3"/>
    <n v="0.14000000000000001"/>
    <n v="0.21210000000000001"/>
    <n v="0.93"/>
    <n v="0"/>
    <n v="0"/>
    <n v="3"/>
    <n v="3"/>
    <x v="1"/>
    <s v="Spring"/>
    <x v="2"/>
    <x v="3"/>
    <n v="2011"/>
    <d v="2011-02-13T00:00:00"/>
    <x v="1"/>
  </r>
  <r>
    <n v="694"/>
    <x v="31"/>
    <n v="1"/>
    <n v="0"/>
    <n v="2"/>
    <x v="6"/>
    <b v="0"/>
    <n v="2"/>
    <n v="3"/>
    <n v="0.14000000000000001"/>
    <n v="0.21210000000000001"/>
    <n v="0.93"/>
    <n v="0"/>
    <n v="0"/>
    <n v="22"/>
    <n v="22"/>
    <x v="1"/>
    <s v="Spring"/>
    <x v="2"/>
    <x v="3"/>
    <n v="2011"/>
    <d v="2011-02-13T00:00:00"/>
    <x v="1"/>
  </r>
  <r>
    <n v="695"/>
    <x v="31"/>
    <n v="1"/>
    <n v="0"/>
    <n v="2"/>
    <x v="7"/>
    <b v="0"/>
    <n v="2"/>
    <n v="3"/>
    <n v="0.16"/>
    <n v="0.2273"/>
    <n v="0.93"/>
    <n v="0"/>
    <n v="0"/>
    <n v="52"/>
    <n v="52"/>
    <x v="1"/>
    <s v="Spring"/>
    <x v="2"/>
    <x v="3"/>
    <n v="2011"/>
    <d v="2011-02-13T00:00:00"/>
    <x v="1"/>
  </r>
  <r>
    <n v="696"/>
    <x v="31"/>
    <n v="1"/>
    <n v="0"/>
    <n v="2"/>
    <x v="8"/>
    <b v="0"/>
    <n v="2"/>
    <n v="3"/>
    <n v="0.16"/>
    <n v="0.2273"/>
    <n v="0.93"/>
    <n v="0"/>
    <n v="3"/>
    <n v="132"/>
    <n v="135"/>
    <x v="1"/>
    <s v="Spring"/>
    <x v="2"/>
    <x v="3"/>
    <n v="2011"/>
    <d v="2011-02-13T00:00:00"/>
    <x v="1"/>
  </r>
  <r>
    <n v="697"/>
    <x v="31"/>
    <n v="1"/>
    <n v="0"/>
    <n v="2"/>
    <x v="9"/>
    <b v="0"/>
    <n v="2"/>
    <n v="2"/>
    <n v="0.16"/>
    <n v="0.2273"/>
    <n v="0.93"/>
    <n v="0"/>
    <n v="2"/>
    <n v="114"/>
    <n v="116"/>
    <x v="1"/>
    <s v="Spring"/>
    <x v="1"/>
    <x v="3"/>
    <n v="2011"/>
    <d v="2011-02-13T00:00:00"/>
    <x v="1"/>
  </r>
  <r>
    <n v="698"/>
    <x v="31"/>
    <n v="1"/>
    <n v="0"/>
    <n v="2"/>
    <x v="10"/>
    <b v="0"/>
    <n v="2"/>
    <n v="2"/>
    <n v="0.16"/>
    <n v="0.2273"/>
    <n v="0.93"/>
    <n v="0"/>
    <n v="0"/>
    <n v="47"/>
    <n v="47"/>
    <x v="1"/>
    <s v="Spring"/>
    <x v="1"/>
    <x v="3"/>
    <n v="2011"/>
    <d v="2011-02-13T00:00:00"/>
    <x v="1"/>
  </r>
  <r>
    <n v="699"/>
    <x v="31"/>
    <n v="1"/>
    <n v="0"/>
    <n v="2"/>
    <x v="11"/>
    <b v="0"/>
    <n v="2"/>
    <n v="2"/>
    <n v="0.18"/>
    <n v="0.2424"/>
    <n v="0.86"/>
    <n v="0"/>
    <n v="2"/>
    <n v="49"/>
    <n v="51"/>
    <x v="1"/>
    <s v="Spring"/>
    <x v="1"/>
    <x v="3"/>
    <n v="2011"/>
    <d v="2011-02-13T00:00:00"/>
    <x v="1"/>
  </r>
  <r>
    <n v="700"/>
    <x v="31"/>
    <n v="1"/>
    <n v="0"/>
    <n v="2"/>
    <x v="12"/>
    <b v="0"/>
    <n v="2"/>
    <n v="2"/>
    <n v="0.2"/>
    <n v="0.2576"/>
    <n v="0.86"/>
    <n v="0"/>
    <n v="2"/>
    <n v="53"/>
    <n v="55"/>
    <x v="1"/>
    <s v="Spring"/>
    <x v="1"/>
    <x v="3"/>
    <n v="2011"/>
    <d v="2011-02-13T00:00:00"/>
    <x v="1"/>
  </r>
  <r>
    <n v="701"/>
    <x v="31"/>
    <n v="1"/>
    <n v="0"/>
    <n v="2"/>
    <x v="13"/>
    <b v="0"/>
    <n v="2"/>
    <n v="2"/>
    <n v="0.2"/>
    <n v="0.2576"/>
    <n v="0.86"/>
    <n v="0"/>
    <n v="3"/>
    <n v="49"/>
    <n v="52"/>
    <x v="1"/>
    <s v="Spring"/>
    <x v="1"/>
    <x v="3"/>
    <n v="2011"/>
    <d v="2011-02-13T00:00:00"/>
    <x v="1"/>
  </r>
  <r>
    <n v="702"/>
    <x v="31"/>
    <n v="1"/>
    <n v="0"/>
    <n v="2"/>
    <x v="14"/>
    <b v="0"/>
    <n v="2"/>
    <n v="2"/>
    <n v="0.22"/>
    <n v="0.2576"/>
    <n v="0.8"/>
    <n v="8.9599999999999999E-2"/>
    <n v="5"/>
    <n v="49"/>
    <n v="54"/>
    <x v="1"/>
    <s v="Spring"/>
    <x v="1"/>
    <x v="3"/>
    <n v="2011"/>
    <d v="2011-02-13T00:00:00"/>
    <x v="1"/>
  </r>
  <r>
    <n v="703"/>
    <x v="31"/>
    <n v="1"/>
    <n v="0"/>
    <n v="2"/>
    <x v="15"/>
    <b v="0"/>
    <n v="2"/>
    <n v="2"/>
    <n v="0.24"/>
    <n v="0.28789999999999999"/>
    <n v="0.75"/>
    <n v="0"/>
    <n v="7"/>
    <n v="45"/>
    <n v="52"/>
    <x v="1"/>
    <s v="Spring"/>
    <x v="1"/>
    <x v="3"/>
    <n v="2011"/>
    <d v="2011-02-13T00:00:00"/>
    <x v="1"/>
  </r>
  <r>
    <n v="704"/>
    <x v="31"/>
    <n v="1"/>
    <n v="0"/>
    <n v="2"/>
    <x v="16"/>
    <b v="0"/>
    <n v="2"/>
    <n v="2"/>
    <n v="0.24"/>
    <n v="0.2424"/>
    <n v="0.75"/>
    <n v="0.1343"/>
    <n v="3"/>
    <n v="61"/>
    <n v="64"/>
    <x v="1"/>
    <s v="Spring"/>
    <x v="1"/>
    <x v="3"/>
    <n v="2011"/>
    <d v="2011-02-13T00:00:00"/>
    <x v="1"/>
  </r>
  <r>
    <n v="705"/>
    <x v="31"/>
    <n v="1"/>
    <n v="0"/>
    <n v="2"/>
    <x v="17"/>
    <b v="0"/>
    <n v="2"/>
    <n v="2"/>
    <n v="0.24"/>
    <n v="0.28789999999999999"/>
    <n v="0.75"/>
    <n v="0"/>
    <n v="4"/>
    <n v="172"/>
    <n v="176"/>
    <x v="1"/>
    <s v="Spring"/>
    <x v="1"/>
    <x v="3"/>
    <n v="2011"/>
    <d v="2011-02-13T00:00:00"/>
    <x v="1"/>
  </r>
  <r>
    <n v="706"/>
    <x v="31"/>
    <n v="1"/>
    <n v="0"/>
    <n v="2"/>
    <x v="18"/>
    <b v="0"/>
    <n v="2"/>
    <n v="2"/>
    <n v="0.24"/>
    <n v="0.2576"/>
    <n v="0.81"/>
    <n v="0.1045"/>
    <n v="3"/>
    <n v="165"/>
    <n v="168"/>
    <x v="1"/>
    <s v="Spring"/>
    <x v="1"/>
    <x v="3"/>
    <n v="2011"/>
    <d v="2011-02-13T00:00:00"/>
    <x v="1"/>
  </r>
  <r>
    <n v="707"/>
    <x v="31"/>
    <n v="1"/>
    <n v="0"/>
    <n v="2"/>
    <x v="19"/>
    <b v="0"/>
    <n v="2"/>
    <n v="2"/>
    <n v="0.24"/>
    <n v="0.2424"/>
    <n v="0.81"/>
    <n v="0.1343"/>
    <n v="3"/>
    <n v="105"/>
    <n v="108"/>
    <x v="1"/>
    <s v="Spring"/>
    <x v="1"/>
    <x v="3"/>
    <n v="2011"/>
    <d v="2011-02-13T00:00:00"/>
    <x v="1"/>
  </r>
  <r>
    <n v="708"/>
    <x v="31"/>
    <n v="1"/>
    <n v="0"/>
    <n v="2"/>
    <x v="20"/>
    <b v="0"/>
    <n v="2"/>
    <n v="2"/>
    <n v="0.22"/>
    <n v="0.2273"/>
    <n v="0.87"/>
    <n v="0.1343"/>
    <n v="5"/>
    <n v="69"/>
    <n v="74"/>
    <x v="1"/>
    <s v="Spring"/>
    <x v="1"/>
    <x v="3"/>
    <n v="2011"/>
    <d v="2011-02-13T00:00:00"/>
    <x v="1"/>
  </r>
  <r>
    <n v="709"/>
    <x v="31"/>
    <n v="1"/>
    <n v="0"/>
    <n v="2"/>
    <x v="21"/>
    <b v="0"/>
    <n v="2"/>
    <n v="2"/>
    <n v="0.22"/>
    <n v="0.2273"/>
    <n v="0.87"/>
    <n v="0.1343"/>
    <n v="0"/>
    <n v="64"/>
    <n v="64"/>
    <x v="1"/>
    <s v="Spring"/>
    <x v="1"/>
    <x v="3"/>
    <n v="2011"/>
    <d v="2011-02-13T00:00:00"/>
    <x v="1"/>
  </r>
  <r>
    <n v="710"/>
    <x v="31"/>
    <n v="1"/>
    <n v="0"/>
    <n v="2"/>
    <x v="22"/>
    <b v="0"/>
    <n v="2"/>
    <n v="2"/>
    <n v="0.22"/>
    <n v="0.2576"/>
    <n v="0.87"/>
    <n v="8.9599999999999999E-2"/>
    <n v="2"/>
    <n v="34"/>
    <n v="36"/>
    <x v="1"/>
    <s v="Spring"/>
    <x v="1"/>
    <x v="3"/>
    <n v="2011"/>
    <d v="2011-02-13T00:00:00"/>
    <x v="1"/>
  </r>
  <r>
    <n v="711"/>
    <x v="31"/>
    <n v="1"/>
    <n v="0"/>
    <n v="2"/>
    <x v="23"/>
    <b v="0"/>
    <n v="2"/>
    <n v="3"/>
    <n v="0.2"/>
    <n v="0.19700000000000001"/>
    <n v="0.93"/>
    <n v="0.19400000000000001"/>
    <n v="1"/>
    <n v="15"/>
    <n v="16"/>
    <x v="1"/>
    <s v="Spring"/>
    <x v="2"/>
    <x v="3"/>
    <n v="2011"/>
    <d v="2011-02-13T00:00:00"/>
    <x v="1"/>
  </r>
  <r>
    <n v="712"/>
    <x v="32"/>
    <n v="1"/>
    <n v="0"/>
    <n v="2"/>
    <x v="0"/>
    <b v="0"/>
    <n v="3"/>
    <n v="3"/>
    <n v="0.22"/>
    <n v="0.2424"/>
    <n v="0.93"/>
    <n v="0.1045"/>
    <n v="0"/>
    <n v="2"/>
    <n v="2"/>
    <x v="1"/>
    <s v="Spring"/>
    <x v="2"/>
    <x v="4"/>
    <n v="2011"/>
    <d v="2011-02-13T00:00:00"/>
    <x v="1"/>
  </r>
  <r>
    <n v="713"/>
    <x v="32"/>
    <n v="1"/>
    <n v="0"/>
    <n v="2"/>
    <x v="1"/>
    <b v="0"/>
    <n v="3"/>
    <n v="3"/>
    <n v="0.22"/>
    <n v="0.2273"/>
    <n v="0.93"/>
    <n v="0.19400000000000001"/>
    <n v="0"/>
    <n v="3"/>
    <n v="3"/>
    <x v="1"/>
    <s v="Spring"/>
    <x v="2"/>
    <x v="4"/>
    <n v="2011"/>
    <d v="2011-02-13T00:00:00"/>
    <x v="1"/>
  </r>
  <r>
    <n v="714"/>
    <x v="32"/>
    <n v="1"/>
    <n v="0"/>
    <n v="2"/>
    <x v="2"/>
    <b v="0"/>
    <n v="3"/>
    <n v="3"/>
    <n v="0.22"/>
    <n v="0.2273"/>
    <n v="0.93"/>
    <n v="0.1343"/>
    <n v="4"/>
    <n v="0"/>
    <n v="4"/>
    <x v="1"/>
    <s v="Spring"/>
    <x v="2"/>
    <x v="4"/>
    <n v="2011"/>
    <d v="2011-02-13T00:00:00"/>
    <x v="1"/>
  </r>
  <r>
    <n v="715"/>
    <x v="32"/>
    <n v="1"/>
    <n v="0"/>
    <n v="2"/>
    <x v="3"/>
    <b v="0"/>
    <n v="3"/>
    <n v="3"/>
    <n v="0.22"/>
    <n v="0.2273"/>
    <n v="0.93"/>
    <n v="0.1343"/>
    <n v="0"/>
    <n v="1"/>
    <n v="1"/>
    <x v="1"/>
    <s v="Spring"/>
    <x v="2"/>
    <x v="4"/>
    <n v="2011"/>
    <d v="2011-02-13T00:00:00"/>
    <x v="1"/>
  </r>
  <r>
    <n v="716"/>
    <x v="32"/>
    <n v="1"/>
    <n v="0"/>
    <n v="2"/>
    <x v="4"/>
    <b v="0"/>
    <n v="3"/>
    <n v="3"/>
    <n v="0.22"/>
    <n v="0.21210000000000001"/>
    <n v="0.93"/>
    <n v="0.28360000000000002"/>
    <n v="0"/>
    <n v="1"/>
    <n v="1"/>
    <x v="1"/>
    <s v="Spring"/>
    <x v="2"/>
    <x v="4"/>
    <n v="2011"/>
    <d v="2011-02-13T00:00:00"/>
    <x v="1"/>
  </r>
  <r>
    <n v="717"/>
    <x v="32"/>
    <n v="1"/>
    <n v="0"/>
    <n v="2"/>
    <x v="5"/>
    <b v="0"/>
    <n v="3"/>
    <n v="3"/>
    <n v="0.22"/>
    <n v="0.2424"/>
    <n v="0.93"/>
    <n v="0.1045"/>
    <n v="0"/>
    <n v="3"/>
    <n v="3"/>
    <x v="1"/>
    <s v="Spring"/>
    <x v="2"/>
    <x v="4"/>
    <n v="2011"/>
    <d v="2011-02-13T00:00:00"/>
    <x v="1"/>
  </r>
  <r>
    <n v="718"/>
    <x v="32"/>
    <n v="1"/>
    <n v="0"/>
    <n v="2"/>
    <x v="6"/>
    <b v="0"/>
    <n v="3"/>
    <n v="3"/>
    <n v="0.22"/>
    <n v="0.2424"/>
    <n v="0.93"/>
    <n v="0.1045"/>
    <n v="1"/>
    <n v="17"/>
    <n v="18"/>
    <x v="1"/>
    <s v="Spring"/>
    <x v="2"/>
    <x v="4"/>
    <n v="2011"/>
    <d v="2011-02-13T00:00:00"/>
    <x v="1"/>
  </r>
  <r>
    <n v="719"/>
    <x v="32"/>
    <n v="1"/>
    <n v="0"/>
    <n v="2"/>
    <x v="7"/>
    <b v="0"/>
    <n v="3"/>
    <n v="3"/>
    <n v="0.22"/>
    <n v="0.21210000000000001"/>
    <n v="0.93"/>
    <n v="0.22389999999999999"/>
    <n v="1"/>
    <n v="48"/>
    <n v="49"/>
    <x v="1"/>
    <s v="Spring"/>
    <x v="2"/>
    <x v="4"/>
    <n v="2011"/>
    <d v="2011-02-13T00:00:00"/>
    <x v="1"/>
  </r>
  <r>
    <n v="720"/>
    <x v="32"/>
    <n v="1"/>
    <n v="0"/>
    <n v="2"/>
    <x v="8"/>
    <b v="0"/>
    <n v="3"/>
    <n v="3"/>
    <n v="0.22"/>
    <n v="0.21210000000000001"/>
    <n v="0.93"/>
    <n v="0.22389999999999999"/>
    <n v="1"/>
    <n v="154"/>
    <n v="155"/>
    <x v="1"/>
    <s v="Spring"/>
    <x v="2"/>
    <x v="4"/>
    <n v="2011"/>
    <d v="2011-02-13T00:00:00"/>
    <x v="1"/>
  </r>
  <r>
    <n v="721"/>
    <x v="32"/>
    <n v="1"/>
    <n v="0"/>
    <n v="2"/>
    <x v="9"/>
    <b v="0"/>
    <n v="3"/>
    <n v="2"/>
    <n v="0.24"/>
    <n v="0.2576"/>
    <n v="0.93"/>
    <n v="8.9599999999999999E-2"/>
    <n v="4"/>
    <n v="119"/>
    <n v="123"/>
    <x v="1"/>
    <s v="Spring"/>
    <x v="1"/>
    <x v="4"/>
    <n v="2011"/>
    <d v="2011-02-13T00:00:00"/>
    <x v="1"/>
  </r>
  <r>
    <n v="722"/>
    <x v="32"/>
    <n v="1"/>
    <n v="0"/>
    <n v="2"/>
    <x v="10"/>
    <b v="0"/>
    <n v="3"/>
    <n v="2"/>
    <n v="0.22"/>
    <n v="0.2727"/>
    <n v="1"/>
    <n v="0"/>
    <n v="2"/>
    <n v="59"/>
    <n v="61"/>
    <x v="1"/>
    <s v="Spring"/>
    <x v="1"/>
    <x v="4"/>
    <n v="2011"/>
    <d v="2011-02-13T00:00:00"/>
    <x v="1"/>
  </r>
  <r>
    <n v="723"/>
    <x v="32"/>
    <n v="1"/>
    <n v="0"/>
    <n v="2"/>
    <x v="11"/>
    <b v="0"/>
    <n v="3"/>
    <n v="2"/>
    <n v="0.24"/>
    <n v="0.2273"/>
    <n v="0.93"/>
    <n v="0.19400000000000001"/>
    <n v="5"/>
    <n v="47"/>
    <n v="52"/>
    <x v="1"/>
    <s v="Spring"/>
    <x v="1"/>
    <x v="4"/>
    <n v="2011"/>
    <d v="2011-02-13T00:00:00"/>
    <x v="1"/>
  </r>
  <r>
    <n v="724"/>
    <x v="32"/>
    <n v="1"/>
    <n v="0"/>
    <n v="2"/>
    <x v="12"/>
    <b v="0"/>
    <n v="3"/>
    <n v="2"/>
    <n v="0.24"/>
    <n v="0.2273"/>
    <n v="0.93"/>
    <n v="0.22389999999999999"/>
    <n v="3"/>
    <n v="61"/>
    <n v="64"/>
    <x v="1"/>
    <s v="Spring"/>
    <x v="1"/>
    <x v="4"/>
    <n v="2011"/>
    <d v="2011-02-13T00:00:00"/>
    <x v="1"/>
  </r>
  <r>
    <n v="725"/>
    <x v="32"/>
    <n v="1"/>
    <n v="0"/>
    <n v="2"/>
    <x v="13"/>
    <b v="0"/>
    <n v="3"/>
    <n v="1"/>
    <n v="0.34"/>
    <n v="0.33329999999999999"/>
    <n v="0.93"/>
    <n v="0.16420000000000001"/>
    <n v="1"/>
    <n v="74"/>
    <n v="75"/>
    <x v="1"/>
    <s v="Spring"/>
    <x v="0"/>
    <x v="4"/>
    <n v="2011"/>
    <d v="2011-02-13T00:00:00"/>
    <x v="1"/>
  </r>
  <r>
    <n v="726"/>
    <x v="32"/>
    <n v="1"/>
    <n v="0"/>
    <n v="2"/>
    <x v="14"/>
    <b v="0"/>
    <n v="3"/>
    <n v="1"/>
    <n v="0.38"/>
    <n v="0.39389999999999997"/>
    <n v="0.82"/>
    <n v="0.3881"/>
    <n v="2"/>
    <n v="61"/>
    <n v="63"/>
    <x v="1"/>
    <s v="Spring"/>
    <x v="0"/>
    <x v="4"/>
    <n v="2011"/>
    <d v="2011-02-13T00:00:00"/>
    <x v="1"/>
  </r>
  <r>
    <n v="727"/>
    <x v="32"/>
    <n v="1"/>
    <n v="0"/>
    <n v="2"/>
    <x v="15"/>
    <b v="0"/>
    <n v="3"/>
    <n v="1"/>
    <n v="0.38"/>
    <n v="0.39389999999999997"/>
    <n v="0.76"/>
    <n v="0.32840000000000003"/>
    <n v="10"/>
    <n v="66"/>
    <n v="76"/>
    <x v="1"/>
    <s v="Spring"/>
    <x v="0"/>
    <x v="4"/>
    <n v="2011"/>
    <d v="2011-02-13T00:00:00"/>
    <x v="1"/>
  </r>
  <r>
    <n v="728"/>
    <x v="32"/>
    <n v="1"/>
    <n v="0"/>
    <n v="2"/>
    <x v="16"/>
    <b v="0"/>
    <n v="3"/>
    <n v="1"/>
    <n v="0.36"/>
    <n v="0.33329999999999999"/>
    <n v="0.71"/>
    <n v="0.29849999999999999"/>
    <n v="8"/>
    <n v="95"/>
    <n v="103"/>
    <x v="1"/>
    <s v="Spring"/>
    <x v="0"/>
    <x v="4"/>
    <n v="2011"/>
    <d v="2011-02-13T00:00:00"/>
    <x v="1"/>
  </r>
  <r>
    <n v="729"/>
    <x v="32"/>
    <n v="1"/>
    <n v="0"/>
    <n v="2"/>
    <x v="17"/>
    <b v="0"/>
    <n v="3"/>
    <n v="1"/>
    <n v="0.36"/>
    <n v="0.31819999999999998"/>
    <n v="0.53"/>
    <n v="0.52239999999999998"/>
    <n v="7"/>
    <n v="183"/>
    <n v="190"/>
    <x v="1"/>
    <s v="Spring"/>
    <x v="0"/>
    <x v="4"/>
    <n v="2011"/>
    <d v="2011-02-13T00:00:00"/>
    <x v="1"/>
  </r>
  <r>
    <n v="730"/>
    <x v="32"/>
    <n v="1"/>
    <n v="0"/>
    <n v="2"/>
    <x v="18"/>
    <b v="0"/>
    <n v="3"/>
    <n v="1"/>
    <n v="0.34"/>
    <n v="0.28789999999999999"/>
    <n v="0.42"/>
    <n v="0.55220000000000002"/>
    <n v="7"/>
    <n v="175"/>
    <n v="182"/>
    <x v="1"/>
    <s v="Spring"/>
    <x v="0"/>
    <x v="4"/>
    <n v="2011"/>
    <d v="2011-02-13T00:00:00"/>
    <x v="1"/>
  </r>
  <r>
    <n v="731"/>
    <x v="32"/>
    <n v="1"/>
    <n v="0"/>
    <n v="2"/>
    <x v="19"/>
    <b v="0"/>
    <n v="3"/>
    <n v="1"/>
    <n v="0.28000000000000003"/>
    <n v="0.2424"/>
    <n v="0.45"/>
    <n v="0.49249999999999999"/>
    <n v="3"/>
    <n v="88"/>
    <n v="91"/>
    <x v="1"/>
    <s v="Spring"/>
    <x v="0"/>
    <x v="4"/>
    <n v="2011"/>
    <d v="2011-02-13T00:00:00"/>
    <x v="1"/>
  </r>
  <r>
    <n v="732"/>
    <x v="32"/>
    <n v="1"/>
    <n v="0"/>
    <n v="2"/>
    <x v="20"/>
    <b v="0"/>
    <n v="3"/>
    <n v="1"/>
    <n v="0.24"/>
    <n v="0.19700000000000001"/>
    <n v="0.48"/>
    <n v="0.55220000000000002"/>
    <n v="4"/>
    <n v="71"/>
    <n v="75"/>
    <x v="1"/>
    <s v="Spring"/>
    <x v="0"/>
    <x v="4"/>
    <n v="2011"/>
    <d v="2011-02-13T00:00:00"/>
    <x v="1"/>
  </r>
  <r>
    <n v="733"/>
    <x v="32"/>
    <n v="1"/>
    <n v="0"/>
    <n v="2"/>
    <x v="21"/>
    <b v="0"/>
    <n v="3"/>
    <n v="1"/>
    <n v="0.22"/>
    <n v="0.19700000000000001"/>
    <n v="0.47"/>
    <n v="0.32840000000000003"/>
    <n v="1"/>
    <n v="62"/>
    <n v="63"/>
    <x v="1"/>
    <s v="Spring"/>
    <x v="0"/>
    <x v="4"/>
    <n v="2011"/>
    <d v="2011-02-13T00:00:00"/>
    <x v="1"/>
  </r>
  <r>
    <n v="734"/>
    <x v="32"/>
    <n v="1"/>
    <n v="0"/>
    <n v="2"/>
    <x v="22"/>
    <b v="0"/>
    <n v="3"/>
    <n v="1"/>
    <n v="0.22"/>
    <n v="0.21210000000000001"/>
    <n v="0.44"/>
    <n v="0.25369999999999998"/>
    <n v="5"/>
    <n v="35"/>
    <n v="40"/>
    <x v="1"/>
    <s v="Spring"/>
    <x v="0"/>
    <x v="4"/>
    <n v="2011"/>
    <d v="2011-02-13T00:00:00"/>
    <x v="1"/>
  </r>
  <r>
    <n v="735"/>
    <x v="32"/>
    <n v="1"/>
    <n v="0"/>
    <n v="2"/>
    <x v="23"/>
    <b v="0"/>
    <n v="3"/>
    <n v="1"/>
    <n v="0.2"/>
    <n v="0.16669999999999999"/>
    <n v="0.44"/>
    <n v="0.44779999999999998"/>
    <n v="3"/>
    <n v="29"/>
    <n v="32"/>
    <x v="1"/>
    <s v="Spring"/>
    <x v="0"/>
    <x v="4"/>
    <n v="2011"/>
    <d v="2011-02-13T00:00:00"/>
    <x v="1"/>
  </r>
  <r>
    <n v="736"/>
    <x v="33"/>
    <n v="1"/>
    <n v="0"/>
    <n v="2"/>
    <x v="0"/>
    <b v="0"/>
    <n v="4"/>
    <n v="1"/>
    <n v="0.2"/>
    <n v="0.16669999999999999"/>
    <n v="0.4"/>
    <n v="0.44779999999999998"/>
    <n v="1"/>
    <n v="11"/>
    <n v="12"/>
    <x v="1"/>
    <s v="Spring"/>
    <x v="0"/>
    <x v="5"/>
    <n v="2011"/>
    <d v="2011-02-13T00:00:00"/>
    <x v="1"/>
  </r>
  <r>
    <n v="737"/>
    <x v="33"/>
    <n v="1"/>
    <n v="0"/>
    <n v="2"/>
    <x v="1"/>
    <b v="0"/>
    <n v="4"/>
    <n v="1"/>
    <n v="0.2"/>
    <n v="0.1515"/>
    <n v="0.44"/>
    <n v="0.52239999999999998"/>
    <n v="0"/>
    <n v="5"/>
    <n v="5"/>
    <x v="1"/>
    <s v="Spring"/>
    <x v="0"/>
    <x v="5"/>
    <n v="2011"/>
    <d v="2011-02-13T00:00:00"/>
    <x v="1"/>
  </r>
  <r>
    <n v="738"/>
    <x v="33"/>
    <n v="1"/>
    <n v="0"/>
    <n v="2"/>
    <x v="2"/>
    <b v="0"/>
    <n v="4"/>
    <n v="1"/>
    <n v="0.18"/>
    <n v="0.16669999999999999"/>
    <n v="0.43"/>
    <n v="0.25369999999999998"/>
    <n v="0"/>
    <n v="2"/>
    <n v="2"/>
    <x v="1"/>
    <s v="Spring"/>
    <x v="0"/>
    <x v="5"/>
    <n v="2011"/>
    <d v="2011-02-13T00:00:00"/>
    <x v="1"/>
  </r>
  <r>
    <n v="739"/>
    <x v="33"/>
    <n v="1"/>
    <n v="0"/>
    <n v="2"/>
    <x v="3"/>
    <b v="0"/>
    <n v="4"/>
    <n v="1"/>
    <n v="0.18"/>
    <n v="0.16669999999999999"/>
    <n v="0.43"/>
    <n v="0.25369999999999998"/>
    <n v="0"/>
    <n v="1"/>
    <n v="1"/>
    <x v="1"/>
    <s v="Spring"/>
    <x v="0"/>
    <x v="5"/>
    <n v="2011"/>
    <d v="2011-02-13T00:00:00"/>
    <x v="1"/>
  </r>
  <r>
    <n v="740"/>
    <x v="33"/>
    <n v="1"/>
    <n v="0"/>
    <n v="2"/>
    <x v="5"/>
    <b v="0"/>
    <n v="4"/>
    <n v="1"/>
    <n v="0.16"/>
    <n v="0.13639999999999999"/>
    <n v="0.5"/>
    <n v="0.29849999999999999"/>
    <n v="0"/>
    <n v="2"/>
    <n v="2"/>
    <x v="1"/>
    <s v="Spring"/>
    <x v="0"/>
    <x v="5"/>
    <n v="2011"/>
    <d v="2011-02-13T00:00:00"/>
    <x v="1"/>
  </r>
  <r>
    <n v="741"/>
    <x v="33"/>
    <n v="1"/>
    <n v="0"/>
    <n v="2"/>
    <x v="6"/>
    <b v="0"/>
    <n v="4"/>
    <n v="1"/>
    <n v="0.16"/>
    <n v="0.13639999999999999"/>
    <n v="0.43"/>
    <n v="0.35820000000000002"/>
    <n v="0"/>
    <n v="39"/>
    <n v="39"/>
    <x v="1"/>
    <s v="Spring"/>
    <x v="0"/>
    <x v="5"/>
    <n v="2011"/>
    <d v="2011-02-13T00:00:00"/>
    <x v="1"/>
  </r>
  <r>
    <n v="742"/>
    <x v="33"/>
    <n v="1"/>
    <n v="0"/>
    <n v="2"/>
    <x v="7"/>
    <b v="0"/>
    <n v="4"/>
    <n v="1"/>
    <n v="0.14000000000000001"/>
    <n v="0.1212"/>
    <n v="0.5"/>
    <n v="0.32840000000000003"/>
    <n v="1"/>
    <n v="86"/>
    <n v="87"/>
    <x v="1"/>
    <s v="Spring"/>
    <x v="0"/>
    <x v="5"/>
    <n v="2011"/>
    <d v="2011-02-13T00:00:00"/>
    <x v="1"/>
  </r>
  <r>
    <n v="743"/>
    <x v="33"/>
    <n v="1"/>
    <n v="0"/>
    <n v="2"/>
    <x v="8"/>
    <b v="0"/>
    <n v="4"/>
    <n v="1"/>
    <n v="0.14000000000000001"/>
    <n v="0.1212"/>
    <n v="0.5"/>
    <n v="0.35820000000000002"/>
    <n v="4"/>
    <n v="184"/>
    <n v="188"/>
    <x v="1"/>
    <s v="Spring"/>
    <x v="0"/>
    <x v="5"/>
    <n v="2011"/>
    <d v="2011-02-13T00:00:00"/>
    <x v="1"/>
  </r>
  <r>
    <n v="744"/>
    <x v="33"/>
    <n v="1"/>
    <n v="0"/>
    <n v="2"/>
    <x v="9"/>
    <b v="0"/>
    <n v="4"/>
    <n v="1"/>
    <n v="0.16"/>
    <n v="0.13639999999999999"/>
    <n v="0.47"/>
    <n v="0.29849999999999999"/>
    <n v="6"/>
    <n v="127"/>
    <n v="133"/>
    <x v="1"/>
    <s v="Spring"/>
    <x v="0"/>
    <x v="5"/>
    <n v="2011"/>
    <d v="2011-02-13T00:00:00"/>
    <x v="1"/>
  </r>
  <r>
    <n v="745"/>
    <x v="33"/>
    <n v="1"/>
    <n v="0"/>
    <n v="2"/>
    <x v="10"/>
    <b v="0"/>
    <n v="4"/>
    <n v="1"/>
    <n v="0.18"/>
    <n v="0.1515"/>
    <n v="0.43"/>
    <n v="0.32840000000000003"/>
    <n v="2"/>
    <n v="50"/>
    <n v="52"/>
    <x v="1"/>
    <s v="Spring"/>
    <x v="0"/>
    <x v="5"/>
    <n v="2011"/>
    <d v="2011-02-13T00:00:00"/>
    <x v="1"/>
  </r>
  <r>
    <n v="746"/>
    <x v="33"/>
    <n v="1"/>
    <n v="0"/>
    <n v="2"/>
    <x v="11"/>
    <b v="0"/>
    <n v="4"/>
    <n v="1"/>
    <n v="0.18"/>
    <n v="0.13639999999999999"/>
    <n v="0.43"/>
    <n v="0.44779999999999998"/>
    <n v="9"/>
    <n v="55"/>
    <n v="64"/>
    <x v="1"/>
    <s v="Spring"/>
    <x v="0"/>
    <x v="5"/>
    <n v="2011"/>
    <d v="2011-02-13T00:00:00"/>
    <x v="1"/>
  </r>
  <r>
    <n v="747"/>
    <x v="33"/>
    <n v="1"/>
    <n v="0"/>
    <n v="2"/>
    <x v="12"/>
    <b v="0"/>
    <n v="4"/>
    <n v="1"/>
    <n v="0.2"/>
    <n v="0.18179999999999999"/>
    <n v="0.4"/>
    <n v="0.35820000000000002"/>
    <n v="2"/>
    <n v="67"/>
    <n v="69"/>
    <x v="1"/>
    <s v="Spring"/>
    <x v="0"/>
    <x v="5"/>
    <n v="2011"/>
    <d v="2011-02-13T00:00:00"/>
    <x v="1"/>
  </r>
  <r>
    <n v="748"/>
    <x v="33"/>
    <n v="1"/>
    <n v="0"/>
    <n v="2"/>
    <x v="13"/>
    <b v="0"/>
    <n v="4"/>
    <n v="1"/>
    <n v="0.2"/>
    <n v="0.16669999999999999"/>
    <n v="0.4"/>
    <n v="0.41789999999999999"/>
    <n v="4"/>
    <n v="47"/>
    <n v="51"/>
    <x v="1"/>
    <s v="Spring"/>
    <x v="0"/>
    <x v="5"/>
    <n v="2011"/>
    <d v="2011-02-13T00:00:00"/>
    <x v="1"/>
  </r>
  <r>
    <n v="749"/>
    <x v="33"/>
    <n v="1"/>
    <n v="0"/>
    <n v="2"/>
    <x v="14"/>
    <b v="0"/>
    <n v="4"/>
    <n v="1"/>
    <n v="0.22"/>
    <n v="0.19700000000000001"/>
    <n v="0.37"/>
    <n v="0.3881"/>
    <n v="4"/>
    <n v="43"/>
    <n v="47"/>
    <x v="1"/>
    <s v="Spring"/>
    <x v="0"/>
    <x v="5"/>
    <n v="2011"/>
    <d v="2011-02-13T00:00:00"/>
    <x v="1"/>
  </r>
  <r>
    <n v="750"/>
    <x v="33"/>
    <n v="1"/>
    <n v="0"/>
    <n v="2"/>
    <x v="15"/>
    <b v="0"/>
    <n v="4"/>
    <n v="1"/>
    <n v="0.22"/>
    <n v="0.19700000000000001"/>
    <n v="0.37"/>
    <n v="0.32840000000000003"/>
    <n v="4"/>
    <n v="56"/>
    <n v="60"/>
    <x v="1"/>
    <s v="Spring"/>
    <x v="0"/>
    <x v="5"/>
    <n v="2011"/>
    <d v="2011-02-13T00:00:00"/>
    <x v="1"/>
  </r>
  <r>
    <n v="751"/>
    <x v="33"/>
    <n v="1"/>
    <n v="0"/>
    <n v="2"/>
    <x v="16"/>
    <b v="0"/>
    <n v="4"/>
    <n v="1"/>
    <n v="0.22"/>
    <n v="0.21210000000000001"/>
    <n v="0.37"/>
    <n v="0.25369999999999998"/>
    <n v="5"/>
    <n v="73"/>
    <n v="78"/>
    <x v="1"/>
    <s v="Spring"/>
    <x v="0"/>
    <x v="5"/>
    <n v="2011"/>
    <d v="2011-02-13T00:00:00"/>
    <x v="1"/>
  </r>
  <r>
    <n v="752"/>
    <x v="33"/>
    <n v="1"/>
    <n v="0"/>
    <n v="2"/>
    <x v="17"/>
    <b v="0"/>
    <n v="4"/>
    <n v="1"/>
    <n v="0.2"/>
    <n v="0.19700000000000001"/>
    <n v="0.4"/>
    <n v="0.19400000000000001"/>
    <n v="5"/>
    <n v="170"/>
    <n v="175"/>
    <x v="1"/>
    <s v="Spring"/>
    <x v="0"/>
    <x v="5"/>
    <n v="2011"/>
    <d v="2011-02-13T00:00:00"/>
    <x v="1"/>
  </r>
  <r>
    <n v="753"/>
    <x v="33"/>
    <n v="1"/>
    <n v="0"/>
    <n v="2"/>
    <x v="18"/>
    <b v="0"/>
    <n v="4"/>
    <n v="1"/>
    <n v="0.2"/>
    <n v="0.21210000000000001"/>
    <n v="0.4"/>
    <n v="0.16420000000000001"/>
    <n v="2"/>
    <n v="145"/>
    <n v="147"/>
    <x v="1"/>
    <s v="Spring"/>
    <x v="0"/>
    <x v="5"/>
    <n v="2011"/>
    <d v="2011-02-13T00:00:00"/>
    <x v="1"/>
  </r>
  <r>
    <n v="754"/>
    <x v="33"/>
    <n v="1"/>
    <n v="0"/>
    <n v="2"/>
    <x v="19"/>
    <b v="0"/>
    <n v="4"/>
    <n v="1"/>
    <n v="0.2"/>
    <n v="0.2576"/>
    <n v="0.4"/>
    <n v="0"/>
    <n v="4"/>
    <n v="92"/>
    <n v="96"/>
    <x v="1"/>
    <s v="Spring"/>
    <x v="0"/>
    <x v="5"/>
    <n v="2011"/>
    <d v="2011-02-13T00:00:00"/>
    <x v="1"/>
  </r>
  <r>
    <n v="755"/>
    <x v="33"/>
    <n v="1"/>
    <n v="0"/>
    <n v="2"/>
    <x v="20"/>
    <b v="0"/>
    <n v="4"/>
    <n v="1"/>
    <n v="0.2"/>
    <n v="0.2273"/>
    <n v="0.47"/>
    <n v="8.9599999999999999E-2"/>
    <n v="1"/>
    <n v="108"/>
    <n v="109"/>
    <x v="1"/>
    <s v="Spring"/>
    <x v="0"/>
    <x v="5"/>
    <n v="2011"/>
    <d v="2011-02-13T00:00:00"/>
    <x v="1"/>
  </r>
  <r>
    <n v="756"/>
    <x v="33"/>
    <n v="1"/>
    <n v="0"/>
    <n v="2"/>
    <x v="21"/>
    <b v="0"/>
    <n v="4"/>
    <n v="1"/>
    <n v="0.18"/>
    <n v="0.21210000000000001"/>
    <n v="0.55000000000000004"/>
    <n v="0.1045"/>
    <n v="1"/>
    <n v="53"/>
    <n v="54"/>
    <x v="1"/>
    <s v="Spring"/>
    <x v="0"/>
    <x v="5"/>
    <n v="2011"/>
    <d v="2011-02-13T00:00:00"/>
    <x v="1"/>
  </r>
  <r>
    <n v="757"/>
    <x v="33"/>
    <n v="1"/>
    <n v="0"/>
    <n v="2"/>
    <x v="22"/>
    <b v="0"/>
    <n v="4"/>
    <n v="1"/>
    <n v="0.18"/>
    <n v="0.21210000000000001"/>
    <n v="0.51"/>
    <n v="8.9599999999999999E-2"/>
    <n v="2"/>
    <n v="39"/>
    <n v="41"/>
    <x v="1"/>
    <s v="Spring"/>
    <x v="0"/>
    <x v="5"/>
    <n v="2011"/>
    <d v="2011-02-13T00:00:00"/>
    <x v="1"/>
  </r>
  <r>
    <n v="758"/>
    <x v="33"/>
    <n v="1"/>
    <n v="0"/>
    <n v="2"/>
    <x v="23"/>
    <b v="0"/>
    <n v="4"/>
    <n v="1"/>
    <n v="0.2"/>
    <n v="0.2273"/>
    <n v="0.47"/>
    <n v="0.1045"/>
    <n v="4"/>
    <n v="34"/>
    <n v="38"/>
    <x v="1"/>
    <s v="Spring"/>
    <x v="0"/>
    <x v="5"/>
    <n v="2011"/>
    <d v="2011-02-13T00:00:00"/>
    <x v="1"/>
  </r>
  <r>
    <n v="759"/>
    <x v="34"/>
    <n v="1"/>
    <n v="0"/>
    <n v="2"/>
    <x v="0"/>
    <b v="0"/>
    <n v="5"/>
    <n v="2"/>
    <n v="0.2"/>
    <n v="0.2576"/>
    <n v="0.44"/>
    <n v="0"/>
    <n v="3"/>
    <n v="10"/>
    <n v="13"/>
    <x v="1"/>
    <s v="Spring"/>
    <x v="1"/>
    <x v="6"/>
    <n v="2011"/>
    <d v="2011-02-13T00:00:00"/>
    <x v="1"/>
  </r>
  <r>
    <n v="760"/>
    <x v="34"/>
    <n v="1"/>
    <n v="0"/>
    <n v="2"/>
    <x v="1"/>
    <b v="0"/>
    <n v="5"/>
    <n v="2"/>
    <n v="0.16"/>
    <n v="0.2273"/>
    <n v="0.59"/>
    <n v="0"/>
    <n v="0"/>
    <n v="7"/>
    <n v="7"/>
    <x v="1"/>
    <s v="Spring"/>
    <x v="1"/>
    <x v="6"/>
    <n v="2011"/>
    <d v="2011-02-13T00:00:00"/>
    <x v="1"/>
  </r>
  <r>
    <n v="761"/>
    <x v="34"/>
    <n v="1"/>
    <n v="0"/>
    <n v="2"/>
    <x v="2"/>
    <b v="0"/>
    <n v="5"/>
    <n v="2"/>
    <n v="0.14000000000000001"/>
    <n v="0.16669999999999999"/>
    <n v="0.63"/>
    <n v="0.1045"/>
    <n v="0"/>
    <n v="1"/>
    <n v="1"/>
    <x v="1"/>
    <s v="Spring"/>
    <x v="1"/>
    <x v="6"/>
    <n v="2011"/>
    <d v="2011-02-13T00:00:00"/>
    <x v="1"/>
  </r>
  <r>
    <n v="762"/>
    <x v="34"/>
    <n v="1"/>
    <n v="0"/>
    <n v="2"/>
    <x v="3"/>
    <b v="0"/>
    <n v="5"/>
    <n v="2"/>
    <n v="0.14000000000000001"/>
    <n v="0.16669999999999999"/>
    <n v="0.63"/>
    <n v="0.1045"/>
    <n v="0"/>
    <n v="1"/>
    <n v="1"/>
    <x v="1"/>
    <s v="Spring"/>
    <x v="1"/>
    <x v="6"/>
    <n v="2011"/>
    <d v="2011-02-13T00:00:00"/>
    <x v="1"/>
  </r>
  <r>
    <n v="763"/>
    <x v="34"/>
    <n v="1"/>
    <n v="0"/>
    <n v="2"/>
    <x v="5"/>
    <b v="0"/>
    <n v="5"/>
    <n v="2"/>
    <n v="0.14000000000000001"/>
    <n v="0.1515"/>
    <n v="0.63"/>
    <n v="0.1343"/>
    <n v="0"/>
    <n v="7"/>
    <n v="7"/>
    <x v="1"/>
    <s v="Spring"/>
    <x v="1"/>
    <x v="6"/>
    <n v="2011"/>
    <d v="2011-02-13T00:00:00"/>
    <x v="1"/>
  </r>
  <r>
    <n v="764"/>
    <x v="34"/>
    <n v="1"/>
    <n v="0"/>
    <n v="2"/>
    <x v="6"/>
    <b v="0"/>
    <n v="5"/>
    <n v="2"/>
    <n v="0.16"/>
    <n v="0.2273"/>
    <n v="0.55000000000000004"/>
    <n v="0"/>
    <n v="2"/>
    <n v="26"/>
    <n v="28"/>
    <x v="1"/>
    <s v="Spring"/>
    <x v="1"/>
    <x v="6"/>
    <n v="2011"/>
    <d v="2011-02-13T00:00:00"/>
    <x v="1"/>
  </r>
  <r>
    <n v="765"/>
    <x v="34"/>
    <n v="1"/>
    <n v="0"/>
    <n v="2"/>
    <x v="7"/>
    <b v="0"/>
    <n v="5"/>
    <n v="1"/>
    <n v="0.14000000000000001"/>
    <n v="0.21210000000000001"/>
    <n v="0.59"/>
    <n v="0"/>
    <n v="0"/>
    <n v="87"/>
    <n v="87"/>
    <x v="1"/>
    <s v="Spring"/>
    <x v="0"/>
    <x v="6"/>
    <n v="2011"/>
    <d v="2011-02-13T00:00:00"/>
    <x v="1"/>
  </r>
  <r>
    <n v="766"/>
    <x v="34"/>
    <n v="1"/>
    <n v="0"/>
    <n v="2"/>
    <x v="8"/>
    <b v="0"/>
    <n v="5"/>
    <n v="1"/>
    <n v="0.14000000000000001"/>
    <n v="0.1515"/>
    <n v="0.74"/>
    <n v="0.1343"/>
    <n v="3"/>
    <n v="217"/>
    <n v="220"/>
    <x v="1"/>
    <s v="Spring"/>
    <x v="0"/>
    <x v="6"/>
    <n v="2011"/>
    <d v="2011-02-13T00:00:00"/>
    <x v="1"/>
  </r>
  <r>
    <n v="767"/>
    <x v="34"/>
    <n v="1"/>
    <n v="0"/>
    <n v="2"/>
    <x v="9"/>
    <b v="0"/>
    <n v="5"/>
    <n v="2"/>
    <n v="0.16"/>
    <n v="0.18179999999999999"/>
    <n v="0.8"/>
    <n v="0.1343"/>
    <n v="3"/>
    <n v="124"/>
    <n v="127"/>
    <x v="1"/>
    <s v="Spring"/>
    <x v="1"/>
    <x v="6"/>
    <n v="2011"/>
    <d v="2011-02-13T00:00:00"/>
    <x v="1"/>
  </r>
  <r>
    <n v="768"/>
    <x v="34"/>
    <n v="1"/>
    <n v="0"/>
    <n v="2"/>
    <x v="10"/>
    <b v="0"/>
    <n v="5"/>
    <n v="2"/>
    <n v="0.2"/>
    <n v="0.21210000000000001"/>
    <n v="0.51"/>
    <n v="0.1343"/>
    <n v="5"/>
    <n v="46"/>
    <n v="51"/>
    <x v="1"/>
    <s v="Spring"/>
    <x v="1"/>
    <x v="6"/>
    <n v="2011"/>
    <d v="2011-02-13T00:00:00"/>
    <x v="1"/>
  </r>
  <r>
    <n v="769"/>
    <x v="34"/>
    <n v="1"/>
    <n v="0"/>
    <n v="2"/>
    <x v="11"/>
    <b v="0"/>
    <n v="5"/>
    <n v="1"/>
    <n v="0.22"/>
    <n v="0.2273"/>
    <n v="0.51"/>
    <n v="0.16420000000000001"/>
    <n v="3"/>
    <n v="61"/>
    <n v="64"/>
    <x v="1"/>
    <s v="Spring"/>
    <x v="0"/>
    <x v="6"/>
    <n v="2011"/>
    <d v="2011-02-13T00:00:00"/>
    <x v="1"/>
  </r>
  <r>
    <n v="770"/>
    <x v="34"/>
    <n v="1"/>
    <n v="0"/>
    <n v="2"/>
    <x v="12"/>
    <b v="0"/>
    <n v="5"/>
    <n v="2"/>
    <n v="0.24"/>
    <n v="0.2424"/>
    <n v="0.48"/>
    <n v="0.16420000000000001"/>
    <n v="8"/>
    <n v="78"/>
    <n v="86"/>
    <x v="1"/>
    <s v="Spring"/>
    <x v="1"/>
    <x v="6"/>
    <n v="2011"/>
    <d v="2011-02-13T00:00:00"/>
    <x v="1"/>
  </r>
  <r>
    <n v="771"/>
    <x v="34"/>
    <n v="1"/>
    <n v="0"/>
    <n v="2"/>
    <x v="13"/>
    <b v="0"/>
    <n v="5"/>
    <n v="2"/>
    <n v="0.26"/>
    <n v="0.2576"/>
    <n v="0.5"/>
    <n v="0.22389999999999999"/>
    <n v="9"/>
    <n v="73"/>
    <n v="82"/>
    <x v="1"/>
    <s v="Spring"/>
    <x v="1"/>
    <x v="6"/>
    <n v="2011"/>
    <d v="2011-02-13T00:00:00"/>
    <x v="1"/>
  </r>
  <r>
    <n v="772"/>
    <x v="34"/>
    <n v="1"/>
    <n v="0"/>
    <n v="2"/>
    <x v="14"/>
    <b v="0"/>
    <n v="5"/>
    <n v="2"/>
    <n v="0.28000000000000003"/>
    <n v="0.2727"/>
    <n v="0.45"/>
    <n v="0.16420000000000001"/>
    <n v="15"/>
    <n v="76"/>
    <n v="91"/>
    <x v="1"/>
    <s v="Spring"/>
    <x v="1"/>
    <x v="6"/>
    <n v="2011"/>
    <d v="2011-02-13T00:00:00"/>
    <x v="1"/>
  </r>
  <r>
    <n v="773"/>
    <x v="34"/>
    <n v="1"/>
    <n v="0"/>
    <n v="2"/>
    <x v="15"/>
    <b v="0"/>
    <n v="5"/>
    <n v="2"/>
    <n v="0.28000000000000003"/>
    <n v="0.2727"/>
    <n v="0.48"/>
    <n v="0.25369999999999998"/>
    <n v="9"/>
    <n v="81"/>
    <n v="90"/>
    <x v="1"/>
    <s v="Spring"/>
    <x v="1"/>
    <x v="6"/>
    <n v="2011"/>
    <d v="2011-02-13T00:00:00"/>
    <x v="1"/>
  </r>
  <r>
    <n v="774"/>
    <x v="34"/>
    <n v="1"/>
    <n v="0"/>
    <n v="2"/>
    <x v="16"/>
    <b v="0"/>
    <n v="5"/>
    <n v="2"/>
    <n v="0.3"/>
    <n v="0.28789999999999999"/>
    <n v="0.42"/>
    <n v="0.22389999999999999"/>
    <n v="8"/>
    <n v="91"/>
    <n v="99"/>
    <x v="1"/>
    <s v="Spring"/>
    <x v="1"/>
    <x v="6"/>
    <n v="2011"/>
    <d v="2011-02-13T00:00:00"/>
    <x v="1"/>
  </r>
  <r>
    <n v="775"/>
    <x v="34"/>
    <n v="1"/>
    <n v="0"/>
    <n v="2"/>
    <x v="17"/>
    <b v="0"/>
    <n v="5"/>
    <n v="2"/>
    <n v="0.26"/>
    <n v="0.2727"/>
    <n v="0.56000000000000005"/>
    <n v="0.1343"/>
    <n v="10"/>
    <n v="195"/>
    <n v="205"/>
    <x v="1"/>
    <s v="Spring"/>
    <x v="1"/>
    <x v="6"/>
    <n v="2011"/>
    <d v="2011-02-13T00:00:00"/>
    <x v="1"/>
  </r>
  <r>
    <n v="776"/>
    <x v="34"/>
    <n v="1"/>
    <n v="0"/>
    <n v="2"/>
    <x v="18"/>
    <b v="0"/>
    <n v="5"/>
    <n v="2"/>
    <n v="0.24"/>
    <n v="0.2576"/>
    <n v="0.6"/>
    <n v="0.1045"/>
    <n v="3"/>
    <n v="152"/>
    <n v="155"/>
    <x v="1"/>
    <s v="Spring"/>
    <x v="1"/>
    <x v="6"/>
    <n v="2011"/>
    <d v="2011-02-13T00:00:00"/>
    <x v="1"/>
  </r>
  <r>
    <n v="777"/>
    <x v="34"/>
    <n v="1"/>
    <n v="0"/>
    <n v="2"/>
    <x v="19"/>
    <b v="0"/>
    <n v="5"/>
    <n v="2"/>
    <n v="0.24"/>
    <n v="0.2424"/>
    <n v="0.65"/>
    <n v="0.1343"/>
    <n v="1"/>
    <n v="102"/>
    <n v="103"/>
    <x v="1"/>
    <s v="Spring"/>
    <x v="1"/>
    <x v="6"/>
    <n v="2011"/>
    <d v="2011-02-13T00:00:00"/>
    <x v="1"/>
  </r>
  <r>
    <n v="778"/>
    <x v="34"/>
    <n v="1"/>
    <n v="0"/>
    <n v="2"/>
    <x v="20"/>
    <b v="0"/>
    <n v="5"/>
    <n v="2"/>
    <n v="0.24"/>
    <n v="0.2424"/>
    <n v="0.65"/>
    <n v="0.16420000000000001"/>
    <n v="2"/>
    <n v="69"/>
    <n v="71"/>
    <x v="1"/>
    <s v="Spring"/>
    <x v="1"/>
    <x v="6"/>
    <n v="2011"/>
    <d v="2011-02-13T00:00:00"/>
    <x v="1"/>
  </r>
  <r>
    <n v="779"/>
    <x v="34"/>
    <n v="1"/>
    <n v="0"/>
    <n v="2"/>
    <x v="21"/>
    <b v="0"/>
    <n v="5"/>
    <n v="2"/>
    <n v="0.24"/>
    <n v="0.2424"/>
    <n v="0.7"/>
    <n v="0.16420000000000001"/>
    <n v="2"/>
    <n v="41"/>
    <n v="43"/>
    <x v="1"/>
    <s v="Spring"/>
    <x v="1"/>
    <x v="6"/>
    <n v="2011"/>
    <d v="2011-02-13T00:00:00"/>
    <x v="1"/>
  </r>
  <r>
    <n v="780"/>
    <x v="34"/>
    <n v="1"/>
    <n v="0"/>
    <n v="2"/>
    <x v="22"/>
    <b v="0"/>
    <n v="5"/>
    <n v="2"/>
    <n v="0.24"/>
    <n v="0.2424"/>
    <n v="0.65"/>
    <n v="0.16420000000000001"/>
    <n v="1"/>
    <n v="45"/>
    <n v="46"/>
    <x v="1"/>
    <s v="Spring"/>
    <x v="1"/>
    <x v="6"/>
    <n v="2011"/>
    <d v="2011-02-13T00:00:00"/>
    <x v="1"/>
  </r>
  <r>
    <n v="781"/>
    <x v="34"/>
    <n v="1"/>
    <n v="0"/>
    <n v="2"/>
    <x v="23"/>
    <b v="0"/>
    <n v="5"/>
    <n v="2"/>
    <n v="0.24"/>
    <n v="0.2424"/>
    <n v="0.7"/>
    <n v="0.1343"/>
    <n v="1"/>
    <n v="30"/>
    <n v="31"/>
    <x v="1"/>
    <s v="Spring"/>
    <x v="1"/>
    <x v="6"/>
    <n v="2011"/>
    <d v="2011-02-13T00:00:00"/>
    <x v="1"/>
  </r>
  <r>
    <n v="782"/>
    <x v="35"/>
    <n v="1"/>
    <n v="0"/>
    <n v="2"/>
    <x v="0"/>
    <b v="0"/>
    <n v="6"/>
    <n v="2"/>
    <n v="0.24"/>
    <n v="0.2424"/>
    <n v="0.7"/>
    <n v="0.16420000000000001"/>
    <n v="3"/>
    <n v="36"/>
    <n v="39"/>
    <x v="1"/>
    <s v="Spring"/>
    <x v="1"/>
    <x v="0"/>
    <n v="2011"/>
    <d v="2011-02-13T00:00:00"/>
    <x v="0"/>
  </r>
  <r>
    <n v="783"/>
    <x v="35"/>
    <n v="1"/>
    <n v="0"/>
    <n v="2"/>
    <x v="1"/>
    <b v="0"/>
    <n v="6"/>
    <n v="2"/>
    <n v="0.24"/>
    <n v="0.2424"/>
    <n v="0.65"/>
    <n v="0.16420000000000001"/>
    <n v="1"/>
    <n v="17"/>
    <n v="18"/>
    <x v="1"/>
    <s v="Spring"/>
    <x v="1"/>
    <x v="0"/>
    <n v="2011"/>
    <d v="2011-02-13T00:00:00"/>
    <x v="0"/>
  </r>
  <r>
    <n v="784"/>
    <x v="35"/>
    <n v="1"/>
    <n v="0"/>
    <n v="2"/>
    <x v="2"/>
    <b v="0"/>
    <n v="6"/>
    <n v="2"/>
    <n v="0.24"/>
    <n v="0.2424"/>
    <n v="0.75"/>
    <n v="0.16420000000000001"/>
    <n v="5"/>
    <n v="12"/>
    <n v="17"/>
    <x v="1"/>
    <s v="Spring"/>
    <x v="1"/>
    <x v="0"/>
    <n v="2011"/>
    <d v="2011-02-13T00:00:00"/>
    <x v="0"/>
  </r>
  <r>
    <n v="785"/>
    <x v="35"/>
    <n v="1"/>
    <n v="0"/>
    <n v="2"/>
    <x v="3"/>
    <b v="0"/>
    <n v="6"/>
    <n v="2"/>
    <n v="0.24"/>
    <n v="0.2424"/>
    <n v="0.75"/>
    <n v="0.16420000000000001"/>
    <n v="1"/>
    <n v="10"/>
    <n v="11"/>
    <x v="1"/>
    <s v="Spring"/>
    <x v="1"/>
    <x v="0"/>
    <n v="2011"/>
    <d v="2011-02-13T00:00:00"/>
    <x v="0"/>
  </r>
  <r>
    <n v="786"/>
    <x v="35"/>
    <n v="1"/>
    <n v="0"/>
    <n v="2"/>
    <x v="4"/>
    <b v="0"/>
    <n v="6"/>
    <n v="3"/>
    <n v="0.22"/>
    <n v="0.2273"/>
    <n v="0.93"/>
    <n v="0.1343"/>
    <n v="0"/>
    <n v="8"/>
    <n v="8"/>
    <x v="1"/>
    <s v="Spring"/>
    <x v="2"/>
    <x v="0"/>
    <n v="2011"/>
    <d v="2011-02-13T00:00:00"/>
    <x v="0"/>
  </r>
  <r>
    <n v="787"/>
    <x v="35"/>
    <n v="1"/>
    <n v="0"/>
    <n v="2"/>
    <x v="5"/>
    <b v="0"/>
    <n v="6"/>
    <n v="3"/>
    <n v="0.2"/>
    <n v="0.2273"/>
    <n v="1"/>
    <n v="8.9599999999999999E-2"/>
    <n v="0"/>
    <n v="9"/>
    <n v="9"/>
    <x v="1"/>
    <s v="Spring"/>
    <x v="2"/>
    <x v="0"/>
    <n v="2011"/>
    <d v="2011-02-13T00:00:00"/>
    <x v="0"/>
  </r>
  <r>
    <n v="788"/>
    <x v="35"/>
    <n v="1"/>
    <n v="0"/>
    <n v="2"/>
    <x v="6"/>
    <b v="0"/>
    <n v="6"/>
    <n v="3"/>
    <n v="0.2"/>
    <n v="0.2576"/>
    <n v="1"/>
    <n v="0"/>
    <n v="0"/>
    <n v="4"/>
    <n v="4"/>
    <x v="1"/>
    <s v="Spring"/>
    <x v="2"/>
    <x v="0"/>
    <n v="2011"/>
    <d v="2011-02-13T00:00:00"/>
    <x v="0"/>
  </r>
  <r>
    <n v="789"/>
    <x v="35"/>
    <n v="1"/>
    <n v="0"/>
    <n v="2"/>
    <x v="7"/>
    <b v="0"/>
    <n v="6"/>
    <n v="3"/>
    <n v="0.22"/>
    <n v="0.2576"/>
    <n v="0.93"/>
    <n v="8.9599999999999999E-2"/>
    <n v="0"/>
    <n v="4"/>
    <n v="4"/>
    <x v="1"/>
    <s v="Spring"/>
    <x v="2"/>
    <x v="0"/>
    <n v="2011"/>
    <d v="2011-02-13T00:00:00"/>
    <x v="0"/>
  </r>
  <r>
    <n v="790"/>
    <x v="35"/>
    <n v="1"/>
    <n v="0"/>
    <n v="2"/>
    <x v="8"/>
    <b v="0"/>
    <n v="6"/>
    <n v="3"/>
    <n v="0.2"/>
    <n v="0.2273"/>
    <n v="1"/>
    <n v="8.9599999999999999E-2"/>
    <n v="0"/>
    <n v="10"/>
    <n v="10"/>
    <x v="1"/>
    <s v="Spring"/>
    <x v="2"/>
    <x v="0"/>
    <n v="2011"/>
    <d v="2011-02-13T00:00:00"/>
    <x v="0"/>
  </r>
  <r>
    <n v="791"/>
    <x v="35"/>
    <n v="1"/>
    <n v="0"/>
    <n v="2"/>
    <x v="9"/>
    <b v="0"/>
    <n v="6"/>
    <n v="3"/>
    <n v="0.2"/>
    <n v="0.2273"/>
    <n v="1"/>
    <n v="8.9599999999999999E-2"/>
    <n v="3"/>
    <n v="17"/>
    <n v="20"/>
    <x v="1"/>
    <s v="Spring"/>
    <x v="2"/>
    <x v="0"/>
    <n v="2011"/>
    <d v="2011-02-13T00:00:00"/>
    <x v="0"/>
  </r>
  <r>
    <n v="792"/>
    <x v="35"/>
    <n v="1"/>
    <n v="0"/>
    <n v="2"/>
    <x v="10"/>
    <b v="0"/>
    <n v="6"/>
    <n v="3"/>
    <n v="0.2"/>
    <n v="0.21210000000000001"/>
    <n v="1"/>
    <n v="0.1343"/>
    <n v="3"/>
    <n v="31"/>
    <n v="34"/>
    <x v="1"/>
    <s v="Spring"/>
    <x v="2"/>
    <x v="0"/>
    <n v="2011"/>
    <d v="2011-02-13T00:00:00"/>
    <x v="0"/>
  </r>
  <r>
    <n v="793"/>
    <x v="35"/>
    <n v="1"/>
    <n v="0"/>
    <n v="2"/>
    <x v="11"/>
    <b v="0"/>
    <n v="6"/>
    <n v="3"/>
    <n v="0.22"/>
    <n v="0.2273"/>
    <n v="1"/>
    <n v="0.1343"/>
    <n v="1"/>
    <n v="46"/>
    <n v="47"/>
    <x v="1"/>
    <s v="Spring"/>
    <x v="2"/>
    <x v="0"/>
    <n v="2011"/>
    <d v="2011-02-13T00:00:00"/>
    <x v="0"/>
  </r>
  <r>
    <n v="794"/>
    <x v="35"/>
    <n v="1"/>
    <n v="0"/>
    <n v="2"/>
    <x v="12"/>
    <b v="0"/>
    <n v="6"/>
    <n v="3"/>
    <n v="0.22"/>
    <n v="0.2273"/>
    <n v="1"/>
    <n v="0.16420000000000001"/>
    <n v="10"/>
    <n v="42"/>
    <n v="52"/>
    <x v="1"/>
    <s v="Spring"/>
    <x v="2"/>
    <x v="0"/>
    <n v="2011"/>
    <d v="2011-02-13T00:00:00"/>
    <x v="0"/>
  </r>
  <r>
    <n v="795"/>
    <x v="35"/>
    <n v="1"/>
    <n v="0"/>
    <n v="2"/>
    <x v="13"/>
    <b v="0"/>
    <n v="6"/>
    <n v="3"/>
    <n v="0.22"/>
    <n v="0.2273"/>
    <n v="1"/>
    <n v="0.16420000000000001"/>
    <n v="10"/>
    <n v="62"/>
    <n v="72"/>
    <x v="1"/>
    <s v="Spring"/>
    <x v="2"/>
    <x v="0"/>
    <n v="2011"/>
    <d v="2011-02-13T00:00:00"/>
    <x v="0"/>
  </r>
  <r>
    <n v="796"/>
    <x v="35"/>
    <n v="1"/>
    <n v="0"/>
    <n v="2"/>
    <x v="14"/>
    <b v="0"/>
    <n v="6"/>
    <n v="3"/>
    <n v="0.22"/>
    <n v="0.2727"/>
    <n v="1"/>
    <n v="0"/>
    <n v="5"/>
    <n v="50"/>
    <n v="55"/>
    <x v="1"/>
    <s v="Spring"/>
    <x v="2"/>
    <x v="0"/>
    <n v="2011"/>
    <d v="2011-02-13T00:00:00"/>
    <x v="0"/>
  </r>
  <r>
    <n v="797"/>
    <x v="35"/>
    <n v="1"/>
    <n v="0"/>
    <n v="2"/>
    <x v="15"/>
    <b v="0"/>
    <n v="6"/>
    <n v="3"/>
    <n v="0.22"/>
    <n v="0.2727"/>
    <n v="1"/>
    <n v="0"/>
    <n v="11"/>
    <n v="49"/>
    <n v="60"/>
    <x v="1"/>
    <s v="Spring"/>
    <x v="2"/>
    <x v="0"/>
    <n v="2011"/>
    <d v="2011-02-13T00:00:00"/>
    <x v="0"/>
  </r>
  <r>
    <n v="798"/>
    <x v="35"/>
    <n v="1"/>
    <n v="0"/>
    <n v="2"/>
    <x v="16"/>
    <b v="0"/>
    <n v="6"/>
    <n v="3"/>
    <n v="0.22"/>
    <n v="0.2273"/>
    <n v="1"/>
    <n v="0.1343"/>
    <n v="8"/>
    <n v="63"/>
    <n v="71"/>
    <x v="1"/>
    <s v="Spring"/>
    <x v="2"/>
    <x v="0"/>
    <n v="2011"/>
    <d v="2011-02-13T00:00:00"/>
    <x v="0"/>
  </r>
  <r>
    <n v="799"/>
    <x v="35"/>
    <n v="1"/>
    <n v="0"/>
    <n v="2"/>
    <x v="17"/>
    <b v="0"/>
    <n v="6"/>
    <n v="2"/>
    <n v="0.24"/>
    <n v="0.21210000000000001"/>
    <n v="1"/>
    <n v="0.28360000000000002"/>
    <n v="14"/>
    <n v="64"/>
    <n v="78"/>
    <x v="1"/>
    <s v="Spring"/>
    <x v="1"/>
    <x v="0"/>
    <n v="2011"/>
    <d v="2011-02-13T00:00:00"/>
    <x v="0"/>
  </r>
  <r>
    <n v="800"/>
    <x v="35"/>
    <n v="1"/>
    <n v="0"/>
    <n v="2"/>
    <x v="18"/>
    <b v="0"/>
    <n v="6"/>
    <n v="2"/>
    <n v="0.28000000000000003"/>
    <n v="0.2424"/>
    <n v="0.93"/>
    <n v="0.44779999999999998"/>
    <n v="2"/>
    <n v="81"/>
    <n v="83"/>
    <x v="1"/>
    <s v="Spring"/>
    <x v="1"/>
    <x v="0"/>
    <n v="2011"/>
    <d v="2011-02-13T00:00:00"/>
    <x v="0"/>
  </r>
  <r>
    <n v="801"/>
    <x v="35"/>
    <n v="1"/>
    <n v="0"/>
    <n v="2"/>
    <x v="19"/>
    <b v="0"/>
    <n v="6"/>
    <n v="2"/>
    <n v="0.28000000000000003"/>
    <n v="0.2424"/>
    <n v="0.93"/>
    <n v="0.44779999999999998"/>
    <n v="6"/>
    <n v="78"/>
    <n v="84"/>
    <x v="1"/>
    <s v="Spring"/>
    <x v="1"/>
    <x v="0"/>
    <n v="2011"/>
    <d v="2011-02-13T00:00:00"/>
    <x v="0"/>
  </r>
  <r>
    <n v="802"/>
    <x v="35"/>
    <n v="1"/>
    <n v="0"/>
    <n v="2"/>
    <x v="20"/>
    <b v="0"/>
    <n v="6"/>
    <n v="1"/>
    <n v="0.3"/>
    <n v="0.28789999999999999"/>
    <n v="0.87"/>
    <n v="0.25369999999999998"/>
    <n v="5"/>
    <n v="64"/>
    <n v="69"/>
    <x v="1"/>
    <s v="Spring"/>
    <x v="0"/>
    <x v="0"/>
    <n v="2011"/>
    <d v="2011-02-13T00:00:00"/>
    <x v="0"/>
  </r>
  <r>
    <n v="803"/>
    <x v="35"/>
    <n v="1"/>
    <n v="0"/>
    <n v="2"/>
    <x v="21"/>
    <b v="0"/>
    <n v="6"/>
    <n v="1"/>
    <n v="0.26"/>
    <n v="0.2576"/>
    <n v="1"/>
    <n v="0.19400000000000001"/>
    <n v="3"/>
    <n v="53"/>
    <n v="56"/>
    <x v="1"/>
    <s v="Spring"/>
    <x v="0"/>
    <x v="0"/>
    <n v="2011"/>
    <d v="2011-02-13T00:00:00"/>
    <x v="0"/>
  </r>
  <r>
    <n v="804"/>
    <x v="35"/>
    <n v="1"/>
    <n v="0"/>
    <n v="2"/>
    <x v="22"/>
    <b v="0"/>
    <n v="6"/>
    <n v="1"/>
    <n v="0.26"/>
    <n v="0.2727"/>
    <n v="0.93"/>
    <n v="0.1343"/>
    <n v="2"/>
    <n v="43"/>
    <n v="45"/>
    <x v="1"/>
    <s v="Spring"/>
    <x v="0"/>
    <x v="0"/>
    <n v="2011"/>
    <d v="2011-02-13T00:00:00"/>
    <x v="0"/>
  </r>
  <r>
    <n v="805"/>
    <x v="35"/>
    <n v="1"/>
    <n v="0"/>
    <n v="2"/>
    <x v="23"/>
    <b v="0"/>
    <n v="6"/>
    <n v="1"/>
    <n v="0.26"/>
    <n v="0.2576"/>
    <n v="0.93"/>
    <n v="0.22389999999999999"/>
    <n v="7"/>
    <n v="52"/>
    <n v="59"/>
    <x v="1"/>
    <s v="Spring"/>
    <x v="0"/>
    <x v="0"/>
    <n v="2011"/>
    <d v="2011-02-13T00:00:00"/>
    <x v="0"/>
  </r>
  <r>
    <n v="806"/>
    <x v="36"/>
    <n v="1"/>
    <n v="0"/>
    <n v="2"/>
    <x v="0"/>
    <b v="0"/>
    <n v="0"/>
    <n v="1"/>
    <n v="0.26"/>
    <n v="0.2576"/>
    <n v="0.7"/>
    <n v="0.19400000000000001"/>
    <n v="2"/>
    <n v="37"/>
    <n v="39"/>
    <x v="1"/>
    <s v="Spring"/>
    <x v="0"/>
    <x v="1"/>
    <n v="2011"/>
    <d v="2011-02-13T00:00:00"/>
    <x v="0"/>
  </r>
  <r>
    <n v="807"/>
    <x v="36"/>
    <n v="1"/>
    <n v="0"/>
    <n v="2"/>
    <x v="1"/>
    <b v="0"/>
    <n v="0"/>
    <n v="1"/>
    <n v="0.26"/>
    <n v="0.2273"/>
    <n v="0.65"/>
    <n v="0.41789999999999999"/>
    <n v="4"/>
    <n v="40"/>
    <n v="44"/>
    <x v="1"/>
    <s v="Spring"/>
    <x v="0"/>
    <x v="1"/>
    <n v="2011"/>
    <d v="2011-02-13T00:00:00"/>
    <x v="0"/>
  </r>
  <r>
    <n v="808"/>
    <x v="36"/>
    <n v="1"/>
    <n v="0"/>
    <n v="2"/>
    <x v="2"/>
    <b v="0"/>
    <n v="0"/>
    <n v="1"/>
    <n v="0.26"/>
    <n v="0.2273"/>
    <n v="0.6"/>
    <n v="0.32840000000000003"/>
    <n v="0"/>
    <n v="20"/>
    <n v="20"/>
    <x v="1"/>
    <s v="Spring"/>
    <x v="0"/>
    <x v="1"/>
    <n v="2011"/>
    <d v="2011-02-13T00:00:00"/>
    <x v="0"/>
  </r>
  <r>
    <n v="809"/>
    <x v="36"/>
    <n v="1"/>
    <n v="0"/>
    <n v="2"/>
    <x v="3"/>
    <b v="0"/>
    <n v="0"/>
    <n v="1"/>
    <n v="0.26"/>
    <n v="0.28789999999999999"/>
    <n v="0.6"/>
    <n v="8.9599999999999999E-2"/>
    <n v="3"/>
    <n v="10"/>
    <n v="13"/>
    <x v="1"/>
    <s v="Spring"/>
    <x v="0"/>
    <x v="1"/>
    <n v="2011"/>
    <d v="2011-02-13T00:00:00"/>
    <x v="0"/>
  </r>
  <r>
    <n v="810"/>
    <x v="36"/>
    <n v="1"/>
    <n v="0"/>
    <n v="2"/>
    <x v="4"/>
    <b v="0"/>
    <n v="0"/>
    <n v="1"/>
    <n v="0.26"/>
    <n v="0.2273"/>
    <n v="0.6"/>
    <n v="0.35820000000000002"/>
    <n v="0"/>
    <n v="2"/>
    <n v="2"/>
    <x v="1"/>
    <s v="Spring"/>
    <x v="0"/>
    <x v="1"/>
    <n v="2011"/>
    <d v="2011-02-13T00:00:00"/>
    <x v="0"/>
  </r>
  <r>
    <n v="811"/>
    <x v="36"/>
    <n v="1"/>
    <n v="0"/>
    <n v="2"/>
    <x v="5"/>
    <b v="0"/>
    <n v="0"/>
    <n v="1"/>
    <n v="0.26"/>
    <n v="0.2576"/>
    <n v="0.6"/>
    <n v="0.22389999999999999"/>
    <n v="0"/>
    <n v="1"/>
    <n v="1"/>
    <x v="1"/>
    <s v="Spring"/>
    <x v="0"/>
    <x v="1"/>
    <n v="2011"/>
    <d v="2011-02-13T00:00:00"/>
    <x v="0"/>
  </r>
  <r>
    <n v="812"/>
    <x v="36"/>
    <n v="1"/>
    <n v="0"/>
    <n v="2"/>
    <x v="6"/>
    <b v="0"/>
    <n v="0"/>
    <n v="1"/>
    <n v="0.26"/>
    <n v="0.2576"/>
    <n v="0.6"/>
    <n v="0.22389999999999999"/>
    <n v="0"/>
    <n v="1"/>
    <n v="1"/>
    <x v="1"/>
    <s v="Spring"/>
    <x v="0"/>
    <x v="1"/>
    <n v="2011"/>
    <d v="2011-02-13T00:00:00"/>
    <x v="0"/>
  </r>
  <r>
    <n v="813"/>
    <x v="36"/>
    <n v="1"/>
    <n v="0"/>
    <n v="2"/>
    <x v="7"/>
    <b v="0"/>
    <n v="0"/>
    <n v="1"/>
    <n v="0.24"/>
    <n v="0.2424"/>
    <n v="0.65"/>
    <n v="0.16420000000000001"/>
    <n v="0"/>
    <n v="8"/>
    <n v="8"/>
    <x v="1"/>
    <s v="Spring"/>
    <x v="0"/>
    <x v="1"/>
    <n v="2011"/>
    <d v="2011-02-13T00:00:00"/>
    <x v="0"/>
  </r>
  <r>
    <n v="814"/>
    <x v="36"/>
    <n v="1"/>
    <n v="0"/>
    <n v="2"/>
    <x v="8"/>
    <b v="0"/>
    <n v="0"/>
    <n v="1"/>
    <n v="0.24"/>
    <n v="0.2576"/>
    <n v="0.65"/>
    <n v="0.1045"/>
    <n v="2"/>
    <n v="21"/>
    <n v="23"/>
    <x v="1"/>
    <s v="Spring"/>
    <x v="0"/>
    <x v="1"/>
    <n v="2011"/>
    <d v="2011-02-13T00:00:00"/>
    <x v="0"/>
  </r>
  <r>
    <n v="815"/>
    <x v="36"/>
    <n v="1"/>
    <n v="0"/>
    <n v="2"/>
    <x v="9"/>
    <b v="0"/>
    <n v="0"/>
    <n v="1"/>
    <n v="0.28000000000000003"/>
    <n v="0.28789999999999999"/>
    <n v="0.56000000000000005"/>
    <n v="0.1045"/>
    <n v="7"/>
    <n v="38"/>
    <n v="45"/>
    <x v="1"/>
    <s v="Spring"/>
    <x v="0"/>
    <x v="1"/>
    <n v="2011"/>
    <d v="2011-02-13T00:00:00"/>
    <x v="0"/>
  </r>
  <r>
    <n v="816"/>
    <x v="36"/>
    <n v="1"/>
    <n v="0"/>
    <n v="2"/>
    <x v="10"/>
    <b v="0"/>
    <n v="0"/>
    <n v="1"/>
    <n v="0.3"/>
    <n v="0.28789999999999999"/>
    <n v="0.52"/>
    <n v="0.25369999999999998"/>
    <n v="15"/>
    <n v="74"/>
    <n v="89"/>
    <x v="1"/>
    <s v="Spring"/>
    <x v="0"/>
    <x v="1"/>
    <n v="2011"/>
    <d v="2011-02-13T00:00:00"/>
    <x v="0"/>
  </r>
  <r>
    <n v="817"/>
    <x v="36"/>
    <n v="1"/>
    <n v="0"/>
    <n v="2"/>
    <x v="11"/>
    <b v="0"/>
    <n v="0"/>
    <n v="1"/>
    <n v="0.32"/>
    <n v="0.30299999999999999"/>
    <n v="0.49"/>
    <n v="0.25369999999999998"/>
    <n v="28"/>
    <n v="89"/>
    <n v="117"/>
    <x v="1"/>
    <s v="Spring"/>
    <x v="0"/>
    <x v="1"/>
    <n v="2011"/>
    <d v="2011-02-13T00:00:00"/>
    <x v="0"/>
  </r>
  <r>
    <n v="818"/>
    <x v="36"/>
    <n v="1"/>
    <n v="0"/>
    <n v="2"/>
    <x v="12"/>
    <b v="0"/>
    <n v="0"/>
    <n v="1"/>
    <n v="0.34"/>
    <n v="0.33329999999999999"/>
    <n v="0.46"/>
    <n v="0"/>
    <n v="48"/>
    <n v="126"/>
    <n v="174"/>
    <x v="1"/>
    <s v="Spring"/>
    <x v="0"/>
    <x v="1"/>
    <n v="2011"/>
    <d v="2011-02-13T00:00:00"/>
    <x v="0"/>
  </r>
  <r>
    <n v="819"/>
    <x v="36"/>
    <n v="1"/>
    <n v="0"/>
    <n v="2"/>
    <x v="13"/>
    <b v="0"/>
    <n v="0"/>
    <n v="1"/>
    <n v="0.34"/>
    <n v="0.36359999999999998"/>
    <n v="0.46"/>
    <n v="0"/>
    <n v="47"/>
    <n v="135"/>
    <n v="182"/>
    <x v="1"/>
    <s v="Spring"/>
    <x v="0"/>
    <x v="1"/>
    <n v="2011"/>
    <d v="2011-02-13T00:00:00"/>
    <x v="0"/>
  </r>
  <r>
    <n v="820"/>
    <x v="36"/>
    <n v="1"/>
    <n v="0"/>
    <n v="2"/>
    <x v="14"/>
    <b v="0"/>
    <n v="0"/>
    <n v="1"/>
    <n v="0.34"/>
    <n v="0.34849999999999998"/>
    <n v="0.46"/>
    <n v="8.9599999999999999E-2"/>
    <n v="47"/>
    <n v="114"/>
    <n v="161"/>
    <x v="1"/>
    <s v="Spring"/>
    <x v="0"/>
    <x v="1"/>
    <n v="2011"/>
    <d v="2011-02-13T00:00:00"/>
    <x v="0"/>
  </r>
  <r>
    <n v="821"/>
    <x v="36"/>
    <n v="1"/>
    <n v="0"/>
    <n v="2"/>
    <x v="15"/>
    <b v="0"/>
    <n v="0"/>
    <n v="1"/>
    <n v="0.34"/>
    <n v="0.34849999999999998"/>
    <n v="0.46"/>
    <n v="8.9599999999999999E-2"/>
    <n v="52"/>
    <n v="130"/>
    <n v="182"/>
    <x v="1"/>
    <s v="Spring"/>
    <x v="0"/>
    <x v="1"/>
    <n v="2011"/>
    <d v="2011-02-13T00:00:00"/>
    <x v="0"/>
  </r>
  <r>
    <n v="822"/>
    <x v="36"/>
    <n v="1"/>
    <n v="0"/>
    <n v="2"/>
    <x v="16"/>
    <b v="0"/>
    <n v="0"/>
    <n v="1"/>
    <n v="0.34"/>
    <n v="0.34849999999999998"/>
    <n v="0.49"/>
    <n v="0.1045"/>
    <n v="42"/>
    <n v="115"/>
    <n v="157"/>
    <x v="1"/>
    <s v="Spring"/>
    <x v="0"/>
    <x v="1"/>
    <n v="2011"/>
    <d v="2011-02-13T00:00:00"/>
    <x v="0"/>
  </r>
  <r>
    <n v="823"/>
    <x v="36"/>
    <n v="1"/>
    <n v="0"/>
    <n v="2"/>
    <x v="17"/>
    <b v="0"/>
    <n v="0"/>
    <n v="1"/>
    <n v="0.34"/>
    <n v="0.36359999999999998"/>
    <n v="0.46"/>
    <n v="0"/>
    <n v="24"/>
    <n v="97"/>
    <n v="121"/>
    <x v="1"/>
    <s v="Spring"/>
    <x v="0"/>
    <x v="1"/>
    <n v="2011"/>
    <d v="2011-02-13T00:00:00"/>
    <x v="0"/>
  </r>
  <r>
    <n v="824"/>
    <x v="36"/>
    <n v="1"/>
    <n v="0"/>
    <n v="2"/>
    <x v="18"/>
    <b v="0"/>
    <n v="0"/>
    <n v="1"/>
    <n v="0.3"/>
    <n v="0.30299999999999999"/>
    <n v="0.56000000000000005"/>
    <n v="0.16420000000000001"/>
    <n v="13"/>
    <n v="65"/>
    <n v="78"/>
    <x v="1"/>
    <s v="Spring"/>
    <x v="0"/>
    <x v="1"/>
    <n v="2011"/>
    <d v="2011-02-13T00:00:00"/>
    <x v="0"/>
  </r>
  <r>
    <n v="825"/>
    <x v="36"/>
    <n v="1"/>
    <n v="0"/>
    <n v="2"/>
    <x v="19"/>
    <b v="0"/>
    <n v="0"/>
    <n v="1"/>
    <n v="0.28000000000000003"/>
    <n v="0.28789999999999999"/>
    <n v="0.61"/>
    <n v="0.1343"/>
    <n v="1"/>
    <n v="20"/>
    <n v="21"/>
    <x v="1"/>
    <s v="Spring"/>
    <x v="0"/>
    <x v="1"/>
    <n v="2011"/>
    <d v="2011-02-13T00:00:00"/>
    <x v="0"/>
  </r>
  <r>
    <n v="826"/>
    <x v="36"/>
    <n v="1"/>
    <n v="0"/>
    <n v="2"/>
    <x v="20"/>
    <b v="0"/>
    <n v="0"/>
    <n v="1"/>
    <n v="0.28000000000000003"/>
    <n v="0.28789999999999999"/>
    <n v="0.61"/>
    <n v="0.1045"/>
    <n v="5"/>
    <n v="21"/>
    <n v="26"/>
    <x v="1"/>
    <s v="Spring"/>
    <x v="0"/>
    <x v="1"/>
    <n v="2011"/>
    <d v="2011-02-13T00:00:00"/>
    <x v="0"/>
  </r>
  <r>
    <n v="827"/>
    <x v="36"/>
    <n v="1"/>
    <n v="0"/>
    <n v="2"/>
    <x v="21"/>
    <b v="0"/>
    <n v="0"/>
    <n v="1"/>
    <n v="0.26"/>
    <n v="0.30299999999999999"/>
    <n v="0.6"/>
    <n v="0"/>
    <n v="5"/>
    <n v="22"/>
    <n v="27"/>
    <x v="1"/>
    <s v="Spring"/>
    <x v="0"/>
    <x v="1"/>
    <n v="2011"/>
    <d v="2011-02-13T00:00:00"/>
    <x v="0"/>
  </r>
  <r>
    <n v="828"/>
    <x v="36"/>
    <n v="1"/>
    <n v="0"/>
    <n v="2"/>
    <x v="22"/>
    <b v="0"/>
    <n v="0"/>
    <n v="1"/>
    <n v="0.26"/>
    <n v="0.30299999999999999"/>
    <n v="0.6"/>
    <n v="0"/>
    <n v="5"/>
    <n v="57"/>
    <n v="62"/>
    <x v="1"/>
    <s v="Spring"/>
    <x v="0"/>
    <x v="1"/>
    <n v="2011"/>
    <d v="2011-02-13T00:00:00"/>
    <x v="0"/>
  </r>
  <r>
    <n v="829"/>
    <x v="36"/>
    <n v="1"/>
    <n v="0"/>
    <n v="2"/>
    <x v="23"/>
    <b v="0"/>
    <n v="0"/>
    <n v="1"/>
    <n v="0.24"/>
    <n v="0.28789999999999999"/>
    <n v="0.65"/>
    <n v="0"/>
    <n v="4"/>
    <n v="26"/>
    <n v="30"/>
    <x v="1"/>
    <s v="Spring"/>
    <x v="0"/>
    <x v="1"/>
    <n v="2011"/>
    <d v="2011-02-13T00:00:00"/>
    <x v="0"/>
  </r>
  <r>
    <n v="830"/>
    <x v="37"/>
    <n v="1"/>
    <n v="0"/>
    <n v="2"/>
    <x v="0"/>
    <b v="0"/>
    <n v="1"/>
    <n v="1"/>
    <n v="0.24"/>
    <n v="0.28789999999999999"/>
    <n v="0.65"/>
    <n v="0"/>
    <n v="1"/>
    <n v="14"/>
    <n v="15"/>
    <x v="1"/>
    <s v="Spring"/>
    <x v="0"/>
    <x v="2"/>
    <n v="2011"/>
    <d v="2011-02-13T00:00:00"/>
    <x v="1"/>
  </r>
  <r>
    <n v="831"/>
    <x v="37"/>
    <n v="1"/>
    <n v="0"/>
    <n v="2"/>
    <x v="1"/>
    <b v="0"/>
    <n v="1"/>
    <n v="1"/>
    <n v="0.22"/>
    <n v="0.2727"/>
    <n v="0.75"/>
    <n v="0"/>
    <n v="1"/>
    <n v="4"/>
    <n v="5"/>
    <x v="1"/>
    <s v="Spring"/>
    <x v="0"/>
    <x v="2"/>
    <n v="2011"/>
    <d v="2011-02-13T00:00:00"/>
    <x v="1"/>
  </r>
  <r>
    <n v="832"/>
    <x v="37"/>
    <n v="1"/>
    <n v="0"/>
    <n v="2"/>
    <x v="2"/>
    <b v="0"/>
    <n v="1"/>
    <n v="1"/>
    <n v="0.2"/>
    <n v="0.2576"/>
    <n v="0.8"/>
    <n v="0"/>
    <n v="0"/>
    <n v="3"/>
    <n v="3"/>
    <x v="1"/>
    <s v="Spring"/>
    <x v="0"/>
    <x v="2"/>
    <n v="2011"/>
    <d v="2011-02-13T00:00:00"/>
    <x v="1"/>
  </r>
  <r>
    <n v="833"/>
    <x v="37"/>
    <n v="1"/>
    <n v="0"/>
    <n v="2"/>
    <x v="3"/>
    <b v="0"/>
    <n v="1"/>
    <n v="1"/>
    <n v="0.2"/>
    <n v="0.2576"/>
    <n v="0.86"/>
    <n v="0"/>
    <n v="0"/>
    <n v="1"/>
    <n v="1"/>
    <x v="1"/>
    <s v="Spring"/>
    <x v="0"/>
    <x v="2"/>
    <n v="2011"/>
    <d v="2011-02-13T00:00:00"/>
    <x v="1"/>
  </r>
  <r>
    <n v="834"/>
    <x v="37"/>
    <n v="1"/>
    <n v="0"/>
    <n v="2"/>
    <x v="4"/>
    <b v="0"/>
    <n v="1"/>
    <n v="1"/>
    <n v="0.2"/>
    <n v="0.2576"/>
    <n v="0.86"/>
    <n v="0"/>
    <n v="1"/>
    <n v="1"/>
    <n v="2"/>
    <x v="1"/>
    <s v="Spring"/>
    <x v="0"/>
    <x v="2"/>
    <n v="2011"/>
    <d v="2011-02-13T00:00:00"/>
    <x v="1"/>
  </r>
  <r>
    <n v="835"/>
    <x v="37"/>
    <n v="1"/>
    <n v="0"/>
    <n v="2"/>
    <x v="5"/>
    <b v="0"/>
    <n v="1"/>
    <n v="1"/>
    <n v="0.2"/>
    <n v="0.2576"/>
    <n v="0.86"/>
    <n v="0"/>
    <n v="1"/>
    <n v="9"/>
    <n v="10"/>
    <x v="1"/>
    <s v="Spring"/>
    <x v="0"/>
    <x v="2"/>
    <n v="2011"/>
    <d v="2011-02-13T00:00:00"/>
    <x v="1"/>
  </r>
  <r>
    <n v="836"/>
    <x v="37"/>
    <n v="1"/>
    <n v="0"/>
    <n v="2"/>
    <x v="6"/>
    <b v="0"/>
    <n v="1"/>
    <n v="1"/>
    <n v="0.18"/>
    <n v="0.2424"/>
    <n v="0.93"/>
    <n v="0"/>
    <n v="1"/>
    <n v="29"/>
    <n v="30"/>
    <x v="1"/>
    <s v="Spring"/>
    <x v="0"/>
    <x v="2"/>
    <n v="2011"/>
    <d v="2011-02-13T00:00:00"/>
    <x v="1"/>
  </r>
  <r>
    <n v="837"/>
    <x v="37"/>
    <n v="1"/>
    <n v="0"/>
    <n v="2"/>
    <x v="7"/>
    <b v="0"/>
    <n v="1"/>
    <n v="1"/>
    <n v="0.18"/>
    <n v="0.2424"/>
    <n v="0.86"/>
    <n v="0"/>
    <n v="6"/>
    <n v="89"/>
    <n v="95"/>
    <x v="1"/>
    <s v="Spring"/>
    <x v="0"/>
    <x v="2"/>
    <n v="2011"/>
    <d v="2011-02-13T00:00:00"/>
    <x v="1"/>
  </r>
  <r>
    <n v="838"/>
    <x v="37"/>
    <n v="1"/>
    <n v="0"/>
    <n v="2"/>
    <x v="8"/>
    <b v="0"/>
    <n v="1"/>
    <n v="2"/>
    <n v="0.16"/>
    <n v="0.2273"/>
    <n v="1"/>
    <n v="0"/>
    <n v="7"/>
    <n v="223"/>
    <n v="230"/>
    <x v="1"/>
    <s v="Spring"/>
    <x v="1"/>
    <x v="2"/>
    <n v="2011"/>
    <d v="2011-02-13T00:00:00"/>
    <x v="1"/>
  </r>
  <r>
    <n v="839"/>
    <x v="37"/>
    <n v="1"/>
    <n v="0"/>
    <n v="2"/>
    <x v="9"/>
    <b v="0"/>
    <n v="1"/>
    <n v="1"/>
    <n v="0.22"/>
    <n v="0.2727"/>
    <n v="0.8"/>
    <n v="0"/>
    <n v="3"/>
    <n v="115"/>
    <n v="118"/>
    <x v="1"/>
    <s v="Spring"/>
    <x v="0"/>
    <x v="2"/>
    <n v="2011"/>
    <d v="2011-02-13T00:00:00"/>
    <x v="1"/>
  </r>
  <r>
    <n v="840"/>
    <x v="37"/>
    <n v="1"/>
    <n v="0"/>
    <n v="2"/>
    <x v="10"/>
    <b v="0"/>
    <n v="1"/>
    <n v="1"/>
    <n v="0.24"/>
    <n v="0.2576"/>
    <n v="0.75"/>
    <n v="0.1045"/>
    <n v="6"/>
    <n v="49"/>
    <n v="55"/>
    <x v="1"/>
    <s v="Spring"/>
    <x v="0"/>
    <x v="2"/>
    <n v="2011"/>
    <d v="2011-02-13T00:00:00"/>
    <x v="1"/>
  </r>
  <r>
    <n v="841"/>
    <x v="37"/>
    <n v="1"/>
    <n v="0"/>
    <n v="2"/>
    <x v="11"/>
    <b v="0"/>
    <n v="1"/>
    <n v="1"/>
    <n v="0.3"/>
    <n v="0.31819999999999998"/>
    <n v="0.65"/>
    <n v="8.9599999999999999E-2"/>
    <n v="11"/>
    <n v="36"/>
    <n v="47"/>
    <x v="1"/>
    <s v="Spring"/>
    <x v="0"/>
    <x v="2"/>
    <n v="2011"/>
    <d v="2011-02-13T00:00:00"/>
    <x v="1"/>
  </r>
  <r>
    <n v="842"/>
    <x v="37"/>
    <n v="1"/>
    <n v="0"/>
    <n v="2"/>
    <x v="12"/>
    <b v="0"/>
    <n v="1"/>
    <n v="2"/>
    <n v="0.32"/>
    <n v="0.34849999999999998"/>
    <n v="0.62"/>
    <n v="0"/>
    <n v="7"/>
    <n v="59"/>
    <n v="66"/>
    <x v="1"/>
    <s v="Spring"/>
    <x v="1"/>
    <x v="2"/>
    <n v="2011"/>
    <d v="2011-02-13T00:00:00"/>
    <x v="1"/>
  </r>
  <r>
    <n v="843"/>
    <x v="37"/>
    <n v="1"/>
    <n v="0"/>
    <n v="2"/>
    <x v="13"/>
    <b v="0"/>
    <n v="1"/>
    <n v="2"/>
    <n v="0.36"/>
    <n v="0.36359999999999998"/>
    <n v="0.56999999999999995"/>
    <n v="8.9599999999999999E-2"/>
    <n v="10"/>
    <n v="54"/>
    <n v="64"/>
    <x v="1"/>
    <s v="Spring"/>
    <x v="1"/>
    <x v="2"/>
    <n v="2011"/>
    <d v="2011-02-13T00:00:00"/>
    <x v="1"/>
  </r>
  <r>
    <n v="844"/>
    <x v="37"/>
    <n v="1"/>
    <n v="0"/>
    <n v="2"/>
    <x v="14"/>
    <b v="0"/>
    <n v="1"/>
    <n v="2"/>
    <n v="0.36"/>
    <n v="0.36359999999999998"/>
    <n v="0.56999999999999995"/>
    <n v="8.9599999999999999E-2"/>
    <n v="8"/>
    <n v="52"/>
    <n v="60"/>
    <x v="1"/>
    <s v="Spring"/>
    <x v="1"/>
    <x v="2"/>
    <n v="2011"/>
    <d v="2011-02-13T00:00:00"/>
    <x v="1"/>
  </r>
  <r>
    <n v="845"/>
    <x v="37"/>
    <n v="1"/>
    <n v="0"/>
    <n v="2"/>
    <x v="15"/>
    <b v="0"/>
    <n v="1"/>
    <n v="2"/>
    <n v="0.38"/>
    <n v="0.39389999999999997"/>
    <n v="0.54"/>
    <n v="8.9599999999999999E-2"/>
    <n v="4"/>
    <n v="46"/>
    <n v="50"/>
    <x v="1"/>
    <s v="Spring"/>
    <x v="1"/>
    <x v="2"/>
    <n v="2011"/>
    <d v="2011-02-13T00:00:00"/>
    <x v="1"/>
  </r>
  <r>
    <n v="846"/>
    <x v="37"/>
    <n v="1"/>
    <n v="0"/>
    <n v="2"/>
    <x v="16"/>
    <b v="0"/>
    <n v="1"/>
    <n v="2"/>
    <n v="0.36"/>
    <n v="0.34849999999999998"/>
    <n v="0.56999999999999995"/>
    <n v="0.1343"/>
    <n v="16"/>
    <n v="98"/>
    <n v="114"/>
    <x v="1"/>
    <s v="Spring"/>
    <x v="1"/>
    <x v="2"/>
    <n v="2011"/>
    <d v="2011-02-13T00:00:00"/>
    <x v="1"/>
  </r>
  <r>
    <n v="847"/>
    <x v="37"/>
    <n v="1"/>
    <n v="0"/>
    <n v="2"/>
    <x v="17"/>
    <b v="0"/>
    <n v="1"/>
    <n v="2"/>
    <n v="0.32"/>
    <n v="0.31819999999999998"/>
    <n v="0.7"/>
    <n v="0.16420000000000001"/>
    <n v="9"/>
    <n v="207"/>
    <n v="216"/>
    <x v="1"/>
    <s v="Spring"/>
    <x v="1"/>
    <x v="2"/>
    <n v="2011"/>
    <d v="2011-02-13T00:00:00"/>
    <x v="1"/>
  </r>
  <r>
    <n v="848"/>
    <x v="37"/>
    <n v="1"/>
    <n v="0"/>
    <n v="2"/>
    <x v="18"/>
    <b v="0"/>
    <n v="1"/>
    <n v="2"/>
    <n v="0.34"/>
    <n v="0.33329999999999999"/>
    <n v="0.66"/>
    <n v="0.1343"/>
    <n v="5"/>
    <n v="170"/>
    <n v="175"/>
    <x v="1"/>
    <s v="Spring"/>
    <x v="1"/>
    <x v="2"/>
    <n v="2011"/>
    <d v="2011-02-13T00:00:00"/>
    <x v="1"/>
  </r>
  <r>
    <n v="849"/>
    <x v="37"/>
    <n v="1"/>
    <n v="0"/>
    <n v="2"/>
    <x v="19"/>
    <b v="0"/>
    <n v="1"/>
    <n v="2"/>
    <n v="0.32"/>
    <n v="0.34849999999999998"/>
    <n v="0.7"/>
    <n v="0"/>
    <n v="5"/>
    <n v="123"/>
    <n v="128"/>
    <x v="1"/>
    <s v="Spring"/>
    <x v="1"/>
    <x v="2"/>
    <n v="2011"/>
    <d v="2011-02-13T00:00:00"/>
    <x v="1"/>
  </r>
  <r>
    <n v="850"/>
    <x v="37"/>
    <n v="1"/>
    <n v="0"/>
    <n v="2"/>
    <x v="20"/>
    <b v="0"/>
    <n v="1"/>
    <n v="2"/>
    <n v="0.32"/>
    <n v="0.33329999999999999"/>
    <n v="0.7"/>
    <n v="0.1045"/>
    <n v="6"/>
    <n v="82"/>
    <n v="88"/>
    <x v="1"/>
    <s v="Spring"/>
    <x v="1"/>
    <x v="2"/>
    <n v="2011"/>
    <d v="2011-02-13T00:00:00"/>
    <x v="1"/>
  </r>
  <r>
    <n v="851"/>
    <x v="37"/>
    <n v="1"/>
    <n v="0"/>
    <n v="2"/>
    <x v="21"/>
    <b v="0"/>
    <n v="1"/>
    <n v="1"/>
    <n v="0.32"/>
    <n v="0.34849999999999998"/>
    <n v="0.7"/>
    <n v="0"/>
    <n v="3"/>
    <n v="75"/>
    <n v="78"/>
    <x v="1"/>
    <s v="Spring"/>
    <x v="0"/>
    <x v="2"/>
    <n v="2011"/>
    <d v="2011-02-13T00:00:00"/>
    <x v="1"/>
  </r>
  <r>
    <n v="852"/>
    <x v="37"/>
    <n v="1"/>
    <n v="0"/>
    <n v="2"/>
    <x v="22"/>
    <b v="0"/>
    <n v="1"/>
    <n v="1"/>
    <n v="0.28000000000000003"/>
    <n v="0.30299999999999999"/>
    <n v="0.81"/>
    <n v="8.9599999999999999E-2"/>
    <n v="3"/>
    <n v="34"/>
    <n v="37"/>
    <x v="1"/>
    <s v="Spring"/>
    <x v="0"/>
    <x v="2"/>
    <n v="2011"/>
    <d v="2011-02-13T00:00:00"/>
    <x v="1"/>
  </r>
  <r>
    <n v="853"/>
    <x v="37"/>
    <n v="1"/>
    <n v="0"/>
    <n v="2"/>
    <x v="23"/>
    <b v="0"/>
    <n v="1"/>
    <n v="2"/>
    <n v="0.3"/>
    <n v="0.33329999999999999"/>
    <n v="0.81"/>
    <n v="0"/>
    <n v="6"/>
    <n v="19"/>
    <n v="25"/>
    <x v="1"/>
    <s v="Spring"/>
    <x v="1"/>
    <x v="2"/>
    <n v="2011"/>
    <d v="2011-02-13T00:00:00"/>
    <x v="1"/>
  </r>
  <r>
    <n v="854"/>
    <x v="38"/>
    <n v="1"/>
    <n v="0"/>
    <n v="2"/>
    <x v="0"/>
    <b v="0"/>
    <n v="2"/>
    <n v="2"/>
    <n v="0.28000000000000003"/>
    <n v="0.31819999999999998"/>
    <n v="0.87"/>
    <n v="0"/>
    <n v="4"/>
    <n v="6"/>
    <n v="10"/>
    <x v="1"/>
    <s v="Spring"/>
    <x v="1"/>
    <x v="3"/>
    <n v="2011"/>
    <d v="2011-02-13T00:00:00"/>
    <x v="1"/>
  </r>
  <r>
    <n v="855"/>
    <x v="38"/>
    <n v="1"/>
    <n v="0"/>
    <n v="2"/>
    <x v="1"/>
    <b v="0"/>
    <n v="2"/>
    <n v="2"/>
    <n v="0.28000000000000003"/>
    <n v="0.31819999999999998"/>
    <n v="0.87"/>
    <n v="0"/>
    <n v="0"/>
    <n v="4"/>
    <n v="4"/>
    <x v="1"/>
    <s v="Spring"/>
    <x v="1"/>
    <x v="3"/>
    <n v="2011"/>
    <d v="2011-02-13T00:00:00"/>
    <x v="1"/>
  </r>
  <r>
    <n v="856"/>
    <x v="38"/>
    <n v="1"/>
    <n v="0"/>
    <n v="2"/>
    <x v="2"/>
    <b v="0"/>
    <n v="2"/>
    <n v="2"/>
    <n v="0.26"/>
    <n v="0.2727"/>
    <n v="0.93"/>
    <n v="0.1045"/>
    <n v="1"/>
    <n v="1"/>
    <n v="2"/>
    <x v="1"/>
    <s v="Spring"/>
    <x v="1"/>
    <x v="3"/>
    <n v="2011"/>
    <d v="2011-02-13T00:00:00"/>
    <x v="1"/>
  </r>
  <r>
    <n v="857"/>
    <x v="38"/>
    <n v="1"/>
    <n v="0"/>
    <n v="2"/>
    <x v="3"/>
    <b v="0"/>
    <n v="2"/>
    <n v="3"/>
    <n v="0.28000000000000003"/>
    <n v="0.2727"/>
    <n v="0.93"/>
    <n v="0.16420000000000001"/>
    <n v="0"/>
    <n v="1"/>
    <n v="1"/>
    <x v="1"/>
    <s v="Spring"/>
    <x v="2"/>
    <x v="3"/>
    <n v="2011"/>
    <d v="2011-02-13T00:00:00"/>
    <x v="1"/>
  </r>
  <r>
    <n v="858"/>
    <x v="38"/>
    <n v="1"/>
    <n v="0"/>
    <n v="2"/>
    <x v="4"/>
    <b v="0"/>
    <n v="2"/>
    <n v="1"/>
    <n v="0.26"/>
    <n v="0.2576"/>
    <n v="0.93"/>
    <n v="0.16420000000000001"/>
    <n v="0"/>
    <n v="3"/>
    <n v="3"/>
    <x v="1"/>
    <s v="Spring"/>
    <x v="0"/>
    <x v="3"/>
    <n v="2011"/>
    <d v="2011-02-13T00:00:00"/>
    <x v="1"/>
  </r>
  <r>
    <n v="859"/>
    <x v="38"/>
    <n v="1"/>
    <n v="0"/>
    <n v="2"/>
    <x v="5"/>
    <b v="0"/>
    <n v="2"/>
    <n v="1"/>
    <n v="0.26"/>
    <n v="0.2273"/>
    <n v="0.81"/>
    <n v="0.32840000000000003"/>
    <n v="0"/>
    <n v="2"/>
    <n v="2"/>
    <x v="1"/>
    <s v="Spring"/>
    <x v="0"/>
    <x v="3"/>
    <n v="2011"/>
    <d v="2011-02-13T00:00:00"/>
    <x v="1"/>
  </r>
  <r>
    <n v="860"/>
    <x v="38"/>
    <n v="1"/>
    <n v="0"/>
    <n v="2"/>
    <x v="6"/>
    <b v="0"/>
    <n v="2"/>
    <n v="1"/>
    <n v="0.26"/>
    <n v="0.2273"/>
    <n v="0.7"/>
    <n v="0.32840000000000003"/>
    <n v="0"/>
    <n v="39"/>
    <n v="39"/>
    <x v="1"/>
    <s v="Spring"/>
    <x v="0"/>
    <x v="3"/>
    <n v="2011"/>
    <d v="2011-02-13T00:00:00"/>
    <x v="1"/>
  </r>
  <r>
    <n v="861"/>
    <x v="38"/>
    <n v="1"/>
    <n v="0"/>
    <n v="2"/>
    <x v="7"/>
    <b v="0"/>
    <n v="2"/>
    <n v="1"/>
    <n v="0.24"/>
    <n v="0.19700000000000001"/>
    <n v="0.65"/>
    <n v="0.41789999999999999"/>
    <n v="3"/>
    <n v="97"/>
    <n v="100"/>
    <x v="1"/>
    <s v="Spring"/>
    <x v="0"/>
    <x v="3"/>
    <n v="2011"/>
    <d v="2011-02-13T00:00:00"/>
    <x v="1"/>
  </r>
  <r>
    <n v="862"/>
    <x v="38"/>
    <n v="1"/>
    <n v="0"/>
    <n v="2"/>
    <x v="8"/>
    <b v="0"/>
    <n v="2"/>
    <n v="1"/>
    <n v="0.24"/>
    <n v="0.19700000000000001"/>
    <n v="0.56000000000000005"/>
    <n v="0.49249999999999999"/>
    <n v="7"/>
    <n v="236"/>
    <n v="243"/>
    <x v="1"/>
    <s v="Spring"/>
    <x v="0"/>
    <x v="3"/>
    <n v="2011"/>
    <d v="2011-02-13T00:00:00"/>
    <x v="1"/>
  </r>
  <r>
    <n v="863"/>
    <x v="38"/>
    <n v="1"/>
    <n v="0"/>
    <n v="2"/>
    <x v="9"/>
    <b v="0"/>
    <n v="2"/>
    <n v="1"/>
    <n v="0.24"/>
    <n v="0.19700000000000001"/>
    <n v="0.52"/>
    <n v="0.49249999999999999"/>
    <n v="7"/>
    <n v="128"/>
    <n v="135"/>
    <x v="1"/>
    <s v="Spring"/>
    <x v="0"/>
    <x v="3"/>
    <n v="2011"/>
    <d v="2011-02-13T00:00:00"/>
    <x v="1"/>
  </r>
  <r>
    <n v="864"/>
    <x v="38"/>
    <n v="1"/>
    <n v="0"/>
    <n v="2"/>
    <x v="10"/>
    <b v="0"/>
    <n v="2"/>
    <n v="1"/>
    <n v="0.22"/>
    <n v="0.18179999999999999"/>
    <n v="0.47"/>
    <n v="0.55220000000000002"/>
    <n v="4"/>
    <n v="44"/>
    <n v="48"/>
    <x v="1"/>
    <s v="Spring"/>
    <x v="0"/>
    <x v="3"/>
    <n v="2011"/>
    <d v="2011-02-13T00:00:00"/>
    <x v="1"/>
  </r>
  <r>
    <n v="865"/>
    <x v="38"/>
    <n v="1"/>
    <n v="0"/>
    <n v="2"/>
    <x v="11"/>
    <b v="0"/>
    <n v="2"/>
    <n v="1"/>
    <n v="0.22"/>
    <n v="0.18179999999999999"/>
    <n v="0.47"/>
    <n v="0.4627"/>
    <n v="1"/>
    <n v="49"/>
    <n v="50"/>
    <x v="1"/>
    <s v="Spring"/>
    <x v="0"/>
    <x v="3"/>
    <n v="2011"/>
    <d v="2011-02-13T00:00:00"/>
    <x v="1"/>
  </r>
  <r>
    <n v="866"/>
    <x v="38"/>
    <n v="1"/>
    <n v="0"/>
    <n v="2"/>
    <x v="12"/>
    <b v="0"/>
    <n v="2"/>
    <n v="1"/>
    <n v="0.24"/>
    <n v="0.19700000000000001"/>
    <n v="0.38"/>
    <n v="0.49249999999999999"/>
    <n v="2"/>
    <n v="63"/>
    <n v="65"/>
    <x v="1"/>
    <s v="Spring"/>
    <x v="0"/>
    <x v="3"/>
    <n v="2011"/>
    <d v="2011-02-13T00:00:00"/>
    <x v="1"/>
  </r>
  <r>
    <n v="867"/>
    <x v="38"/>
    <n v="1"/>
    <n v="0"/>
    <n v="2"/>
    <x v="13"/>
    <b v="0"/>
    <n v="2"/>
    <n v="2"/>
    <n v="0.24"/>
    <n v="0.19700000000000001"/>
    <n v="0.32"/>
    <n v="0.44779999999999998"/>
    <n v="2"/>
    <n v="48"/>
    <n v="50"/>
    <x v="1"/>
    <s v="Spring"/>
    <x v="1"/>
    <x v="3"/>
    <n v="2011"/>
    <d v="2011-02-13T00:00:00"/>
    <x v="1"/>
  </r>
  <r>
    <n v="868"/>
    <x v="38"/>
    <n v="1"/>
    <n v="0"/>
    <n v="2"/>
    <x v="14"/>
    <b v="0"/>
    <n v="2"/>
    <n v="1"/>
    <n v="0.22"/>
    <n v="0.19700000000000001"/>
    <n v="0.37"/>
    <n v="0.41789999999999999"/>
    <n v="3"/>
    <n v="61"/>
    <n v="64"/>
    <x v="1"/>
    <s v="Spring"/>
    <x v="0"/>
    <x v="3"/>
    <n v="2011"/>
    <d v="2011-02-13T00:00:00"/>
    <x v="1"/>
  </r>
  <r>
    <n v="869"/>
    <x v="38"/>
    <n v="1"/>
    <n v="0"/>
    <n v="2"/>
    <x v="15"/>
    <b v="0"/>
    <n v="2"/>
    <n v="1"/>
    <n v="0.22"/>
    <n v="0.19700000000000001"/>
    <n v="0.35"/>
    <n v="0.3881"/>
    <n v="6"/>
    <n v="45"/>
    <n v="51"/>
    <x v="1"/>
    <s v="Spring"/>
    <x v="0"/>
    <x v="3"/>
    <n v="2011"/>
    <d v="2011-02-13T00:00:00"/>
    <x v="1"/>
  </r>
  <r>
    <n v="870"/>
    <x v="38"/>
    <n v="1"/>
    <n v="0"/>
    <n v="2"/>
    <x v="16"/>
    <b v="0"/>
    <n v="2"/>
    <n v="1"/>
    <n v="0.22"/>
    <n v="0.18179999999999999"/>
    <n v="0.35"/>
    <n v="0.52239999999999998"/>
    <n v="4"/>
    <n v="79"/>
    <n v="83"/>
    <x v="1"/>
    <s v="Spring"/>
    <x v="0"/>
    <x v="3"/>
    <n v="2011"/>
    <d v="2011-02-13T00:00:00"/>
    <x v="1"/>
  </r>
  <r>
    <n v="871"/>
    <x v="38"/>
    <n v="1"/>
    <n v="0"/>
    <n v="2"/>
    <x v="17"/>
    <b v="0"/>
    <n v="2"/>
    <n v="1"/>
    <n v="0.22"/>
    <n v="0.18179999999999999"/>
    <n v="0.32"/>
    <n v="0.58209999999999995"/>
    <n v="4"/>
    <n v="172"/>
    <n v="176"/>
    <x v="1"/>
    <s v="Spring"/>
    <x v="0"/>
    <x v="3"/>
    <n v="2011"/>
    <d v="2011-02-13T00:00:00"/>
    <x v="1"/>
  </r>
  <r>
    <n v="872"/>
    <x v="38"/>
    <n v="1"/>
    <n v="0"/>
    <n v="2"/>
    <x v="18"/>
    <b v="0"/>
    <n v="2"/>
    <n v="1"/>
    <n v="0.2"/>
    <n v="0.18179999999999999"/>
    <n v="0.32"/>
    <n v="0.3881"/>
    <n v="1"/>
    <n v="151"/>
    <n v="152"/>
    <x v="1"/>
    <s v="Spring"/>
    <x v="0"/>
    <x v="3"/>
    <n v="2011"/>
    <d v="2011-02-13T00:00:00"/>
    <x v="1"/>
  </r>
  <r>
    <n v="873"/>
    <x v="38"/>
    <n v="1"/>
    <n v="0"/>
    <n v="2"/>
    <x v="19"/>
    <b v="0"/>
    <n v="2"/>
    <n v="1"/>
    <n v="0.16"/>
    <n v="0.1212"/>
    <n v="0.4"/>
    <n v="0.4627"/>
    <n v="1"/>
    <n v="100"/>
    <n v="101"/>
    <x v="1"/>
    <s v="Spring"/>
    <x v="0"/>
    <x v="3"/>
    <n v="2011"/>
    <d v="2011-02-13T00:00:00"/>
    <x v="1"/>
  </r>
  <r>
    <n v="874"/>
    <x v="38"/>
    <n v="1"/>
    <n v="0"/>
    <n v="2"/>
    <x v="20"/>
    <b v="0"/>
    <n v="2"/>
    <n v="1"/>
    <n v="0.16"/>
    <n v="0.13639999999999999"/>
    <n v="0.4"/>
    <n v="0.32840000000000003"/>
    <n v="3"/>
    <n v="53"/>
    <n v="56"/>
    <x v="1"/>
    <s v="Spring"/>
    <x v="0"/>
    <x v="3"/>
    <n v="2011"/>
    <d v="2011-02-13T00:00:00"/>
    <x v="1"/>
  </r>
  <r>
    <n v="875"/>
    <x v="38"/>
    <n v="1"/>
    <n v="0"/>
    <n v="2"/>
    <x v="21"/>
    <b v="0"/>
    <n v="2"/>
    <n v="1"/>
    <n v="0.14000000000000001"/>
    <n v="0.1061"/>
    <n v="0.33"/>
    <n v="0.4627"/>
    <n v="8"/>
    <n v="46"/>
    <n v="54"/>
    <x v="1"/>
    <s v="Spring"/>
    <x v="0"/>
    <x v="3"/>
    <n v="2011"/>
    <d v="2011-02-13T00:00:00"/>
    <x v="1"/>
  </r>
  <r>
    <n v="876"/>
    <x v="38"/>
    <n v="1"/>
    <n v="0"/>
    <n v="2"/>
    <x v="22"/>
    <b v="0"/>
    <n v="2"/>
    <n v="1"/>
    <n v="0.12"/>
    <n v="0.1061"/>
    <n v="0.33"/>
    <n v="0.35820000000000002"/>
    <n v="0"/>
    <n v="29"/>
    <n v="29"/>
    <x v="1"/>
    <s v="Spring"/>
    <x v="0"/>
    <x v="3"/>
    <n v="2011"/>
    <d v="2011-02-13T00:00:00"/>
    <x v="1"/>
  </r>
  <r>
    <n v="877"/>
    <x v="38"/>
    <n v="1"/>
    <n v="0"/>
    <n v="2"/>
    <x v="23"/>
    <b v="0"/>
    <n v="2"/>
    <n v="1"/>
    <n v="0.12"/>
    <n v="0.1061"/>
    <n v="0.33"/>
    <n v="0.32840000000000003"/>
    <n v="3"/>
    <n v="9"/>
    <n v="12"/>
    <x v="1"/>
    <s v="Spring"/>
    <x v="0"/>
    <x v="3"/>
    <n v="2011"/>
    <d v="2011-02-13T00:00:00"/>
    <x v="1"/>
  </r>
  <r>
    <n v="878"/>
    <x v="39"/>
    <n v="1"/>
    <n v="0"/>
    <n v="2"/>
    <x v="0"/>
    <b v="0"/>
    <n v="3"/>
    <n v="1"/>
    <n v="0.1"/>
    <n v="7.5800000000000006E-2"/>
    <n v="0.36"/>
    <n v="0.35820000000000002"/>
    <n v="0"/>
    <n v="17"/>
    <n v="17"/>
    <x v="1"/>
    <s v="Spring"/>
    <x v="0"/>
    <x v="4"/>
    <n v="2011"/>
    <d v="2011-02-13T00:00:00"/>
    <x v="1"/>
  </r>
  <r>
    <n v="879"/>
    <x v="39"/>
    <n v="1"/>
    <n v="0"/>
    <n v="2"/>
    <x v="1"/>
    <b v="0"/>
    <n v="3"/>
    <n v="1"/>
    <n v="0.1"/>
    <n v="0.1061"/>
    <n v="0.36"/>
    <n v="0.22389999999999999"/>
    <n v="0"/>
    <n v="7"/>
    <n v="7"/>
    <x v="1"/>
    <s v="Spring"/>
    <x v="0"/>
    <x v="4"/>
    <n v="2011"/>
    <d v="2011-02-13T00:00:00"/>
    <x v="1"/>
  </r>
  <r>
    <n v="880"/>
    <x v="39"/>
    <n v="1"/>
    <n v="0"/>
    <n v="2"/>
    <x v="2"/>
    <b v="0"/>
    <n v="3"/>
    <n v="1"/>
    <n v="0.08"/>
    <n v="7.5800000000000006E-2"/>
    <n v="0.38"/>
    <n v="0.28360000000000002"/>
    <n v="1"/>
    <n v="2"/>
    <n v="3"/>
    <x v="1"/>
    <s v="Spring"/>
    <x v="0"/>
    <x v="4"/>
    <n v="2011"/>
    <d v="2011-02-13T00:00:00"/>
    <x v="1"/>
  </r>
  <r>
    <n v="881"/>
    <x v="39"/>
    <n v="1"/>
    <n v="0"/>
    <n v="2"/>
    <x v="3"/>
    <b v="0"/>
    <n v="3"/>
    <n v="1"/>
    <n v="0.06"/>
    <n v="7.5800000000000006E-2"/>
    <n v="0.45"/>
    <n v="0.1343"/>
    <n v="0"/>
    <n v="2"/>
    <n v="2"/>
    <x v="1"/>
    <s v="Spring"/>
    <x v="0"/>
    <x v="4"/>
    <n v="2011"/>
    <d v="2011-02-13T00:00:00"/>
    <x v="1"/>
  </r>
  <r>
    <n v="882"/>
    <x v="39"/>
    <n v="1"/>
    <n v="0"/>
    <n v="2"/>
    <x v="5"/>
    <b v="0"/>
    <n v="3"/>
    <n v="1"/>
    <n v="0.06"/>
    <n v="0.1061"/>
    <n v="0.45"/>
    <n v="0.1045"/>
    <n v="0"/>
    <n v="7"/>
    <n v="7"/>
    <x v="1"/>
    <s v="Spring"/>
    <x v="0"/>
    <x v="4"/>
    <n v="2011"/>
    <d v="2011-02-13T00:00:00"/>
    <x v="1"/>
  </r>
  <r>
    <n v="883"/>
    <x v="39"/>
    <n v="1"/>
    <n v="0"/>
    <n v="2"/>
    <x v="6"/>
    <b v="0"/>
    <n v="3"/>
    <n v="1"/>
    <n v="0.06"/>
    <n v="0.1515"/>
    <n v="0.45"/>
    <n v="0"/>
    <n v="0"/>
    <n v="43"/>
    <n v="43"/>
    <x v="1"/>
    <s v="Spring"/>
    <x v="0"/>
    <x v="4"/>
    <n v="2011"/>
    <d v="2011-02-13T00:00:00"/>
    <x v="1"/>
  </r>
  <r>
    <n v="884"/>
    <x v="39"/>
    <n v="1"/>
    <n v="0"/>
    <n v="2"/>
    <x v="7"/>
    <b v="0"/>
    <n v="3"/>
    <n v="1"/>
    <n v="0.06"/>
    <n v="0.1061"/>
    <n v="0.49"/>
    <n v="0.1045"/>
    <n v="4"/>
    <n v="95"/>
    <n v="99"/>
    <x v="1"/>
    <s v="Spring"/>
    <x v="0"/>
    <x v="4"/>
    <n v="2011"/>
    <d v="2011-02-13T00:00:00"/>
    <x v="1"/>
  </r>
  <r>
    <n v="885"/>
    <x v="39"/>
    <n v="1"/>
    <n v="0"/>
    <n v="2"/>
    <x v="8"/>
    <b v="0"/>
    <n v="3"/>
    <n v="1"/>
    <n v="0.1"/>
    <n v="0.13639999999999999"/>
    <n v="0.42"/>
    <n v="0"/>
    <n v="1"/>
    <n v="198"/>
    <n v="199"/>
    <x v="1"/>
    <s v="Spring"/>
    <x v="0"/>
    <x v="4"/>
    <n v="2011"/>
    <d v="2011-02-13T00:00:00"/>
    <x v="1"/>
  </r>
  <r>
    <n v="886"/>
    <x v="39"/>
    <n v="1"/>
    <n v="0"/>
    <n v="2"/>
    <x v="9"/>
    <b v="0"/>
    <n v="3"/>
    <n v="1"/>
    <n v="0.12"/>
    <n v="0.13639999999999999"/>
    <n v="0.39"/>
    <n v="0.16420000000000001"/>
    <n v="4"/>
    <n v="119"/>
    <n v="123"/>
    <x v="1"/>
    <s v="Spring"/>
    <x v="0"/>
    <x v="4"/>
    <n v="2011"/>
    <d v="2011-02-13T00:00:00"/>
    <x v="1"/>
  </r>
  <r>
    <n v="887"/>
    <x v="39"/>
    <n v="1"/>
    <n v="0"/>
    <n v="2"/>
    <x v="10"/>
    <b v="0"/>
    <n v="3"/>
    <n v="1"/>
    <n v="0.14000000000000001"/>
    <n v="0.18179999999999999"/>
    <n v="0.36"/>
    <n v="0"/>
    <n v="8"/>
    <n v="51"/>
    <n v="59"/>
    <x v="1"/>
    <s v="Spring"/>
    <x v="0"/>
    <x v="4"/>
    <n v="2011"/>
    <d v="2011-02-13T00:00:00"/>
    <x v="1"/>
  </r>
  <r>
    <n v="888"/>
    <x v="39"/>
    <n v="1"/>
    <n v="0"/>
    <n v="2"/>
    <x v="11"/>
    <b v="0"/>
    <n v="3"/>
    <n v="2"/>
    <n v="0.14000000000000001"/>
    <n v="0.1515"/>
    <n v="0.43"/>
    <n v="0.16420000000000001"/>
    <n v="1"/>
    <n v="40"/>
    <n v="41"/>
    <x v="1"/>
    <s v="Spring"/>
    <x v="1"/>
    <x v="4"/>
    <n v="2011"/>
    <d v="2011-02-13T00:00:00"/>
    <x v="1"/>
  </r>
  <r>
    <n v="889"/>
    <x v="39"/>
    <n v="1"/>
    <n v="0"/>
    <n v="2"/>
    <x v="12"/>
    <b v="0"/>
    <n v="3"/>
    <n v="2"/>
    <n v="0.18"/>
    <n v="0.18179999999999999"/>
    <n v="0.4"/>
    <n v="0.22389999999999999"/>
    <n v="4"/>
    <n v="57"/>
    <n v="61"/>
    <x v="1"/>
    <s v="Spring"/>
    <x v="1"/>
    <x v="4"/>
    <n v="2011"/>
    <d v="2011-02-13T00:00:00"/>
    <x v="1"/>
  </r>
  <r>
    <n v="890"/>
    <x v="39"/>
    <n v="1"/>
    <n v="0"/>
    <n v="2"/>
    <x v="13"/>
    <b v="0"/>
    <n v="3"/>
    <n v="1"/>
    <n v="0.18"/>
    <n v="0.16669999999999999"/>
    <n v="0.4"/>
    <n v="0.25369999999999998"/>
    <n v="2"/>
    <n v="67"/>
    <n v="69"/>
    <x v="1"/>
    <s v="Spring"/>
    <x v="0"/>
    <x v="4"/>
    <n v="2011"/>
    <d v="2011-02-13T00:00:00"/>
    <x v="1"/>
  </r>
  <r>
    <n v="891"/>
    <x v="39"/>
    <n v="1"/>
    <n v="0"/>
    <n v="2"/>
    <x v="14"/>
    <b v="0"/>
    <n v="3"/>
    <n v="1"/>
    <n v="0.2"/>
    <n v="0.18179999999999999"/>
    <n v="0.34"/>
    <n v="0.29849999999999999"/>
    <n v="2"/>
    <n v="56"/>
    <n v="58"/>
    <x v="1"/>
    <s v="Spring"/>
    <x v="0"/>
    <x v="4"/>
    <n v="2011"/>
    <d v="2011-02-13T00:00:00"/>
    <x v="1"/>
  </r>
  <r>
    <n v="892"/>
    <x v="39"/>
    <n v="1"/>
    <n v="0"/>
    <n v="2"/>
    <x v="15"/>
    <b v="0"/>
    <n v="3"/>
    <n v="2"/>
    <n v="0.2"/>
    <n v="0.18179999999999999"/>
    <n v="0.34"/>
    <n v="0.28360000000000002"/>
    <n v="3"/>
    <n v="61"/>
    <n v="64"/>
    <x v="1"/>
    <s v="Spring"/>
    <x v="1"/>
    <x v="4"/>
    <n v="2011"/>
    <d v="2011-02-13T00:00:00"/>
    <x v="1"/>
  </r>
  <r>
    <n v="893"/>
    <x v="39"/>
    <n v="1"/>
    <n v="0"/>
    <n v="2"/>
    <x v="16"/>
    <b v="0"/>
    <n v="3"/>
    <n v="2"/>
    <n v="0.2"/>
    <n v="0.19700000000000001"/>
    <n v="0.37"/>
    <n v="0.25369999999999998"/>
    <n v="7"/>
    <n v="72"/>
    <n v="79"/>
    <x v="1"/>
    <s v="Spring"/>
    <x v="1"/>
    <x v="4"/>
    <n v="2011"/>
    <d v="2011-02-13T00:00:00"/>
    <x v="1"/>
  </r>
  <r>
    <n v="894"/>
    <x v="39"/>
    <n v="1"/>
    <n v="0"/>
    <n v="2"/>
    <x v="17"/>
    <b v="0"/>
    <n v="3"/>
    <n v="2"/>
    <n v="0.2"/>
    <n v="0.19700000000000001"/>
    <n v="0.34"/>
    <n v="0.25369999999999998"/>
    <n v="9"/>
    <n v="157"/>
    <n v="166"/>
    <x v="1"/>
    <s v="Spring"/>
    <x v="1"/>
    <x v="4"/>
    <n v="2011"/>
    <d v="2011-02-13T00:00:00"/>
    <x v="1"/>
  </r>
  <r>
    <n v="895"/>
    <x v="39"/>
    <n v="1"/>
    <n v="0"/>
    <n v="2"/>
    <x v="18"/>
    <b v="0"/>
    <n v="3"/>
    <n v="2"/>
    <n v="0.18"/>
    <n v="0.16669999999999999"/>
    <n v="0.47"/>
    <n v="0.29849999999999999"/>
    <n v="2"/>
    <n v="168"/>
    <n v="170"/>
    <x v="1"/>
    <s v="Spring"/>
    <x v="1"/>
    <x v="4"/>
    <n v="2011"/>
    <d v="2011-02-13T00:00:00"/>
    <x v="1"/>
  </r>
  <r>
    <n v="896"/>
    <x v="39"/>
    <n v="1"/>
    <n v="0"/>
    <n v="2"/>
    <x v="19"/>
    <b v="0"/>
    <n v="3"/>
    <n v="3"/>
    <n v="0.14000000000000001"/>
    <n v="0.1212"/>
    <n v="0.86"/>
    <n v="0.25369999999999998"/>
    <n v="1"/>
    <n v="87"/>
    <n v="88"/>
    <x v="1"/>
    <s v="Spring"/>
    <x v="2"/>
    <x v="4"/>
    <n v="2011"/>
    <d v="2011-02-13T00:00:00"/>
    <x v="1"/>
  </r>
  <r>
    <n v="897"/>
    <x v="39"/>
    <n v="1"/>
    <n v="0"/>
    <n v="2"/>
    <x v="20"/>
    <b v="0"/>
    <n v="3"/>
    <n v="3"/>
    <n v="0.14000000000000001"/>
    <n v="0.1515"/>
    <n v="0.86"/>
    <n v="0.16420000000000001"/>
    <n v="0"/>
    <n v="84"/>
    <n v="84"/>
    <x v="1"/>
    <s v="Spring"/>
    <x v="2"/>
    <x v="4"/>
    <n v="2011"/>
    <d v="2011-02-13T00:00:00"/>
    <x v="1"/>
  </r>
  <r>
    <n v="898"/>
    <x v="39"/>
    <n v="1"/>
    <n v="0"/>
    <n v="2"/>
    <x v="21"/>
    <b v="0"/>
    <n v="3"/>
    <n v="2"/>
    <n v="0.14000000000000001"/>
    <n v="0.1515"/>
    <n v="0.86"/>
    <n v="0.16420000000000001"/>
    <n v="0"/>
    <n v="83"/>
    <n v="83"/>
    <x v="1"/>
    <s v="Spring"/>
    <x v="1"/>
    <x v="4"/>
    <n v="2011"/>
    <d v="2011-02-13T00:00:00"/>
    <x v="1"/>
  </r>
  <r>
    <n v="899"/>
    <x v="39"/>
    <n v="1"/>
    <n v="0"/>
    <n v="2"/>
    <x v="22"/>
    <b v="0"/>
    <n v="3"/>
    <n v="3"/>
    <n v="0.16"/>
    <n v="0.16669999999999999"/>
    <n v="0.8"/>
    <n v="0.16420000000000001"/>
    <n v="4"/>
    <n v="42"/>
    <n v="46"/>
    <x v="1"/>
    <s v="Spring"/>
    <x v="2"/>
    <x v="4"/>
    <n v="2011"/>
    <d v="2011-02-13T00:00:00"/>
    <x v="1"/>
  </r>
  <r>
    <n v="900"/>
    <x v="39"/>
    <n v="1"/>
    <n v="0"/>
    <n v="2"/>
    <x v="23"/>
    <b v="0"/>
    <n v="3"/>
    <n v="3"/>
    <n v="0.16"/>
    <n v="0.1515"/>
    <n v="0.8"/>
    <n v="0.19400000000000001"/>
    <n v="0"/>
    <n v="37"/>
    <n v="37"/>
    <x v="1"/>
    <s v="Spring"/>
    <x v="2"/>
    <x v="4"/>
    <n v="2011"/>
    <d v="2011-02-13T00:00:00"/>
    <x v="1"/>
  </r>
  <r>
    <n v="901"/>
    <x v="40"/>
    <n v="1"/>
    <n v="0"/>
    <n v="2"/>
    <x v="0"/>
    <b v="0"/>
    <n v="4"/>
    <n v="3"/>
    <n v="0.14000000000000001"/>
    <n v="0.13639999999999999"/>
    <n v="0.86"/>
    <n v="0.19400000000000001"/>
    <n v="0"/>
    <n v="16"/>
    <n v="16"/>
    <x v="1"/>
    <s v="Spring"/>
    <x v="2"/>
    <x v="5"/>
    <n v="2011"/>
    <d v="2011-02-13T00:00:00"/>
    <x v="1"/>
  </r>
  <r>
    <n v="902"/>
    <x v="40"/>
    <n v="1"/>
    <n v="0"/>
    <n v="2"/>
    <x v="1"/>
    <b v="0"/>
    <n v="4"/>
    <n v="3"/>
    <n v="0.14000000000000001"/>
    <n v="0.1515"/>
    <n v="0.8"/>
    <n v="0.1343"/>
    <n v="0"/>
    <n v="7"/>
    <n v="7"/>
    <x v="1"/>
    <s v="Spring"/>
    <x v="2"/>
    <x v="5"/>
    <n v="2011"/>
    <d v="2011-02-13T00:00:00"/>
    <x v="1"/>
  </r>
  <r>
    <n v="903"/>
    <x v="40"/>
    <n v="1"/>
    <n v="0"/>
    <n v="2"/>
    <x v="2"/>
    <b v="0"/>
    <n v="4"/>
    <n v="3"/>
    <n v="0.14000000000000001"/>
    <n v="0.1515"/>
    <n v="0.8"/>
    <n v="0.1343"/>
    <n v="0"/>
    <n v="3"/>
    <n v="3"/>
    <x v="1"/>
    <s v="Spring"/>
    <x v="2"/>
    <x v="5"/>
    <n v="2011"/>
    <d v="2011-02-13T00:00:00"/>
    <x v="1"/>
  </r>
  <r>
    <n v="904"/>
    <x v="40"/>
    <n v="1"/>
    <n v="0"/>
    <n v="2"/>
    <x v="4"/>
    <b v="0"/>
    <n v="4"/>
    <n v="2"/>
    <n v="0.14000000000000001"/>
    <n v="0.13639999999999999"/>
    <n v="0.59"/>
    <n v="0.22389999999999999"/>
    <n v="0"/>
    <n v="1"/>
    <n v="1"/>
    <x v="1"/>
    <s v="Spring"/>
    <x v="1"/>
    <x v="5"/>
    <n v="2011"/>
    <d v="2011-02-13T00:00:00"/>
    <x v="1"/>
  </r>
  <r>
    <n v="905"/>
    <x v="40"/>
    <n v="1"/>
    <n v="0"/>
    <n v="2"/>
    <x v="5"/>
    <b v="0"/>
    <n v="4"/>
    <n v="2"/>
    <n v="0.12"/>
    <n v="0.1212"/>
    <n v="0.5"/>
    <n v="0.22389999999999999"/>
    <n v="0"/>
    <n v="6"/>
    <n v="6"/>
    <x v="1"/>
    <s v="Spring"/>
    <x v="1"/>
    <x v="5"/>
    <n v="2011"/>
    <d v="2011-02-13T00:00:00"/>
    <x v="1"/>
  </r>
  <r>
    <n v="906"/>
    <x v="40"/>
    <n v="1"/>
    <n v="0"/>
    <n v="2"/>
    <x v="6"/>
    <b v="0"/>
    <n v="4"/>
    <n v="2"/>
    <n v="0.12"/>
    <n v="0.1212"/>
    <n v="0.54"/>
    <n v="0.28360000000000002"/>
    <n v="0"/>
    <n v="26"/>
    <n v="26"/>
    <x v="1"/>
    <s v="Spring"/>
    <x v="1"/>
    <x v="5"/>
    <n v="2011"/>
    <d v="2011-02-13T00:00:00"/>
    <x v="1"/>
  </r>
  <r>
    <n v="907"/>
    <x v="40"/>
    <n v="1"/>
    <n v="0"/>
    <n v="2"/>
    <x v="7"/>
    <b v="0"/>
    <n v="4"/>
    <n v="1"/>
    <n v="0.1"/>
    <n v="7.5800000000000006E-2"/>
    <n v="0.5"/>
    <n v="0.41789999999999999"/>
    <n v="0"/>
    <n v="99"/>
    <n v="99"/>
    <x v="1"/>
    <s v="Spring"/>
    <x v="0"/>
    <x v="5"/>
    <n v="2011"/>
    <d v="2011-02-13T00:00:00"/>
    <x v="1"/>
  </r>
  <r>
    <n v="908"/>
    <x v="40"/>
    <n v="1"/>
    <n v="0"/>
    <n v="2"/>
    <x v="8"/>
    <b v="0"/>
    <n v="4"/>
    <n v="1"/>
    <n v="0.1"/>
    <n v="7.5800000000000006E-2"/>
    <n v="0.49"/>
    <n v="0.32840000000000003"/>
    <n v="5"/>
    <n v="173"/>
    <n v="178"/>
    <x v="1"/>
    <s v="Spring"/>
    <x v="0"/>
    <x v="5"/>
    <n v="2011"/>
    <d v="2011-02-13T00:00:00"/>
    <x v="1"/>
  </r>
  <r>
    <n v="909"/>
    <x v="40"/>
    <n v="1"/>
    <n v="0"/>
    <n v="2"/>
    <x v="9"/>
    <b v="0"/>
    <n v="4"/>
    <n v="1"/>
    <n v="0.12"/>
    <n v="0.1061"/>
    <n v="0.42"/>
    <n v="0.35820000000000002"/>
    <n v="1"/>
    <n v="121"/>
    <n v="122"/>
    <x v="1"/>
    <s v="Spring"/>
    <x v="0"/>
    <x v="5"/>
    <n v="2011"/>
    <d v="2011-02-13T00:00:00"/>
    <x v="1"/>
  </r>
  <r>
    <n v="910"/>
    <x v="40"/>
    <n v="1"/>
    <n v="0"/>
    <n v="2"/>
    <x v="10"/>
    <b v="0"/>
    <n v="4"/>
    <n v="1"/>
    <n v="0.12"/>
    <n v="0.1061"/>
    <n v="0.42"/>
    <n v="0.29849999999999999"/>
    <n v="1"/>
    <n v="34"/>
    <n v="35"/>
    <x v="1"/>
    <s v="Spring"/>
    <x v="0"/>
    <x v="5"/>
    <n v="2011"/>
    <d v="2011-02-13T00:00:00"/>
    <x v="1"/>
  </r>
  <r>
    <n v="911"/>
    <x v="40"/>
    <n v="1"/>
    <n v="0"/>
    <n v="2"/>
    <x v="11"/>
    <b v="0"/>
    <n v="4"/>
    <n v="1"/>
    <n v="0.14000000000000001"/>
    <n v="0.1212"/>
    <n v="0.39"/>
    <n v="0.35820000000000002"/>
    <n v="1"/>
    <n v="44"/>
    <n v="45"/>
    <x v="1"/>
    <s v="Spring"/>
    <x v="0"/>
    <x v="5"/>
    <n v="2011"/>
    <d v="2011-02-13T00:00:00"/>
    <x v="1"/>
  </r>
  <r>
    <n v="912"/>
    <x v="40"/>
    <n v="1"/>
    <n v="0"/>
    <n v="2"/>
    <x v="12"/>
    <b v="0"/>
    <n v="4"/>
    <n v="1"/>
    <n v="0.16"/>
    <n v="0.13639999999999999"/>
    <n v="0.34"/>
    <n v="0.3881"/>
    <n v="4"/>
    <n v="65"/>
    <n v="69"/>
    <x v="1"/>
    <s v="Spring"/>
    <x v="0"/>
    <x v="5"/>
    <n v="2011"/>
    <d v="2011-02-13T00:00:00"/>
    <x v="1"/>
  </r>
  <r>
    <n v="913"/>
    <x v="40"/>
    <n v="1"/>
    <n v="0"/>
    <n v="2"/>
    <x v="13"/>
    <b v="0"/>
    <n v="4"/>
    <n v="1"/>
    <n v="0.18"/>
    <n v="0.16669999999999999"/>
    <n v="0.28999999999999998"/>
    <n v="0.29849999999999999"/>
    <n v="3"/>
    <n v="59"/>
    <n v="62"/>
    <x v="1"/>
    <s v="Spring"/>
    <x v="0"/>
    <x v="5"/>
    <n v="2011"/>
    <d v="2011-02-13T00:00:00"/>
    <x v="1"/>
  </r>
  <r>
    <n v="914"/>
    <x v="40"/>
    <n v="1"/>
    <n v="0"/>
    <n v="2"/>
    <x v="14"/>
    <b v="0"/>
    <n v="4"/>
    <n v="1"/>
    <n v="0.2"/>
    <n v="0.18179999999999999"/>
    <n v="0.27"/>
    <n v="0.28360000000000002"/>
    <n v="6"/>
    <n v="42"/>
    <n v="48"/>
    <x v="1"/>
    <s v="Spring"/>
    <x v="0"/>
    <x v="5"/>
    <n v="2011"/>
    <d v="2011-02-13T00:00:00"/>
    <x v="1"/>
  </r>
  <r>
    <n v="915"/>
    <x v="40"/>
    <n v="1"/>
    <n v="0"/>
    <n v="2"/>
    <x v="15"/>
    <b v="0"/>
    <n v="4"/>
    <n v="1"/>
    <n v="0.2"/>
    <n v="0.19700000000000001"/>
    <n v="0.25"/>
    <n v="0.25369999999999998"/>
    <n v="0"/>
    <n v="50"/>
    <n v="50"/>
    <x v="1"/>
    <s v="Spring"/>
    <x v="0"/>
    <x v="5"/>
    <n v="2011"/>
    <d v="2011-02-13T00:00:00"/>
    <x v="1"/>
  </r>
  <r>
    <n v="916"/>
    <x v="40"/>
    <n v="1"/>
    <n v="0"/>
    <n v="2"/>
    <x v="16"/>
    <b v="0"/>
    <n v="4"/>
    <n v="1"/>
    <n v="0.2"/>
    <n v="0.18179999999999999"/>
    <n v="0.27"/>
    <n v="0.29849999999999999"/>
    <n v="4"/>
    <n v="76"/>
    <n v="80"/>
    <x v="1"/>
    <s v="Spring"/>
    <x v="0"/>
    <x v="5"/>
    <n v="2011"/>
    <d v="2011-02-13T00:00:00"/>
    <x v="1"/>
  </r>
  <r>
    <n v="917"/>
    <x v="40"/>
    <n v="1"/>
    <n v="0"/>
    <n v="2"/>
    <x v="17"/>
    <b v="0"/>
    <n v="4"/>
    <n v="1"/>
    <n v="0.18"/>
    <n v="0.18179999999999999"/>
    <n v="0.26"/>
    <n v="0.19400000000000001"/>
    <n v="6"/>
    <n v="159"/>
    <n v="165"/>
    <x v="1"/>
    <s v="Spring"/>
    <x v="0"/>
    <x v="5"/>
    <n v="2011"/>
    <d v="2011-02-13T00:00:00"/>
    <x v="1"/>
  </r>
  <r>
    <n v="918"/>
    <x v="40"/>
    <n v="1"/>
    <n v="0"/>
    <n v="2"/>
    <x v="18"/>
    <b v="0"/>
    <n v="4"/>
    <n v="1"/>
    <n v="0.16"/>
    <n v="0.18179999999999999"/>
    <n v="0.28000000000000003"/>
    <n v="0.1343"/>
    <n v="3"/>
    <n v="157"/>
    <n v="160"/>
    <x v="1"/>
    <s v="Spring"/>
    <x v="0"/>
    <x v="5"/>
    <n v="2011"/>
    <d v="2011-02-13T00:00:00"/>
    <x v="1"/>
  </r>
  <r>
    <n v="919"/>
    <x v="40"/>
    <n v="1"/>
    <n v="0"/>
    <n v="2"/>
    <x v="19"/>
    <b v="0"/>
    <n v="4"/>
    <n v="1"/>
    <n v="0.14000000000000001"/>
    <n v="0.16669999999999999"/>
    <n v="0.28000000000000003"/>
    <n v="0.1045"/>
    <n v="2"/>
    <n v="110"/>
    <n v="112"/>
    <x v="1"/>
    <s v="Spring"/>
    <x v="0"/>
    <x v="5"/>
    <n v="2011"/>
    <d v="2011-02-13T00:00:00"/>
    <x v="1"/>
  </r>
  <r>
    <n v="920"/>
    <x v="40"/>
    <n v="1"/>
    <n v="0"/>
    <n v="2"/>
    <x v="20"/>
    <b v="0"/>
    <n v="4"/>
    <n v="1"/>
    <n v="0.14000000000000001"/>
    <n v="0.18179999999999999"/>
    <n v="0.31"/>
    <n v="8.9599999999999999E-2"/>
    <n v="4"/>
    <n v="93"/>
    <n v="97"/>
    <x v="1"/>
    <s v="Spring"/>
    <x v="0"/>
    <x v="5"/>
    <n v="2011"/>
    <d v="2011-02-13T00:00:00"/>
    <x v="1"/>
  </r>
  <r>
    <n v="921"/>
    <x v="40"/>
    <n v="1"/>
    <n v="0"/>
    <n v="2"/>
    <x v="21"/>
    <b v="0"/>
    <n v="4"/>
    <n v="1"/>
    <n v="0.14000000000000001"/>
    <n v="0.21210000000000001"/>
    <n v="0.39"/>
    <n v="0"/>
    <n v="2"/>
    <n v="70"/>
    <n v="72"/>
    <x v="1"/>
    <s v="Spring"/>
    <x v="0"/>
    <x v="5"/>
    <n v="2011"/>
    <d v="2011-02-13T00:00:00"/>
    <x v="1"/>
  </r>
  <r>
    <n v="922"/>
    <x v="40"/>
    <n v="1"/>
    <n v="0"/>
    <n v="2"/>
    <x v="22"/>
    <b v="0"/>
    <n v="4"/>
    <n v="1"/>
    <n v="0.12"/>
    <n v="0.19700000000000001"/>
    <n v="0.39"/>
    <n v="0"/>
    <n v="4"/>
    <n v="47"/>
    <n v="51"/>
    <x v="1"/>
    <s v="Spring"/>
    <x v="0"/>
    <x v="5"/>
    <n v="2011"/>
    <d v="2011-02-13T00:00:00"/>
    <x v="1"/>
  </r>
  <r>
    <n v="923"/>
    <x v="40"/>
    <n v="1"/>
    <n v="0"/>
    <n v="2"/>
    <x v="23"/>
    <b v="0"/>
    <n v="4"/>
    <n v="1"/>
    <n v="0.12"/>
    <n v="0.1515"/>
    <n v="0.42"/>
    <n v="0.1045"/>
    <n v="1"/>
    <n v="33"/>
    <n v="34"/>
    <x v="1"/>
    <s v="Spring"/>
    <x v="0"/>
    <x v="5"/>
    <n v="2011"/>
    <d v="2011-02-13T00:00:00"/>
    <x v="1"/>
  </r>
  <r>
    <n v="924"/>
    <x v="41"/>
    <n v="1"/>
    <n v="0"/>
    <n v="2"/>
    <x v="0"/>
    <b v="0"/>
    <n v="5"/>
    <n v="1"/>
    <n v="0.1"/>
    <n v="0.13639999999999999"/>
    <n v="0.49"/>
    <n v="0.1045"/>
    <n v="2"/>
    <n v="12"/>
    <n v="14"/>
    <x v="1"/>
    <s v="Spring"/>
    <x v="0"/>
    <x v="6"/>
    <n v="2011"/>
    <d v="2011-02-13T00:00:00"/>
    <x v="1"/>
  </r>
  <r>
    <n v="925"/>
    <x v="41"/>
    <n v="1"/>
    <n v="0"/>
    <n v="2"/>
    <x v="1"/>
    <b v="0"/>
    <n v="5"/>
    <n v="1"/>
    <n v="0.1"/>
    <n v="0.13639999999999999"/>
    <n v="0.54"/>
    <n v="8.9599999999999999E-2"/>
    <n v="1"/>
    <n v="6"/>
    <n v="7"/>
    <x v="1"/>
    <s v="Spring"/>
    <x v="0"/>
    <x v="6"/>
    <n v="2011"/>
    <d v="2011-02-13T00:00:00"/>
    <x v="1"/>
  </r>
  <r>
    <n v="926"/>
    <x v="41"/>
    <n v="1"/>
    <n v="0"/>
    <n v="2"/>
    <x v="2"/>
    <b v="0"/>
    <n v="5"/>
    <n v="1"/>
    <n v="0.1"/>
    <n v="0.13639999999999999"/>
    <n v="0.54"/>
    <n v="8.9599999999999999E-2"/>
    <n v="0"/>
    <n v="3"/>
    <n v="3"/>
    <x v="1"/>
    <s v="Spring"/>
    <x v="0"/>
    <x v="6"/>
    <n v="2011"/>
    <d v="2011-02-13T00:00:00"/>
    <x v="1"/>
  </r>
  <r>
    <n v="927"/>
    <x v="41"/>
    <n v="1"/>
    <n v="0"/>
    <n v="2"/>
    <x v="5"/>
    <b v="0"/>
    <n v="5"/>
    <n v="1"/>
    <n v="0.08"/>
    <n v="0.1212"/>
    <n v="0.63"/>
    <n v="8.9599999999999999E-2"/>
    <n v="0"/>
    <n v="4"/>
    <n v="4"/>
    <x v="1"/>
    <s v="Spring"/>
    <x v="0"/>
    <x v="6"/>
    <n v="2011"/>
    <d v="2011-02-13T00:00:00"/>
    <x v="1"/>
  </r>
  <r>
    <n v="928"/>
    <x v="41"/>
    <n v="1"/>
    <n v="0"/>
    <n v="2"/>
    <x v="6"/>
    <b v="0"/>
    <n v="5"/>
    <n v="1"/>
    <n v="0.1"/>
    <n v="0.18179999999999999"/>
    <n v="0.68"/>
    <n v="0"/>
    <n v="1"/>
    <n v="23"/>
    <n v="24"/>
    <x v="1"/>
    <s v="Spring"/>
    <x v="0"/>
    <x v="6"/>
    <n v="2011"/>
    <d v="2011-02-13T00:00:00"/>
    <x v="1"/>
  </r>
  <r>
    <n v="929"/>
    <x v="41"/>
    <n v="1"/>
    <n v="0"/>
    <n v="2"/>
    <x v="7"/>
    <b v="0"/>
    <n v="5"/>
    <n v="1"/>
    <n v="0.08"/>
    <n v="0.16669999999999999"/>
    <n v="0.73"/>
    <n v="0"/>
    <n v="1"/>
    <n v="73"/>
    <n v="74"/>
    <x v="1"/>
    <s v="Spring"/>
    <x v="0"/>
    <x v="6"/>
    <n v="2011"/>
    <d v="2011-02-13T00:00:00"/>
    <x v="1"/>
  </r>
  <r>
    <n v="930"/>
    <x v="41"/>
    <n v="1"/>
    <n v="0"/>
    <n v="2"/>
    <x v="8"/>
    <b v="0"/>
    <n v="5"/>
    <n v="1"/>
    <n v="0.1"/>
    <n v="0.1212"/>
    <n v="0.74"/>
    <n v="0.16420000000000001"/>
    <n v="4"/>
    <n v="212"/>
    <n v="216"/>
    <x v="1"/>
    <s v="Spring"/>
    <x v="0"/>
    <x v="6"/>
    <n v="2011"/>
    <d v="2011-02-13T00:00:00"/>
    <x v="1"/>
  </r>
  <r>
    <n v="931"/>
    <x v="41"/>
    <n v="1"/>
    <n v="0"/>
    <n v="2"/>
    <x v="9"/>
    <b v="0"/>
    <n v="5"/>
    <n v="1"/>
    <n v="0.12"/>
    <n v="0.1212"/>
    <n v="0.74"/>
    <n v="0.22389999999999999"/>
    <n v="8"/>
    <n v="132"/>
    <n v="140"/>
    <x v="1"/>
    <s v="Spring"/>
    <x v="0"/>
    <x v="6"/>
    <n v="2011"/>
    <d v="2011-02-13T00:00:00"/>
    <x v="1"/>
  </r>
  <r>
    <n v="932"/>
    <x v="41"/>
    <n v="1"/>
    <n v="0"/>
    <n v="2"/>
    <x v="10"/>
    <b v="0"/>
    <n v="5"/>
    <n v="1"/>
    <n v="0.14000000000000001"/>
    <n v="0.13639999999999999"/>
    <n v="0.69"/>
    <n v="0.19400000000000001"/>
    <n v="5"/>
    <n v="39"/>
    <n v="44"/>
    <x v="1"/>
    <s v="Spring"/>
    <x v="0"/>
    <x v="6"/>
    <n v="2011"/>
    <d v="2011-02-13T00:00:00"/>
    <x v="1"/>
  </r>
  <r>
    <n v="933"/>
    <x v="41"/>
    <n v="1"/>
    <n v="0"/>
    <n v="2"/>
    <x v="11"/>
    <b v="0"/>
    <n v="5"/>
    <n v="1"/>
    <n v="0.22"/>
    <n v="0.2273"/>
    <n v="0.47"/>
    <n v="0.1343"/>
    <n v="12"/>
    <n v="52"/>
    <n v="64"/>
    <x v="1"/>
    <s v="Spring"/>
    <x v="0"/>
    <x v="6"/>
    <n v="2011"/>
    <d v="2011-02-13T00:00:00"/>
    <x v="1"/>
  </r>
  <r>
    <n v="934"/>
    <x v="41"/>
    <n v="1"/>
    <n v="0"/>
    <n v="2"/>
    <x v="12"/>
    <b v="0"/>
    <n v="5"/>
    <n v="1"/>
    <n v="0.22"/>
    <n v="0.2273"/>
    <n v="0.47"/>
    <n v="0.1343"/>
    <n v="7"/>
    <n v="64"/>
    <n v="71"/>
    <x v="1"/>
    <s v="Spring"/>
    <x v="0"/>
    <x v="6"/>
    <n v="2011"/>
    <d v="2011-02-13T00:00:00"/>
    <x v="1"/>
  </r>
  <r>
    <n v="935"/>
    <x v="41"/>
    <n v="1"/>
    <n v="0"/>
    <n v="2"/>
    <x v="13"/>
    <b v="0"/>
    <n v="5"/>
    <n v="1"/>
    <n v="0.24"/>
    <n v="0.2273"/>
    <n v="0.35"/>
    <n v="0.19400000000000001"/>
    <n v="21"/>
    <n v="89"/>
    <n v="110"/>
    <x v="1"/>
    <s v="Spring"/>
    <x v="0"/>
    <x v="6"/>
    <n v="2011"/>
    <d v="2011-02-13T00:00:00"/>
    <x v="1"/>
  </r>
  <r>
    <n v="936"/>
    <x v="41"/>
    <n v="1"/>
    <n v="0"/>
    <n v="2"/>
    <x v="14"/>
    <b v="0"/>
    <n v="5"/>
    <n v="1"/>
    <n v="0.3"/>
    <n v="0.28789999999999999"/>
    <n v="0.26"/>
    <n v="0.25369999999999998"/>
    <n v="17"/>
    <n v="67"/>
    <n v="84"/>
    <x v="1"/>
    <s v="Spring"/>
    <x v="0"/>
    <x v="6"/>
    <n v="2011"/>
    <d v="2011-02-13T00:00:00"/>
    <x v="1"/>
  </r>
  <r>
    <n v="937"/>
    <x v="41"/>
    <n v="1"/>
    <n v="0"/>
    <n v="2"/>
    <x v="15"/>
    <b v="0"/>
    <n v="5"/>
    <n v="1"/>
    <n v="0.32"/>
    <n v="0.31819999999999998"/>
    <n v="0.21"/>
    <n v="0.16420000000000001"/>
    <n v="12"/>
    <n v="62"/>
    <n v="74"/>
    <x v="1"/>
    <s v="Spring"/>
    <x v="0"/>
    <x v="6"/>
    <n v="2011"/>
    <d v="2011-02-13T00:00:00"/>
    <x v="1"/>
  </r>
  <r>
    <n v="938"/>
    <x v="41"/>
    <n v="1"/>
    <n v="0"/>
    <n v="2"/>
    <x v="16"/>
    <b v="0"/>
    <n v="5"/>
    <n v="1"/>
    <n v="0.3"/>
    <n v="0.28789999999999999"/>
    <n v="0.28000000000000003"/>
    <n v="0.19400000000000001"/>
    <n v="14"/>
    <n v="111"/>
    <n v="125"/>
    <x v="1"/>
    <s v="Spring"/>
    <x v="0"/>
    <x v="6"/>
    <n v="2011"/>
    <d v="2011-02-13T00:00:00"/>
    <x v="1"/>
  </r>
  <r>
    <n v="939"/>
    <x v="41"/>
    <n v="1"/>
    <n v="0"/>
    <n v="2"/>
    <x v="17"/>
    <b v="0"/>
    <n v="5"/>
    <n v="1"/>
    <n v="0.3"/>
    <n v="0.33329999999999999"/>
    <n v="0.24"/>
    <n v="0"/>
    <n v="18"/>
    <n v="193"/>
    <n v="211"/>
    <x v="1"/>
    <s v="Spring"/>
    <x v="0"/>
    <x v="6"/>
    <n v="2011"/>
    <d v="2011-02-13T00:00:00"/>
    <x v="1"/>
  </r>
  <r>
    <n v="940"/>
    <x v="41"/>
    <n v="1"/>
    <n v="0"/>
    <n v="2"/>
    <x v="18"/>
    <b v="0"/>
    <n v="5"/>
    <n v="1"/>
    <n v="0.28000000000000003"/>
    <n v="0.31819999999999998"/>
    <n v="0.28000000000000003"/>
    <n v="0"/>
    <n v="9"/>
    <n v="165"/>
    <n v="174"/>
    <x v="1"/>
    <s v="Spring"/>
    <x v="0"/>
    <x v="6"/>
    <n v="2011"/>
    <d v="2011-02-13T00:00:00"/>
    <x v="1"/>
  </r>
  <r>
    <n v="941"/>
    <x v="41"/>
    <n v="1"/>
    <n v="0"/>
    <n v="2"/>
    <x v="19"/>
    <b v="0"/>
    <n v="5"/>
    <n v="1"/>
    <n v="0.26"/>
    <n v="0.30299999999999999"/>
    <n v="0.33"/>
    <n v="0"/>
    <n v="7"/>
    <n v="94"/>
    <n v="101"/>
    <x v="1"/>
    <s v="Spring"/>
    <x v="0"/>
    <x v="6"/>
    <n v="2011"/>
    <d v="2011-02-13T00:00:00"/>
    <x v="1"/>
  </r>
  <r>
    <n v="942"/>
    <x v="41"/>
    <n v="1"/>
    <n v="0"/>
    <n v="2"/>
    <x v="20"/>
    <b v="0"/>
    <n v="5"/>
    <n v="1"/>
    <n v="0.22"/>
    <n v="0.2273"/>
    <n v="0.55000000000000004"/>
    <n v="0.1343"/>
    <n v="2"/>
    <n v="61"/>
    <n v="63"/>
    <x v="1"/>
    <s v="Spring"/>
    <x v="0"/>
    <x v="6"/>
    <n v="2011"/>
    <d v="2011-02-13T00:00:00"/>
    <x v="1"/>
  </r>
  <r>
    <n v="943"/>
    <x v="41"/>
    <n v="1"/>
    <n v="0"/>
    <n v="2"/>
    <x v="21"/>
    <b v="0"/>
    <n v="5"/>
    <n v="1"/>
    <n v="0.2"/>
    <n v="0.21210000000000001"/>
    <n v="0.59"/>
    <n v="0.1343"/>
    <n v="1"/>
    <n v="46"/>
    <n v="47"/>
    <x v="1"/>
    <s v="Spring"/>
    <x v="0"/>
    <x v="6"/>
    <n v="2011"/>
    <d v="2011-02-13T00:00:00"/>
    <x v="1"/>
  </r>
  <r>
    <n v="944"/>
    <x v="41"/>
    <n v="1"/>
    <n v="0"/>
    <n v="2"/>
    <x v="22"/>
    <b v="0"/>
    <n v="5"/>
    <n v="1"/>
    <n v="0.2"/>
    <n v="0.2273"/>
    <n v="0.64"/>
    <n v="8.9599999999999999E-2"/>
    <n v="2"/>
    <n v="41"/>
    <n v="43"/>
    <x v="1"/>
    <s v="Spring"/>
    <x v="0"/>
    <x v="6"/>
    <n v="2011"/>
    <d v="2011-02-13T00:00:00"/>
    <x v="1"/>
  </r>
  <r>
    <n v="945"/>
    <x v="41"/>
    <n v="1"/>
    <n v="0"/>
    <n v="2"/>
    <x v="23"/>
    <b v="0"/>
    <n v="5"/>
    <n v="1"/>
    <n v="0.18"/>
    <n v="0.2424"/>
    <n v="0.69"/>
    <n v="0"/>
    <n v="5"/>
    <n v="48"/>
    <n v="53"/>
    <x v="1"/>
    <s v="Spring"/>
    <x v="0"/>
    <x v="6"/>
    <n v="2011"/>
    <d v="2011-02-13T00:00:00"/>
    <x v="1"/>
  </r>
  <r>
    <n v="946"/>
    <x v="42"/>
    <n v="1"/>
    <n v="0"/>
    <n v="2"/>
    <x v="0"/>
    <b v="0"/>
    <n v="6"/>
    <n v="1"/>
    <n v="0.16"/>
    <n v="0.19700000000000001"/>
    <n v="0.69"/>
    <n v="8.9599999999999999E-2"/>
    <n v="3"/>
    <n v="27"/>
    <n v="30"/>
    <x v="1"/>
    <s v="Spring"/>
    <x v="0"/>
    <x v="0"/>
    <n v="2011"/>
    <d v="2011-02-13T00:00:00"/>
    <x v="0"/>
  </r>
  <r>
    <n v="947"/>
    <x v="42"/>
    <n v="1"/>
    <n v="0"/>
    <n v="2"/>
    <x v="1"/>
    <b v="0"/>
    <n v="6"/>
    <n v="1"/>
    <n v="0.14000000000000001"/>
    <n v="0.21210000000000001"/>
    <n v="0.86"/>
    <n v="0"/>
    <n v="2"/>
    <n v="22"/>
    <n v="24"/>
    <x v="1"/>
    <s v="Spring"/>
    <x v="0"/>
    <x v="0"/>
    <n v="2011"/>
    <d v="2011-02-13T00:00:00"/>
    <x v="0"/>
  </r>
  <r>
    <n v="948"/>
    <x v="42"/>
    <n v="1"/>
    <n v="0"/>
    <n v="2"/>
    <x v="2"/>
    <b v="0"/>
    <n v="6"/>
    <n v="1"/>
    <n v="0.14000000000000001"/>
    <n v="0.21210000000000001"/>
    <n v="0.8"/>
    <n v="0"/>
    <n v="2"/>
    <n v="13"/>
    <n v="15"/>
    <x v="1"/>
    <s v="Spring"/>
    <x v="0"/>
    <x v="0"/>
    <n v="2011"/>
    <d v="2011-02-13T00:00:00"/>
    <x v="0"/>
  </r>
  <r>
    <n v="949"/>
    <x v="42"/>
    <n v="1"/>
    <n v="0"/>
    <n v="2"/>
    <x v="3"/>
    <b v="0"/>
    <n v="6"/>
    <n v="1"/>
    <n v="0.12"/>
    <n v="0.19700000000000001"/>
    <n v="0.8"/>
    <n v="0"/>
    <n v="3"/>
    <n v="7"/>
    <n v="10"/>
    <x v="1"/>
    <s v="Spring"/>
    <x v="0"/>
    <x v="0"/>
    <n v="2011"/>
    <d v="2011-02-13T00:00:00"/>
    <x v="0"/>
  </r>
  <r>
    <n v="950"/>
    <x v="42"/>
    <n v="1"/>
    <n v="0"/>
    <n v="2"/>
    <x v="4"/>
    <b v="0"/>
    <n v="6"/>
    <n v="1"/>
    <n v="0.12"/>
    <n v="0.16669999999999999"/>
    <n v="0.74"/>
    <n v="8.9599999999999999E-2"/>
    <n v="0"/>
    <n v="4"/>
    <n v="4"/>
    <x v="1"/>
    <s v="Spring"/>
    <x v="0"/>
    <x v="0"/>
    <n v="2011"/>
    <d v="2011-02-13T00:00:00"/>
    <x v="0"/>
  </r>
  <r>
    <n v="951"/>
    <x v="42"/>
    <n v="1"/>
    <n v="0"/>
    <n v="2"/>
    <x v="5"/>
    <b v="0"/>
    <n v="6"/>
    <n v="1"/>
    <n v="0.12"/>
    <n v="0.16669999999999999"/>
    <n v="0.74"/>
    <n v="8.9599999999999999E-2"/>
    <n v="0"/>
    <n v="1"/>
    <n v="1"/>
    <x v="1"/>
    <s v="Spring"/>
    <x v="0"/>
    <x v="0"/>
    <n v="2011"/>
    <d v="2011-02-13T00:00:00"/>
    <x v="0"/>
  </r>
  <r>
    <n v="952"/>
    <x v="42"/>
    <n v="1"/>
    <n v="0"/>
    <n v="2"/>
    <x v="6"/>
    <b v="0"/>
    <n v="6"/>
    <n v="1"/>
    <n v="0.12"/>
    <n v="0.13639999999999999"/>
    <n v="0.93"/>
    <n v="0.19400000000000001"/>
    <n v="1"/>
    <n v="1"/>
    <n v="2"/>
    <x v="1"/>
    <s v="Spring"/>
    <x v="0"/>
    <x v="0"/>
    <n v="2011"/>
    <d v="2011-02-13T00:00:00"/>
    <x v="0"/>
  </r>
  <r>
    <n v="953"/>
    <x v="42"/>
    <n v="1"/>
    <n v="0"/>
    <n v="2"/>
    <x v="7"/>
    <b v="0"/>
    <n v="6"/>
    <n v="1"/>
    <n v="0.12"/>
    <n v="0.1515"/>
    <n v="0.8"/>
    <n v="0.1045"/>
    <n v="2"/>
    <n v="9"/>
    <n v="11"/>
    <x v="1"/>
    <s v="Spring"/>
    <x v="0"/>
    <x v="0"/>
    <n v="2011"/>
    <d v="2011-02-13T00:00:00"/>
    <x v="0"/>
  </r>
  <r>
    <n v="954"/>
    <x v="42"/>
    <n v="1"/>
    <n v="0"/>
    <n v="2"/>
    <x v="8"/>
    <b v="0"/>
    <n v="6"/>
    <n v="1"/>
    <n v="0.14000000000000001"/>
    <n v="0.1515"/>
    <n v="0.86"/>
    <n v="0.1343"/>
    <n v="2"/>
    <n v="28"/>
    <n v="30"/>
    <x v="1"/>
    <s v="Spring"/>
    <x v="0"/>
    <x v="0"/>
    <n v="2011"/>
    <d v="2011-02-13T00:00:00"/>
    <x v="0"/>
  </r>
  <r>
    <n v="955"/>
    <x v="42"/>
    <n v="1"/>
    <n v="0"/>
    <n v="2"/>
    <x v="9"/>
    <b v="0"/>
    <n v="6"/>
    <n v="1"/>
    <n v="0.16"/>
    <n v="0.18179999999999999"/>
    <n v="0.64"/>
    <n v="0.1343"/>
    <n v="5"/>
    <n v="38"/>
    <n v="43"/>
    <x v="1"/>
    <s v="Spring"/>
    <x v="0"/>
    <x v="0"/>
    <n v="2011"/>
    <d v="2011-02-13T00:00:00"/>
    <x v="0"/>
  </r>
  <r>
    <n v="956"/>
    <x v="42"/>
    <n v="1"/>
    <n v="0"/>
    <n v="2"/>
    <x v="10"/>
    <b v="0"/>
    <n v="6"/>
    <n v="1"/>
    <n v="0.22"/>
    <n v="0.21210000000000001"/>
    <n v="0.41"/>
    <n v="0.25369999999999998"/>
    <n v="13"/>
    <n v="71"/>
    <n v="84"/>
    <x v="1"/>
    <s v="Spring"/>
    <x v="0"/>
    <x v="0"/>
    <n v="2011"/>
    <d v="2011-02-13T00:00:00"/>
    <x v="0"/>
  </r>
  <r>
    <n v="957"/>
    <x v="42"/>
    <n v="1"/>
    <n v="0"/>
    <n v="2"/>
    <x v="11"/>
    <b v="0"/>
    <n v="6"/>
    <n v="1"/>
    <n v="0.3"/>
    <n v="0.2727"/>
    <n v="0.28000000000000003"/>
    <n v="0.32840000000000003"/>
    <n v="30"/>
    <n v="84"/>
    <n v="114"/>
    <x v="1"/>
    <s v="Spring"/>
    <x v="0"/>
    <x v="0"/>
    <n v="2011"/>
    <d v="2011-02-13T00:00:00"/>
    <x v="0"/>
  </r>
  <r>
    <n v="958"/>
    <x v="42"/>
    <n v="1"/>
    <n v="0"/>
    <n v="2"/>
    <x v="12"/>
    <b v="0"/>
    <n v="6"/>
    <n v="1"/>
    <n v="0.3"/>
    <n v="0.2727"/>
    <n v="0.39"/>
    <n v="0.4627"/>
    <n v="27"/>
    <n v="93"/>
    <n v="120"/>
    <x v="1"/>
    <s v="Spring"/>
    <x v="0"/>
    <x v="0"/>
    <n v="2011"/>
    <d v="2011-02-13T00:00:00"/>
    <x v="0"/>
  </r>
  <r>
    <n v="959"/>
    <x v="42"/>
    <n v="1"/>
    <n v="0"/>
    <n v="2"/>
    <x v="13"/>
    <b v="0"/>
    <n v="6"/>
    <n v="1"/>
    <n v="0.3"/>
    <n v="0.2727"/>
    <n v="0.39"/>
    <n v="0.41789999999999999"/>
    <n v="32"/>
    <n v="103"/>
    <n v="135"/>
    <x v="1"/>
    <s v="Spring"/>
    <x v="0"/>
    <x v="0"/>
    <n v="2011"/>
    <d v="2011-02-13T00:00:00"/>
    <x v="0"/>
  </r>
  <r>
    <n v="960"/>
    <x v="42"/>
    <n v="1"/>
    <n v="0"/>
    <n v="2"/>
    <x v="14"/>
    <b v="0"/>
    <n v="6"/>
    <n v="1"/>
    <n v="0.34"/>
    <n v="0.31819999999999998"/>
    <n v="0.31"/>
    <n v="0.28360000000000002"/>
    <n v="30"/>
    <n v="90"/>
    <n v="120"/>
    <x v="1"/>
    <s v="Spring"/>
    <x v="0"/>
    <x v="0"/>
    <n v="2011"/>
    <d v="2011-02-13T00:00:00"/>
    <x v="0"/>
  </r>
  <r>
    <n v="961"/>
    <x v="42"/>
    <n v="1"/>
    <n v="0"/>
    <n v="2"/>
    <x v="15"/>
    <b v="0"/>
    <n v="6"/>
    <n v="1"/>
    <n v="0.34"/>
    <n v="0.30299999999999999"/>
    <n v="0.28999999999999998"/>
    <n v="0.41789999999999999"/>
    <n v="47"/>
    <n v="127"/>
    <n v="174"/>
    <x v="1"/>
    <s v="Spring"/>
    <x v="0"/>
    <x v="0"/>
    <n v="2011"/>
    <d v="2011-02-13T00:00:00"/>
    <x v="0"/>
  </r>
  <r>
    <n v="962"/>
    <x v="42"/>
    <n v="1"/>
    <n v="0"/>
    <n v="2"/>
    <x v="16"/>
    <b v="0"/>
    <n v="6"/>
    <n v="1"/>
    <n v="0.34"/>
    <n v="0.30299999999999999"/>
    <n v="0.28999999999999998"/>
    <n v="0.41789999999999999"/>
    <n v="42"/>
    <n v="103"/>
    <n v="145"/>
    <x v="1"/>
    <s v="Spring"/>
    <x v="0"/>
    <x v="0"/>
    <n v="2011"/>
    <d v="2011-02-13T00:00:00"/>
    <x v="0"/>
  </r>
  <r>
    <n v="963"/>
    <x v="42"/>
    <n v="1"/>
    <n v="0"/>
    <n v="2"/>
    <x v="17"/>
    <b v="0"/>
    <n v="6"/>
    <n v="1"/>
    <n v="0.32"/>
    <n v="0.28789999999999999"/>
    <n v="0.31"/>
    <n v="0.52239999999999998"/>
    <n v="24"/>
    <n v="113"/>
    <n v="137"/>
    <x v="1"/>
    <s v="Spring"/>
    <x v="0"/>
    <x v="0"/>
    <n v="2011"/>
    <d v="2011-02-13T00:00:00"/>
    <x v="0"/>
  </r>
  <r>
    <n v="964"/>
    <x v="42"/>
    <n v="1"/>
    <n v="0"/>
    <n v="2"/>
    <x v="18"/>
    <b v="0"/>
    <n v="6"/>
    <n v="1"/>
    <n v="0.28000000000000003"/>
    <n v="0.2576"/>
    <n v="0.38"/>
    <n v="0.32840000000000003"/>
    <n v="4"/>
    <n v="60"/>
    <n v="64"/>
    <x v="1"/>
    <s v="Spring"/>
    <x v="0"/>
    <x v="0"/>
    <n v="2011"/>
    <d v="2011-02-13T00:00:00"/>
    <x v="0"/>
  </r>
  <r>
    <n v="965"/>
    <x v="42"/>
    <n v="1"/>
    <n v="0"/>
    <n v="2"/>
    <x v="19"/>
    <b v="0"/>
    <n v="6"/>
    <n v="1"/>
    <n v="0.28000000000000003"/>
    <n v="0.2727"/>
    <n v="0.38"/>
    <n v="0.16420000000000001"/>
    <n v="2"/>
    <n v="39"/>
    <n v="41"/>
    <x v="1"/>
    <s v="Spring"/>
    <x v="0"/>
    <x v="0"/>
    <n v="2011"/>
    <d v="2011-02-13T00:00:00"/>
    <x v="0"/>
  </r>
  <r>
    <n v="966"/>
    <x v="42"/>
    <n v="1"/>
    <n v="0"/>
    <n v="2"/>
    <x v="20"/>
    <b v="0"/>
    <n v="6"/>
    <n v="1"/>
    <n v="0.26"/>
    <n v="0.2576"/>
    <n v="0.41"/>
    <n v="0.22389999999999999"/>
    <n v="1"/>
    <n v="39"/>
    <n v="40"/>
    <x v="1"/>
    <s v="Spring"/>
    <x v="0"/>
    <x v="0"/>
    <n v="2011"/>
    <d v="2011-02-13T00:00:00"/>
    <x v="0"/>
  </r>
  <r>
    <n v="967"/>
    <x v="42"/>
    <n v="1"/>
    <n v="0"/>
    <n v="2"/>
    <x v="21"/>
    <b v="0"/>
    <n v="6"/>
    <n v="1"/>
    <n v="0.26"/>
    <n v="0.30299999999999999"/>
    <n v="0.41"/>
    <n v="0"/>
    <n v="9"/>
    <n v="42"/>
    <n v="51"/>
    <x v="1"/>
    <s v="Spring"/>
    <x v="0"/>
    <x v="0"/>
    <n v="2011"/>
    <d v="2011-02-13T00:00:00"/>
    <x v="0"/>
  </r>
  <r>
    <n v="968"/>
    <x v="42"/>
    <n v="1"/>
    <n v="0"/>
    <n v="2"/>
    <x v="22"/>
    <b v="0"/>
    <n v="6"/>
    <n v="1"/>
    <n v="0.24"/>
    <n v="0.2576"/>
    <n v="0.44"/>
    <n v="8.9599999999999999E-2"/>
    <n v="6"/>
    <n v="39"/>
    <n v="45"/>
    <x v="1"/>
    <s v="Spring"/>
    <x v="0"/>
    <x v="0"/>
    <n v="2011"/>
    <d v="2011-02-13T00:00:00"/>
    <x v="0"/>
  </r>
  <r>
    <n v="969"/>
    <x v="42"/>
    <n v="1"/>
    <n v="0"/>
    <n v="2"/>
    <x v="23"/>
    <b v="0"/>
    <n v="6"/>
    <n v="1"/>
    <n v="0.22"/>
    <n v="0.2273"/>
    <n v="0.51"/>
    <n v="0.1343"/>
    <n v="1"/>
    <n v="31"/>
    <n v="32"/>
    <x v="1"/>
    <s v="Spring"/>
    <x v="0"/>
    <x v="0"/>
    <n v="2011"/>
    <d v="2011-02-13T00:00:00"/>
    <x v="0"/>
  </r>
  <r>
    <n v="970"/>
    <x v="43"/>
    <n v="1"/>
    <n v="0"/>
    <n v="2"/>
    <x v="0"/>
    <b v="0"/>
    <n v="0"/>
    <n v="1"/>
    <n v="0.2"/>
    <n v="0.2273"/>
    <n v="0.64"/>
    <n v="0.1045"/>
    <n v="5"/>
    <n v="34"/>
    <n v="39"/>
    <x v="1"/>
    <s v="Spring"/>
    <x v="0"/>
    <x v="1"/>
    <n v="2011"/>
    <d v="2011-02-13T00:00:00"/>
    <x v="0"/>
  </r>
  <r>
    <n v="971"/>
    <x v="43"/>
    <n v="1"/>
    <n v="0"/>
    <n v="2"/>
    <x v="1"/>
    <b v="0"/>
    <n v="0"/>
    <n v="1"/>
    <n v="0.2"/>
    <n v="0.2273"/>
    <n v="0.59"/>
    <n v="8.9599999999999999E-2"/>
    <n v="1"/>
    <n v="23"/>
    <n v="24"/>
    <x v="1"/>
    <s v="Spring"/>
    <x v="0"/>
    <x v="1"/>
    <n v="2011"/>
    <d v="2011-02-13T00:00:00"/>
    <x v="0"/>
  </r>
  <r>
    <n v="972"/>
    <x v="43"/>
    <n v="1"/>
    <n v="0"/>
    <n v="2"/>
    <x v="2"/>
    <b v="0"/>
    <n v="0"/>
    <n v="2"/>
    <n v="0.2"/>
    <n v="0.2273"/>
    <n v="0.75"/>
    <n v="8.9599999999999999E-2"/>
    <n v="1"/>
    <n v="19"/>
    <n v="20"/>
    <x v="1"/>
    <s v="Spring"/>
    <x v="1"/>
    <x v="1"/>
    <n v="2011"/>
    <d v="2011-02-13T00:00:00"/>
    <x v="0"/>
  </r>
  <r>
    <n v="973"/>
    <x v="43"/>
    <n v="1"/>
    <n v="0"/>
    <n v="2"/>
    <x v="3"/>
    <b v="0"/>
    <n v="0"/>
    <n v="2"/>
    <n v="0.2"/>
    <n v="0.2273"/>
    <n v="0.69"/>
    <n v="0.1045"/>
    <n v="4"/>
    <n v="8"/>
    <n v="12"/>
    <x v="1"/>
    <s v="Spring"/>
    <x v="1"/>
    <x v="1"/>
    <n v="2011"/>
    <d v="2011-02-13T00:00:00"/>
    <x v="0"/>
  </r>
  <r>
    <n v="974"/>
    <x v="43"/>
    <n v="1"/>
    <n v="0"/>
    <n v="2"/>
    <x v="4"/>
    <b v="0"/>
    <n v="0"/>
    <n v="2"/>
    <n v="0.2"/>
    <n v="0.21210000000000001"/>
    <n v="0.69"/>
    <n v="0.16420000000000001"/>
    <n v="0"/>
    <n v="2"/>
    <n v="2"/>
    <x v="1"/>
    <s v="Spring"/>
    <x v="1"/>
    <x v="1"/>
    <n v="2011"/>
    <d v="2011-02-13T00:00:00"/>
    <x v="0"/>
  </r>
  <r>
    <n v="975"/>
    <x v="43"/>
    <n v="1"/>
    <n v="0"/>
    <n v="2"/>
    <x v="6"/>
    <b v="0"/>
    <n v="0"/>
    <n v="2"/>
    <n v="0.2"/>
    <n v="0.21210000000000001"/>
    <n v="0.69"/>
    <n v="0.1343"/>
    <n v="2"/>
    <n v="3"/>
    <n v="5"/>
    <x v="1"/>
    <s v="Spring"/>
    <x v="1"/>
    <x v="1"/>
    <n v="2011"/>
    <d v="2011-02-13T00:00:00"/>
    <x v="0"/>
  </r>
  <r>
    <n v="976"/>
    <x v="43"/>
    <n v="1"/>
    <n v="0"/>
    <n v="2"/>
    <x v="7"/>
    <b v="0"/>
    <n v="0"/>
    <n v="2"/>
    <n v="0.22"/>
    <n v="0.2727"/>
    <n v="0.55000000000000004"/>
    <n v="0"/>
    <n v="0"/>
    <n v="3"/>
    <n v="3"/>
    <x v="1"/>
    <s v="Spring"/>
    <x v="1"/>
    <x v="1"/>
    <n v="2011"/>
    <d v="2011-02-13T00:00:00"/>
    <x v="0"/>
  </r>
  <r>
    <n v="977"/>
    <x v="43"/>
    <n v="1"/>
    <n v="0"/>
    <n v="2"/>
    <x v="8"/>
    <b v="0"/>
    <n v="0"/>
    <n v="2"/>
    <n v="0.22"/>
    <n v="0.2273"/>
    <n v="0.64"/>
    <n v="0.19400000000000001"/>
    <n v="1"/>
    <n v="11"/>
    <n v="12"/>
    <x v="1"/>
    <s v="Spring"/>
    <x v="1"/>
    <x v="1"/>
    <n v="2011"/>
    <d v="2011-02-13T00:00:00"/>
    <x v="0"/>
  </r>
  <r>
    <n v="978"/>
    <x v="43"/>
    <n v="1"/>
    <n v="0"/>
    <n v="2"/>
    <x v="9"/>
    <b v="0"/>
    <n v="0"/>
    <n v="2"/>
    <n v="0.24"/>
    <n v="0.2273"/>
    <n v="0.6"/>
    <n v="0.22389999999999999"/>
    <n v="12"/>
    <n v="35"/>
    <n v="47"/>
    <x v="1"/>
    <s v="Spring"/>
    <x v="1"/>
    <x v="1"/>
    <n v="2011"/>
    <d v="2011-02-13T00:00:00"/>
    <x v="0"/>
  </r>
  <r>
    <n v="979"/>
    <x v="43"/>
    <n v="1"/>
    <n v="0"/>
    <n v="2"/>
    <x v="10"/>
    <b v="0"/>
    <n v="0"/>
    <n v="1"/>
    <n v="0.3"/>
    <n v="0.2727"/>
    <n v="0.45"/>
    <n v="0.32840000000000003"/>
    <n v="19"/>
    <n v="86"/>
    <n v="105"/>
    <x v="1"/>
    <s v="Spring"/>
    <x v="0"/>
    <x v="1"/>
    <n v="2011"/>
    <d v="2011-02-13T00:00:00"/>
    <x v="0"/>
  </r>
  <r>
    <n v="980"/>
    <x v="43"/>
    <n v="1"/>
    <n v="0"/>
    <n v="2"/>
    <x v="11"/>
    <b v="0"/>
    <n v="0"/>
    <n v="1"/>
    <n v="0.32"/>
    <n v="0.28789999999999999"/>
    <n v="0.39"/>
    <n v="0.44779999999999998"/>
    <n v="26"/>
    <n v="86"/>
    <n v="112"/>
    <x v="1"/>
    <s v="Spring"/>
    <x v="0"/>
    <x v="1"/>
    <n v="2011"/>
    <d v="2011-02-13T00:00:00"/>
    <x v="0"/>
  </r>
  <r>
    <n v="981"/>
    <x v="43"/>
    <n v="1"/>
    <n v="0"/>
    <n v="2"/>
    <x v="12"/>
    <b v="0"/>
    <n v="0"/>
    <n v="1"/>
    <n v="0.36"/>
    <n v="0.31819999999999998"/>
    <n v="0.32"/>
    <n v="0.4627"/>
    <n v="58"/>
    <n v="94"/>
    <n v="152"/>
    <x v="1"/>
    <s v="Spring"/>
    <x v="0"/>
    <x v="1"/>
    <n v="2011"/>
    <d v="2011-02-13T00:00:00"/>
    <x v="0"/>
  </r>
  <r>
    <n v="982"/>
    <x v="43"/>
    <n v="1"/>
    <n v="0"/>
    <n v="2"/>
    <x v="13"/>
    <b v="0"/>
    <n v="0"/>
    <n v="1"/>
    <n v="0.38"/>
    <n v="0.39389999999999997"/>
    <n v="0.28999999999999998"/>
    <n v="0.35820000000000002"/>
    <n v="62"/>
    <n v="92"/>
    <n v="154"/>
    <x v="1"/>
    <s v="Spring"/>
    <x v="0"/>
    <x v="1"/>
    <n v="2011"/>
    <d v="2011-02-13T00:00:00"/>
    <x v="0"/>
  </r>
  <r>
    <n v="983"/>
    <x v="43"/>
    <n v="1"/>
    <n v="0"/>
    <n v="2"/>
    <x v="14"/>
    <b v="0"/>
    <n v="0"/>
    <n v="2"/>
    <n v="0.4"/>
    <n v="0.40910000000000002"/>
    <n v="0.3"/>
    <n v="0.41789999999999999"/>
    <n v="51"/>
    <n v="110"/>
    <n v="161"/>
    <x v="1"/>
    <s v="Spring"/>
    <x v="1"/>
    <x v="1"/>
    <n v="2011"/>
    <d v="2011-02-13T00:00:00"/>
    <x v="0"/>
  </r>
  <r>
    <n v="984"/>
    <x v="43"/>
    <n v="1"/>
    <n v="0"/>
    <n v="2"/>
    <x v="15"/>
    <b v="0"/>
    <n v="0"/>
    <n v="2"/>
    <n v="0.4"/>
    <n v="0.40910000000000002"/>
    <n v="0.3"/>
    <n v="0.29849999999999999"/>
    <n v="40"/>
    <n v="122"/>
    <n v="162"/>
    <x v="1"/>
    <s v="Spring"/>
    <x v="1"/>
    <x v="1"/>
    <n v="2011"/>
    <d v="2011-02-13T00:00:00"/>
    <x v="0"/>
  </r>
  <r>
    <n v="985"/>
    <x v="43"/>
    <n v="1"/>
    <n v="0"/>
    <n v="2"/>
    <x v="16"/>
    <b v="0"/>
    <n v="0"/>
    <n v="2"/>
    <n v="0.42"/>
    <n v="0.42420000000000002"/>
    <n v="0.28000000000000003"/>
    <n v="0.32840000000000003"/>
    <n v="28"/>
    <n v="106"/>
    <n v="134"/>
    <x v="1"/>
    <s v="Spring"/>
    <x v="1"/>
    <x v="1"/>
    <n v="2011"/>
    <d v="2011-02-13T00:00:00"/>
    <x v="0"/>
  </r>
  <r>
    <n v="986"/>
    <x v="43"/>
    <n v="1"/>
    <n v="0"/>
    <n v="2"/>
    <x v="17"/>
    <b v="0"/>
    <n v="0"/>
    <n v="1"/>
    <n v="0.42"/>
    <n v="0.42420000000000002"/>
    <n v="0.28000000000000003"/>
    <n v="0.32840000000000003"/>
    <n v="30"/>
    <n v="95"/>
    <n v="125"/>
    <x v="1"/>
    <s v="Spring"/>
    <x v="0"/>
    <x v="1"/>
    <n v="2011"/>
    <d v="2011-02-13T00:00:00"/>
    <x v="0"/>
  </r>
  <r>
    <n v="987"/>
    <x v="43"/>
    <n v="1"/>
    <n v="0"/>
    <n v="2"/>
    <x v="18"/>
    <b v="0"/>
    <n v="0"/>
    <n v="1"/>
    <n v="0.4"/>
    <n v="0.40910000000000002"/>
    <n v="0.32"/>
    <n v="0.29849999999999999"/>
    <n v="17"/>
    <n v="78"/>
    <n v="95"/>
    <x v="1"/>
    <s v="Spring"/>
    <x v="0"/>
    <x v="1"/>
    <n v="2011"/>
    <d v="2011-02-13T00:00:00"/>
    <x v="0"/>
  </r>
  <r>
    <n v="988"/>
    <x v="43"/>
    <n v="1"/>
    <n v="0"/>
    <n v="2"/>
    <x v="19"/>
    <b v="0"/>
    <n v="0"/>
    <n v="1"/>
    <n v="0.4"/>
    <n v="0.40910000000000002"/>
    <n v="0.35"/>
    <n v="0.28360000000000002"/>
    <n v="11"/>
    <n v="50"/>
    <n v="61"/>
    <x v="1"/>
    <s v="Spring"/>
    <x v="0"/>
    <x v="1"/>
    <n v="2011"/>
    <d v="2011-02-13T00:00:00"/>
    <x v="0"/>
  </r>
  <r>
    <n v="989"/>
    <x v="43"/>
    <n v="1"/>
    <n v="0"/>
    <n v="2"/>
    <x v="20"/>
    <b v="0"/>
    <n v="0"/>
    <n v="1"/>
    <n v="0.4"/>
    <n v="0.40910000000000002"/>
    <n v="0.35"/>
    <n v="0.32840000000000003"/>
    <n v="15"/>
    <n v="32"/>
    <n v="47"/>
    <x v="1"/>
    <s v="Spring"/>
    <x v="0"/>
    <x v="1"/>
    <n v="2011"/>
    <d v="2011-02-13T00:00:00"/>
    <x v="0"/>
  </r>
  <r>
    <n v="990"/>
    <x v="43"/>
    <n v="1"/>
    <n v="0"/>
    <n v="2"/>
    <x v="21"/>
    <b v="0"/>
    <n v="0"/>
    <n v="1"/>
    <n v="0.4"/>
    <n v="0.40910000000000002"/>
    <n v="0.35"/>
    <n v="0.35820000000000002"/>
    <n v="6"/>
    <n v="45"/>
    <n v="51"/>
    <x v="1"/>
    <s v="Spring"/>
    <x v="0"/>
    <x v="1"/>
    <n v="2011"/>
    <d v="2011-02-13T00:00:00"/>
    <x v="0"/>
  </r>
  <r>
    <n v="991"/>
    <x v="43"/>
    <n v="1"/>
    <n v="0"/>
    <n v="2"/>
    <x v="22"/>
    <b v="0"/>
    <n v="0"/>
    <n v="1"/>
    <n v="0.4"/>
    <n v="0.40910000000000002"/>
    <n v="0.35"/>
    <n v="0.29849999999999999"/>
    <n v="5"/>
    <n v="31"/>
    <n v="36"/>
    <x v="1"/>
    <s v="Spring"/>
    <x v="0"/>
    <x v="1"/>
    <n v="2011"/>
    <d v="2011-02-13T00:00:00"/>
    <x v="0"/>
  </r>
  <r>
    <n v="992"/>
    <x v="43"/>
    <n v="1"/>
    <n v="0"/>
    <n v="2"/>
    <x v="23"/>
    <b v="0"/>
    <n v="0"/>
    <n v="1"/>
    <n v="0.4"/>
    <n v="0.40910000000000002"/>
    <n v="0.35"/>
    <n v="0.35820000000000002"/>
    <n v="3"/>
    <n v="27"/>
    <n v="30"/>
    <x v="1"/>
    <s v="Spring"/>
    <x v="0"/>
    <x v="1"/>
    <n v="2011"/>
    <d v="2011-02-13T00:00:00"/>
    <x v="0"/>
  </r>
  <r>
    <n v="993"/>
    <x v="44"/>
    <n v="1"/>
    <n v="0"/>
    <n v="2"/>
    <x v="0"/>
    <b v="0"/>
    <n v="1"/>
    <n v="1"/>
    <n v="0.38"/>
    <n v="0.39389999999999997"/>
    <n v="0.37"/>
    <n v="0.35820000000000002"/>
    <n v="3"/>
    <n v="8"/>
    <n v="11"/>
    <x v="1"/>
    <s v="Spring"/>
    <x v="0"/>
    <x v="2"/>
    <n v="2011"/>
    <d v="2011-02-14T00:00:00"/>
    <x v="1"/>
  </r>
  <r>
    <n v="994"/>
    <x v="44"/>
    <n v="1"/>
    <n v="0"/>
    <n v="2"/>
    <x v="1"/>
    <b v="0"/>
    <n v="1"/>
    <n v="1"/>
    <n v="0.38"/>
    <n v="0.39389999999999997"/>
    <n v="0.37"/>
    <n v="0.35820000000000002"/>
    <n v="1"/>
    <n v="6"/>
    <n v="7"/>
    <x v="1"/>
    <s v="Spring"/>
    <x v="0"/>
    <x v="2"/>
    <n v="2011"/>
    <d v="2011-02-14T00:00:00"/>
    <x v="1"/>
  </r>
  <r>
    <n v="995"/>
    <x v="44"/>
    <n v="1"/>
    <n v="0"/>
    <n v="2"/>
    <x v="2"/>
    <b v="0"/>
    <n v="1"/>
    <n v="1"/>
    <n v="0.36"/>
    <n v="0.33329999999999999"/>
    <n v="0.4"/>
    <n v="0.29849999999999999"/>
    <n v="0"/>
    <n v="2"/>
    <n v="2"/>
    <x v="1"/>
    <s v="Spring"/>
    <x v="0"/>
    <x v="2"/>
    <n v="2011"/>
    <d v="2011-02-14T00:00:00"/>
    <x v="1"/>
  </r>
  <r>
    <n v="996"/>
    <x v="44"/>
    <n v="1"/>
    <n v="0"/>
    <n v="2"/>
    <x v="3"/>
    <b v="0"/>
    <n v="1"/>
    <n v="1"/>
    <n v="0.34"/>
    <n v="0.31819999999999998"/>
    <n v="0.46"/>
    <n v="0.22389999999999999"/>
    <n v="1"/>
    <n v="1"/>
    <n v="2"/>
    <x v="1"/>
    <s v="Spring"/>
    <x v="0"/>
    <x v="2"/>
    <n v="2011"/>
    <d v="2011-02-14T00:00:00"/>
    <x v="1"/>
  </r>
  <r>
    <n v="997"/>
    <x v="44"/>
    <n v="1"/>
    <n v="0"/>
    <n v="2"/>
    <x v="4"/>
    <b v="0"/>
    <n v="1"/>
    <n v="1"/>
    <n v="0.32"/>
    <n v="0.30299999999999999"/>
    <n v="0.53"/>
    <n v="0.28360000000000002"/>
    <n v="0"/>
    <n v="2"/>
    <n v="2"/>
    <x v="1"/>
    <s v="Spring"/>
    <x v="0"/>
    <x v="2"/>
    <n v="2011"/>
    <d v="2011-02-14T00:00:00"/>
    <x v="1"/>
  </r>
  <r>
    <n v="998"/>
    <x v="44"/>
    <n v="2"/>
    <n v="0"/>
    <n v="2"/>
    <x v="5"/>
    <b v="0"/>
    <n v="1"/>
    <n v="1"/>
    <n v="0.32"/>
    <n v="0.30299999999999999"/>
    <n v="0.53"/>
    <n v="0.28360000000000002"/>
    <n v="0"/>
    <n v="3"/>
    <n v="3"/>
    <x v="1"/>
    <s v="Summer"/>
    <x v="0"/>
    <x v="2"/>
    <n v="2011"/>
    <d v="2011-02-14T00:00:00"/>
    <x v="1"/>
  </r>
  <r>
    <n v="999"/>
    <x v="44"/>
    <n v="3"/>
    <n v="0"/>
    <n v="2"/>
    <x v="6"/>
    <b v="0"/>
    <n v="1"/>
    <n v="1"/>
    <n v="0.34"/>
    <n v="0.30299999999999999"/>
    <n v="0.46"/>
    <n v="0.29849999999999999"/>
    <n v="1"/>
    <n v="25"/>
    <n v="26"/>
    <x v="1"/>
    <s v="Fall"/>
    <x v="0"/>
    <x v="2"/>
    <n v="2011"/>
    <d v="2011-02-14T00:00:00"/>
    <x v="1"/>
  </r>
  <r>
    <n v="1000"/>
    <x v="44"/>
    <n v="4"/>
    <n v="0"/>
    <n v="2"/>
    <x v="7"/>
    <b v="0"/>
    <n v="1"/>
    <n v="1"/>
    <n v="0.34"/>
    <n v="0.30299999999999999"/>
    <n v="0.46"/>
    <n v="0.29849999999999999"/>
    <n v="2"/>
    <n v="96"/>
    <n v="98"/>
    <x v="1"/>
    <s v="Winter"/>
    <x v="0"/>
    <x v="2"/>
    <n v="2011"/>
    <d v="2011-02-14T00:00:0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F83066-8310-4FCC-A60B-24FB523EB004}"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51:B97" firstHeaderRow="1" firstDataRow="1" firstDataCol="1"/>
  <pivotFields count="25">
    <pivotField showAll="0"/>
    <pivotField axis="axisRow"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pivotField showAll="0"/>
    <pivotField showAll="0"/>
    <pivotField showAll="0"/>
    <pivotField showAll="0"/>
    <pivotField showAll="0"/>
    <pivotField showAll="0"/>
    <pivotField dataField="1" showAll="0"/>
    <pivotField showAll="0"/>
    <pivotField showAll="0">
      <items count="3">
        <item x="0"/>
        <item x="1"/>
        <item t="default"/>
      </items>
    </pivotField>
    <pivotField showAll="0"/>
    <pivotField showAll="0">
      <items count="5">
        <item x="0"/>
        <item x="1"/>
        <item x="3"/>
        <item x="2"/>
        <item t="default"/>
      </items>
    </pivotField>
    <pivotField showAll="0">
      <items count="8">
        <item x="1"/>
        <item x="2"/>
        <item x="3"/>
        <item x="4"/>
        <item x="5"/>
        <item x="6"/>
        <item x="0"/>
        <item t="default"/>
      </items>
    </pivotField>
    <pivotField showAll="0"/>
    <pivotField showAll="0"/>
    <pivotField showAll="0">
      <items count="4">
        <item x="2"/>
        <item x="0"/>
        <item x="1"/>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Items count="1">
    <i/>
  </colItems>
  <dataFields count="1">
    <dataField name="Average of registered" fld="14" subtotal="average" baseField="0" baseItem="0"/>
  </dataField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57E6DA-C889-42AA-9EB2-73E067330D39}"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7:B32" firstHeaderRow="1" firstDataRow="1" firstDataCol="1"/>
  <pivotFields count="25">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axis="axisRow"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pivotField showAll="0"/>
    <pivotField showAll="0"/>
    <pivotField showAll="0"/>
    <pivotField showAll="0"/>
    <pivotField showAll="0"/>
    <pivotField showAll="0"/>
    <pivotField showAll="0"/>
    <pivotField dataField="1" showAll="0"/>
    <pivotField showAll="0">
      <items count="3">
        <item x="0"/>
        <item x="1"/>
        <item t="default"/>
      </items>
    </pivotField>
    <pivotField showAll="0"/>
    <pivotField showAll="0">
      <items count="5">
        <item x="0"/>
        <item x="1"/>
        <item x="3"/>
        <item x="2"/>
        <item t="default"/>
      </items>
    </pivotField>
    <pivotField showAll="0">
      <items count="8">
        <item x="1"/>
        <item x="2"/>
        <item x="3"/>
        <item x="4"/>
        <item x="5"/>
        <item x="6"/>
        <item x="0"/>
        <item t="default"/>
      </items>
    </pivotField>
    <pivotField showAll="0"/>
    <pivotField showAll="0"/>
    <pivotField showAll="0">
      <items count="4">
        <item x="2"/>
        <item x="0"/>
        <item x="1"/>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Average of cnt" fld="15" subtotal="average" baseField="0" baseItem="0"/>
  </dataFields>
  <chartFormats count="2">
    <chartFormat chart="8"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F34D06F-7928-437D-BCA7-2320C69F97B8}"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B5" firstHeaderRow="1" firstDataRow="1" firstDataCol="1"/>
  <pivotFields count="25">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pivotField showAll="0"/>
    <pivotField showAll="0"/>
    <pivotField showAll="0"/>
    <pivotField showAll="0"/>
    <pivotField showAll="0"/>
    <pivotField showAll="0"/>
    <pivotField showAll="0"/>
    <pivotField dataField="1" showAll="0"/>
    <pivotField showAll="0">
      <items count="3">
        <item x="0"/>
        <item x="1"/>
        <item t="default"/>
      </items>
    </pivotField>
    <pivotField showAll="0"/>
    <pivotField showAll="0">
      <items count="5">
        <item x="0"/>
        <item x="1"/>
        <item x="3"/>
        <item x="2"/>
        <item t="default"/>
      </items>
    </pivotField>
    <pivotField showAll="0">
      <items count="8">
        <item x="1"/>
        <item x="2"/>
        <item x="3"/>
        <item x="4"/>
        <item x="5"/>
        <item x="6"/>
        <item x="0"/>
        <item t="default"/>
      </items>
    </pivotField>
    <pivotField showAll="0"/>
    <pivotField showAll="0"/>
    <pivotField axis="axisRow" showAll="0">
      <items count="4">
        <item x="2"/>
        <item x="0"/>
        <item x="1"/>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2"/>
  </rowFields>
  <rowItems count="4">
    <i>
      <x/>
    </i>
    <i>
      <x v="1"/>
    </i>
    <i>
      <x v="2"/>
    </i>
    <i t="grand">
      <x/>
    </i>
  </rowItems>
  <colItems count="1">
    <i/>
  </colItems>
  <dataFields count="1">
    <dataField name="Sum of cnt" fld="15" baseField="0" baseItem="0"/>
  </dataFields>
  <chartFormats count="1">
    <chartFormat chart="3"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D91591-97E4-4745-BAB4-97E4F97A2807}"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D1:E9" firstHeaderRow="1" firstDataRow="1" firstDataCol="1"/>
  <pivotFields count="25">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pivotField showAll="0"/>
    <pivotField showAll="0"/>
    <pivotField showAll="0"/>
    <pivotField showAll="0"/>
    <pivotField showAll="0"/>
    <pivotField showAll="0"/>
    <pivotField showAll="0"/>
    <pivotField dataField="1" showAll="0"/>
    <pivotField showAll="0">
      <items count="3">
        <item x="0"/>
        <item x="1"/>
        <item t="default"/>
      </items>
    </pivotField>
    <pivotField showAll="0"/>
    <pivotField showAll="0">
      <items count="5">
        <item x="0"/>
        <item x="1"/>
        <item x="3"/>
        <item x="2"/>
        <item t="default"/>
      </items>
    </pivotField>
    <pivotField axis="axisRow" showAll="0">
      <items count="8">
        <item x="1"/>
        <item x="2"/>
        <item x="3"/>
        <item x="4"/>
        <item x="5"/>
        <item x="6"/>
        <item x="0"/>
        <item t="default"/>
      </items>
    </pivotField>
    <pivotField showAll="0"/>
    <pivotField showAll="0"/>
    <pivotField showAll="0">
      <items count="4">
        <item x="2"/>
        <item x="0"/>
        <item x="1"/>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9"/>
  </rowFields>
  <rowItems count="8">
    <i>
      <x/>
    </i>
    <i>
      <x v="1"/>
    </i>
    <i>
      <x v="2"/>
    </i>
    <i>
      <x v="3"/>
    </i>
    <i>
      <x v="4"/>
    </i>
    <i>
      <x v="5"/>
    </i>
    <i>
      <x v="6"/>
    </i>
    <i t="grand">
      <x/>
    </i>
  </rowItems>
  <colItems count="1">
    <i/>
  </colItems>
  <dataFields count="1">
    <dataField name="Average of cnt" fld="15" subtotal="average" baseField="0" baseItem="0"/>
  </dataFields>
  <formats count="1">
    <format dxfId="3">
      <pivotArea dataOnly="0" labelOnly="1" outline="0" axis="axisValues" fieldPosition="0"/>
    </format>
  </formats>
  <chartFormats count="2">
    <chartFormat chart="16"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A8EAFF3-A3E7-4BC1-A474-51D0E79E6BF5}"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C15:E32" firstHeaderRow="1" firstDataRow="1" firstDataCol="0"/>
  <pivotFields count="25">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showAll="0"/>
    <pivotField showAll="0">
      <items count="5">
        <item x="0"/>
        <item x="1"/>
        <item x="3"/>
        <item x="2"/>
        <item t="default"/>
      </items>
    </pivotField>
    <pivotField showAll="0">
      <items count="8">
        <item x="1"/>
        <item x="2"/>
        <item x="3"/>
        <item x="4"/>
        <item x="5"/>
        <item x="6"/>
        <item x="0"/>
        <item t="default"/>
      </items>
    </pivotField>
    <pivotField showAll="0"/>
    <pivotField showAll="0"/>
    <pivotField showAll="0">
      <items count="4">
        <item x="2"/>
        <item x="0"/>
        <item x="1"/>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7BEA8A4-D792-42FF-930A-07C2D5750716}"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4:B39" firstHeaderRow="1" firstDataRow="1" firstDataCol="1"/>
  <pivotFields count="25">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dataField="1"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showAll="0"/>
    <pivotField axis="axisRow" showAll="0">
      <items count="5">
        <item x="0"/>
        <item x="1"/>
        <item x="3"/>
        <item x="2"/>
        <item t="default"/>
      </items>
    </pivotField>
    <pivotField showAll="0">
      <items count="8">
        <item x="1"/>
        <item x="2"/>
        <item x="3"/>
        <item x="4"/>
        <item x="5"/>
        <item x="6"/>
        <item x="0"/>
        <item t="default"/>
      </items>
    </pivotField>
    <pivotField showAll="0"/>
    <pivotField showAll="0"/>
    <pivotField showAll="0">
      <items count="4">
        <item x="2"/>
        <item x="0"/>
        <item x="1"/>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8"/>
  </rowFields>
  <rowItems count="5">
    <i>
      <x/>
    </i>
    <i>
      <x v="1"/>
    </i>
    <i>
      <x v="2"/>
    </i>
    <i>
      <x v="3"/>
    </i>
    <i t="grand">
      <x/>
    </i>
  </rowItems>
  <colItems count="1">
    <i/>
  </colItems>
  <dataFields count="1">
    <dataField name="Average of hr" fld="5" subtotal="average" baseField="0" baseItem="0"/>
  </dataFields>
  <chartFormats count="3">
    <chartFormat chart="3"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84B8260-43B8-4E0A-B53F-1CF082D6B942}"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D44:F47" firstHeaderRow="0" firstDataRow="1" firstDataCol="1"/>
  <pivotFields count="25">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pivotField showAll="0"/>
    <pivotField showAll="0"/>
    <pivotField showAll="0"/>
    <pivotField showAll="0"/>
    <pivotField showAll="0"/>
    <pivotField dataField="1" showAll="0"/>
    <pivotField dataField="1" showAll="0"/>
    <pivotField showAll="0"/>
    <pivotField axis="axisRow" showAll="0">
      <items count="3">
        <item x="0"/>
        <item x="1"/>
        <item t="default"/>
      </items>
    </pivotField>
    <pivotField showAll="0"/>
    <pivotField showAll="0">
      <items count="5">
        <item x="0"/>
        <item x="1"/>
        <item x="3"/>
        <item x="2"/>
        <item t="default"/>
      </items>
    </pivotField>
    <pivotField showAll="0">
      <items count="8">
        <item x="1"/>
        <item x="2"/>
        <item x="3"/>
        <item x="4"/>
        <item x="5"/>
        <item x="6"/>
        <item x="0"/>
        <item t="default"/>
      </items>
    </pivotField>
    <pivotField showAll="0"/>
    <pivotField showAll="0"/>
    <pivotField showAll="0">
      <items count="4">
        <item x="2"/>
        <item x="0"/>
        <item x="1"/>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6"/>
  </rowFields>
  <rowItems count="3">
    <i>
      <x/>
    </i>
    <i>
      <x v="1"/>
    </i>
    <i t="grand">
      <x/>
    </i>
  </rowItems>
  <colFields count="1">
    <field x="-2"/>
  </colFields>
  <colItems count="2">
    <i>
      <x/>
    </i>
    <i i="1">
      <x v="1"/>
    </i>
  </colItems>
  <dataFields count="2">
    <dataField name="Average of registered" fld="14" subtotal="average" baseField="0" baseItem="0"/>
    <dataField name="Average of casual" fld="13" subtotal="average" baseField="0" baseItem="0"/>
  </dataFields>
  <chartFormats count="16">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0"/>
          </reference>
        </references>
      </pivotArea>
    </chartFormat>
    <chartFormat chart="12" format="9">
      <pivotArea type="data" outline="0" fieldPosition="0">
        <references count="2">
          <reference field="4294967294" count="1" selected="0">
            <x v="0"/>
          </reference>
          <reference field="16" count="1" selected="0">
            <x v="0"/>
          </reference>
        </references>
      </pivotArea>
    </chartFormat>
    <chartFormat chart="12" format="10">
      <pivotArea type="data" outline="0" fieldPosition="0">
        <references count="2">
          <reference field="4294967294" count="1" selected="0">
            <x v="0"/>
          </reference>
          <reference field="16" count="1" selected="0">
            <x v="1"/>
          </reference>
        </references>
      </pivotArea>
    </chartFormat>
    <chartFormat chart="12" format="11" series="1">
      <pivotArea type="data" outline="0" fieldPosition="0">
        <references count="1">
          <reference field="4294967294" count="1" selected="0">
            <x v="1"/>
          </reference>
        </references>
      </pivotArea>
    </chartFormat>
    <chartFormat chart="12" format="12">
      <pivotArea type="data" outline="0" fieldPosition="0">
        <references count="2">
          <reference field="4294967294" count="1" selected="0">
            <x v="1"/>
          </reference>
          <reference field="16" count="1" selected="0">
            <x v="0"/>
          </reference>
        </references>
      </pivotArea>
    </chartFormat>
    <chartFormat chart="12" format="13">
      <pivotArea type="data" outline="0" fieldPosition="0">
        <references count="2">
          <reference field="4294967294" count="1" selected="0">
            <x v="1"/>
          </reference>
          <reference field="16" count="1" selected="0">
            <x v="1"/>
          </reference>
        </references>
      </pivotArea>
    </chartFormat>
    <chartFormat chart="10" format="2">
      <pivotArea type="data" outline="0" fieldPosition="0">
        <references count="2">
          <reference field="4294967294" count="1" selected="0">
            <x v="0"/>
          </reference>
          <reference field="16" count="1" selected="0">
            <x v="0"/>
          </reference>
        </references>
      </pivotArea>
    </chartFormat>
    <chartFormat chart="10" format="3">
      <pivotArea type="data" outline="0" fieldPosition="0">
        <references count="2">
          <reference field="4294967294" count="1" selected="0">
            <x v="0"/>
          </reference>
          <reference field="16" count="1" selected="0">
            <x v="1"/>
          </reference>
        </references>
      </pivotArea>
    </chartFormat>
    <chartFormat chart="10" format="4">
      <pivotArea type="data" outline="0" fieldPosition="0">
        <references count="2">
          <reference field="4294967294" count="1" selected="0">
            <x v="1"/>
          </reference>
          <reference field="16" count="1" selected="0">
            <x v="0"/>
          </reference>
        </references>
      </pivotArea>
    </chartFormat>
    <chartFormat chart="10" format="5">
      <pivotArea type="data" outline="0" fieldPosition="0">
        <references count="2">
          <reference field="4294967294" count="1" selected="0">
            <x v="1"/>
          </reference>
          <reference field="16" count="1" selected="0">
            <x v="1"/>
          </reference>
        </references>
      </pivotArea>
    </chartFormat>
    <chartFormat chart="12" format="14">
      <pivotArea type="data" outline="0" fieldPosition="0">
        <references count="1">
          <reference field="4294967294" count="1" selected="0">
            <x v="0"/>
          </reference>
        </references>
      </pivotArea>
    </chartFormat>
    <chartFormat chart="12" format="15">
      <pivotArea type="data" outline="0" fieldPosition="0">
        <references count="1">
          <reference field="4294967294" count="1" selected="0">
            <x v="1"/>
          </reference>
        </references>
      </pivotArea>
    </chartFormat>
    <chartFormat chart="10" format="6">
      <pivotArea type="data" outline="0" fieldPosition="0">
        <references count="1">
          <reference field="4294967294" count="1" selected="0">
            <x v="0"/>
          </reference>
        </references>
      </pivotArea>
    </chartFormat>
    <chartFormat chart="10" format="7">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7E120A1-7179-4E82-9FED-E1CF0D304FEC}"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C12:C13" firstHeaderRow="1" firstDataRow="1" firstDataCol="0"/>
  <pivotFields count="25">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pivotField showAll="0"/>
    <pivotField showAll="0"/>
    <pivotField showAll="0"/>
    <pivotField showAll="0"/>
    <pivotField showAll="0"/>
    <pivotField showAll="0"/>
    <pivotField dataField="1" showAll="0"/>
    <pivotField showAll="0"/>
    <pivotField showAll="0">
      <items count="3">
        <item x="0"/>
        <item x="1"/>
        <item t="default"/>
      </items>
    </pivotField>
    <pivotField showAll="0"/>
    <pivotField showAll="0">
      <items count="5">
        <item x="0"/>
        <item x="1"/>
        <item x="3"/>
        <item x="2"/>
        <item t="default"/>
      </items>
    </pivotField>
    <pivotField showAll="0">
      <items count="8">
        <item x="1"/>
        <item x="2"/>
        <item x="3"/>
        <item x="4"/>
        <item x="5"/>
        <item x="6"/>
        <item x="0"/>
        <item t="default"/>
      </items>
    </pivotField>
    <pivotField showAll="0"/>
    <pivotField showAll="0"/>
    <pivotField showAll="0">
      <items count="4">
        <item x="2"/>
        <item x="0"/>
        <item x="1"/>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registered" fld="14"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F5E27B14-6C09-4CAF-9D21-8418ADA955B2}" autoFormatId="16" applyNumberFormats="0" applyBorderFormats="0" applyFontFormats="0" applyPatternFormats="0" applyAlignmentFormats="0" applyWidthHeightFormats="0">
  <queryTableRefresh nextId="18" unboundColumnsRight="5">
    <queryTableFields count="15">
      <queryTableField id="1" name="instant" tableColumnId="1"/>
      <queryTableField id="2" name="dteday" tableColumnId="2"/>
      <queryTableField id="3" name="season" tableColumnId="3"/>
      <queryTableField id="4" name="yr" tableColumnId="4"/>
      <queryTableField id="5" name="mnth" tableColumnId="5"/>
      <queryTableField id="6" name="hr" tableColumnId="6"/>
      <queryTableField id="7" name="holiday" tableColumnId="7"/>
      <queryTableField id="8" name="weekday" tableColumnId="8"/>
      <queryTableField id="9" name="weathersit" tableColumnId="9"/>
      <queryTableField id="11" name="temp" tableColumnId="11"/>
      <queryTableField id="12" dataBound="0" tableColumnId="12"/>
      <queryTableField id="13" dataBound="0" tableColumnId="13"/>
      <queryTableField id="15" dataBound="0" tableColumnId="15"/>
      <queryTableField id="16" dataBound="0" tableColumnId="16"/>
      <queryTableField id="17" dataBound="0" tableColumnId="17"/>
    </queryTableFields>
    <queryTableDeletedFields count="1">
      <deletedField name="temp"/>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C18E3876-6D21-4A4E-967E-280651FEC738}" autoFormatId="16" applyNumberFormats="0" applyBorderFormats="0" applyFontFormats="0" applyPatternFormats="0" applyAlignmentFormats="0" applyWidthHeightFormats="0">
  <queryTableRefresh nextId="8">
    <queryTableFields count="7">
      <queryTableField id="1" name="instant" tableColumnId="1"/>
      <queryTableField id="2" name="atemp" tableColumnId="2"/>
      <queryTableField id="3" name="hum" tableColumnId="3"/>
      <queryTableField id="4" name="windspeed" tableColumnId="4"/>
      <queryTableField id="5" name="casual" tableColumnId="5"/>
      <queryTableField id="6" name="registered" tableColumnId="6"/>
      <queryTableField id="7" name="cnt"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7" xr16:uid="{5AC43BC8-76DE-42BE-8FB6-D193B404F067}" autoFormatId="16" applyNumberFormats="0" applyBorderFormats="0" applyFontFormats="0" applyPatternFormats="0" applyAlignmentFormats="0" applyWidthHeightFormats="0">
  <queryTableRefresh nextId="17">
    <queryTableFields count="16">
      <queryTableField id="1" name="instant" tableColumnId="1"/>
      <queryTableField id="2" name="dteday" tableColumnId="2"/>
      <queryTableField id="3" name="season" tableColumnId="3"/>
      <queryTableField id="4" name="yr" tableColumnId="4"/>
      <queryTableField id="5" name="mnth" tableColumnId="5"/>
      <queryTableField id="6" name="hr" tableColumnId="6"/>
      <queryTableField id="7" name="holiday" tableColumnId="7"/>
      <queryTableField id="8" name="weekday" tableColumnId="8"/>
      <queryTableField id="9" name="weathersit" tableColumnId="9"/>
      <queryTableField id="10" name="temp" tableColumnId="10"/>
      <queryTableField id="11" name="atemp" tableColumnId="11"/>
      <queryTableField id="12" name="hum" tableColumnId="12"/>
      <queryTableField id="13" name="windspeed" tableColumnId="13"/>
      <queryTableField id="14" name="casual" tableColumnId="14"/>
      <queryTableField id="15" name="registered" tableColumnId="15"/>
      <queryTableField id="16" name="cnt" tableColumnId="1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9" xr16:uid="{01EB6917-BCFB-434E-B392-6FF3B9EF7F48}" autoFormatId="16" applyNumberFormats="0" applyBorderFormats="0" applyFontFormats="0" applyPatternFormats="0" applyAlignmentFormats="0" applyWidthHeightFormats="0">
  <queryTableRefresh nextId="23">
    <queryTableFields count="16">
      <queryTableField id="1" name="instant" tableColumnId="1"/>
      <queryTableField id="2" name="dteday" tableColumnId="2"/>
      <queryTableField id="3" name="season" tableColumnId="3"/>
      <queryTableField id="4" name="yr" tableColumnId="4"/>
      <queryTableField id="5" name="mnth" tableColumnId="5"/>
      <queryTableField id="6" name="hr" tableColumnId="6"/>
      <queryTableField id="7" name="holiday" tableColumnId="7"/>
      <queryTableField id="8" name="weekday" tableColumnId="8"/>
      <queryTableField id="9" name="weathersit" tableColumnId="9"/>
      <queryTableField id="10" name="temp" tableColumnId="10"/>
      <queryTableField id="17" name="atemp" tableColumnId="17"/>
      <queryTableField id="18" name="hum" tableColumnId="18"/>
      <queryTableField id="19" name="windspeed" tableColumnId="19"/>
      <queryTableField id="20" name="casual" tableColumnId="20"/>
      <queryTableField id="21" name="registered" tableColumnId="21"/>
      <queryTableField id="22" name="cnt" tableColumnId="2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1" xr16:uid="{2196B8FF-61DB-473C-9817-A5D1338EA3BD}" autoFormatId="16" applyNumberFormats="0" applyBorderFormats="0" applyFontFormats="0" applyPatternFormats="0" applyAlignmentFormats="0" applyWidthHeightFormats="0">
  <queryTableRefresh nextId="46" unboundColumnsRight="2">
    <queryTableFields count="23">
      <queryTableField id="1" name="instant" tableColumnId="1"/>
      <queryTableField id="2" name="dteday" tableColumnId="2"/>
      <queryTableField id="3" name="season" tableColumnId="3"/>
      <queryTableField id="4" name="yr" tableColumnId="4"/>
      <queryTableField id="5" name="mnth" tableColumnId="5"/>
      <queryTableField id="6" name="hr" tableColumnId="6"/>
      <queryTableField id="7" name="holiday" tableColumnId="7"/>
      <queryTableField id="8" name="weekday" tableColumnId="8"/>
      <queryTableField id="9" name="weathersit" tableColumnId="9"/>
      <queryTableField id="10" name="temp" tableColumnId="10"/>
      <queryTableField id="38" name="atemp" tableColumnId="25"/>
      <queryTableField id="39" name="hum" tableColumnId="26"/>
      <queryTableField id="19" name="windspeed" tableColumnId="19"/>
      <queryTableField id="20" name="casual" tableColumnId="20"/>
      <queryTableField id="21" name="registered" tableColumnId="21"/>
      <queryTableField id="40" name="cnt" tableColumnId="27"/>
      <queryTableField id="31" name="Month_lookup" tableColumnId="22"/>
      <queryTableField id="24" name="season_name" tableColumnId="12"/>
      <queryTableField id="25" name="Weathersit_lookup" tableColumnId="13"/>
      <queryTableField id="32" name="Weekday_lookup" tableColumnId="23"/>
      <queryTableField id="33" name="Year_lookup" tableColumnId="24"/>
      <queryTableField id="44" dataBound="0" tableColumnId="28"/>
      <queryTableField id="45" dataBound="0"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day_lookup" xr10:uid="{D19A95B9-3C16-4070-A6EF-310D025D5951}" sourceName="Weekday_lookup">
  <pivotTables>
    <pivotTable tabId="6" name="PivotTable2"/>
    <pivotTable tabId="6" name="PivotTable1"/>
    <pivotTable tabId="6" name="PivotTable3"/>
    <pivotTable tabId="6" name="PivotTable5"/>
    <pivotTable tabId="6" name="PivotTable6"/>
    <pivotTable tabId="6" name="PivotTable8"/>
    <pivotTable tabId="6" name="PivotTable9"/>
    <pivotTable tabId="6" name="PivotTable4"/>
  </pivotTables>
  <data>
    <tabular pivotCacheId="2130051118">
      <items count="7">
        <i x="1" s="1"/>
        <i x="2" s="1"/>
        <i x="3" s="1"/>
        <i x="4" s="1"/>
        <i x="5" s="1"/>
        <i x="6"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day_weedend_lookup" xr10:uid="{F8A234C2-5076-48A2-8D0A-9AFAFC94916E}" sourceName="weekday_weedend_lookup">
  <pivotTables>
    <pivotTable tabId="6" name="PivotTable1"/>
    <pivotTable tabId="6" name="PivotTable2"/>
    <pivotTable tabId="6" name="PivotTable3"/>
    <pivotTable tabId="6" name="PivotTable5"/>
    <pivotTable tabId="6" name="PivotTable6"/>
    <pivotTable tabId="6" name="PivotTable8"/>
    <pivotTable tabId="6" name="PivotTable9"/>
    <pivotTable tabId="6" name="PivotTable4"/>
  </pivotTables>
  <data>
    <tabular pivotCacheId="2130051118">
      <items count="3">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r" xr10:uid="{ACA4E0A1-1ECF-4370-84A9-7811A68C1CD5}" sourceName="hr">
  <pivotTables>
    <pivotTable tabId="6" name="PivotTable3"/>
    <pivotTable tabId="6" name="PivotTable1"/>
    <pivotTable tabId="6" name="PivotTable2"/>
    <pivotTable tabId="6" name="PivotTable5"/>
    <pivotTable tabId="6" name="PivotTable6"/>
    <pivotTable tabId="6" name="PivotTable8"/>
    <pivotTable tabId="6" name="PivotTable9"/>
    <pivotTable tabId="6" name="PivotTable4"/>
  </pivotTables>
  <data>
    <tabular pivotCacheId="2130051118">
      <items count="24">
        <i x="0" s="1"/>
        <i x="1" s="1"/>
        <i x="2" s="1"/>
        <i x="3" s="1"/>
        <i x="4" s="1"/>
        <i x="5" s="1"/>
        <i x="6" s="1"/>
        <i x="7" s="1"/>
        <i x="8" s="1"/>
        <i x="9" s="1"/>
        <i x="10" s="1"/>
        <i x="11" s="1"/>
        <i x="12" s="1"/>
        <i x="13" s="1"/>
        <i x="14" s="1"/>
        <i x="15" s="1"/>
        <i x="16" s="1"/>
        <i x="17" s="1"/>
        <i x="18" s="1"/>
        <i x="19" s="1"/>
        <i x="20" s="1"/>
        <i x="21" s="1"/>
        <i x="22" s="1"/>
        <i x="2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athersit_lookup" xr10:uid="{33C28ED5-523B-4736-A86E-615FC8A3CE87}" sourceName="Weathersit_lookup">
  <pivotTables>
    <pivotTable tabId="6" name="PivotTable5"/>
    <pivotTable tabId="6" name="PivotTable6"/>
    <pivotTable tabId="6" name="PivotTable1"/>
    <pivotTable tabId="6" name="PivotTable2"/>
    <pivotTable tabId="6" name="PivotTable3"/>
    <pivotTable tabId="6" name="PivotTable8"/>
    <pivotTable tabId="6" name="PivotTable9"/>
    <pivotTable tabId="6" name="PivotTable4"/>
  </pivotTables>
  <data>
    <tabular pivotCacheId="2130051118">
      <items count="4">
        <i x="0" s="1"/>
        <i x="1" s="1"/>
        <i x="3"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lookup" xr10:uid="{637ADBD2-A4B2-4408-9EF8-0A496C6B9B7E}" sourceName="Month_lookup">
  <pivotTables>
    <pivotTable tabId="6" name="PivotTable6"/>
    <pivotTable tabId="6" name="PivotTable1"/>
    <pivotTable tabId="6" name="PivotTable2"/>
    <pivotTable tabId="6" name="PivotTable3"/>
    <pivotTable tabId="6" name="PivotTable5"/>
    <pivotTable tabId="6" name="PivotTable8"/>
    <pivotTable tabId="6" name="PivotTable9"/>
    <pivotTable tabId="6" name="PivotTable4"/>
  </pivotTables>
  <data>
    <tabular pivotCacheId="2130051118">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ekday_lookup" xr10:uid="{E2B77E11-5EEC-40C5-991A-AB9C4840D0F2}" cache="Slicer_Weekday_lookup" caption="Weekday_lookup" rowHeight="257175"/>
  <slicer name="weekday_weedend_lookup" xr10:uid="{D3A1367D-96D8-4A20-AF29-52558CA4C5C9}" cache="Slicer_weekday_weedend_lookup" caption="weekday_weedend_lookup" rowHeight="257175"/>
  <slicer name="hr" xr10:uid="{D00A4C1B-6DFD-486E-800A-E2E901C62A35}" cache="Slicer_hr" caption="hr" rowHeight="257175"/>
  <slicer name="Weathersit_lookup" xr10:uid="{76FA52CF-FBC1-4C3D-860C-78D42A1767B2}" cache="Slicer_Weathersit_lookup" caption="Weathersit_lookup" rowHeight="257175"/>
  <slicer name="Month_lookup" xr10:uid="{2451F63F-04F7-4BDF-8707-B2F036AAAC91}" cache="Slicer_Month_lookup" caption="Month_lookup"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ekday_lookup 1" xr10:uid="{5C682B63-44E3-4466-91F5-6DB668200751}" cache="Slicer_Weekday_lookup" caption="Weekday_lookup" style="SlicerStyleDark1" rowHeight="257175"/>
  <slicer name="weekday_weedend_lookup 1" xr10:uid="{6EB6C2FF-2F01-41D0-84A5-9E36BFEB448E}" cache="Slicer_weekday_weedend_lookup" caption="weekday_weedend_lookup" style="SlicerStyleDark1" rowHeight="257175"/>
  <slicer name="hr 1" xr10:uid="{03714C87-3E28-4D4B-B9C6-BC5988943650}" cache="Slicer_hr" caption="hr" columnCount="24" rowHeight="257175"/>
  <slicer name="Weathersit_lookup 1" xr10:uid="{9194BB4C-BCA6-41C3-BBB3-063D039F1676}" cache="Slicer_Weathersit_lookup" caption="Weathersit_lookup" style="SlicerStyleDark1" rowHeight="257175"/>
  <slicer name="Month_lookup 1" xr10:uid="{4BDFD8A0-D090-4BE8-BA84-4C23BD11F1FC}" cache="Slicer_Month_lookup" caption="Month_lookup" style="SlicerStyleDark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64934F-41BB-4053-B1FF-7CFE5F2E5C50}" name="dataset_1" displayName="dataset_1" ref="A2:O612" tableType="queryTable" totalsRowShown="0" headerRowDxfId="94" dataDxfId="92" headerRowBorderDxfId="93" tableBorderDxfId="91" totalsRowBorderDxfId="90">
  <autoFilter ref="A2:O612" xr:uid="{5C64934F-41BB-4053-B1FF-7CFE5F2E5C50}"/>
  <tableColumns count="15">
    <tableColumn id="1" xr3:uid="{AF6E14D3-1549-434F-A582-8F52BDAD7CFC}" uniqueName="1" name="instant" queryTableFieldId="1" dataDxfId="89"/>
    <tableColumn id="2" xr3:uid="{FE5EB27D-8C1E-4E08-BA73-F155D9B723D8}" uniqueName="2" name="dteday" queryTableFieldId="2" dataDxfId="88"/>
    <tableColumn id="3" xr3:uid="{817D8881-F35E-4CCF-83AB-8E48DFB20505}" uniqueName="3" name="season" queryTableFieldId="3" dataDxfId="87"/>
    <tableColumn id="4" xr3:uid="{E5AC4C8E-C657-4CFF-8EEB-F322D6F99F86}" uniqueName="4" name="yr" queryTableFieldId="4" dataDxfId="86"/>
    <tableColumn id="5" xr3:uid="{A426D39B-DD97-453B-A393-D10E29AB50EB}" uniqueName="5" name="mnth" queryTableFieldId="5" dataDxfId="85"/>
    <tableColumn id="6" xr3:uid="{B60D9004-F84A-467C-9139-1E4BA9427D0C}" uniqueName="6" name="hr" queryTableFieldId="6" dataDxfId="84"/>
    <tableColumn id="7" xr3:uid="{1FB2BAD1-105C-4CE2-A4F6-5652B61DD52B}" uniqueName="7" name="holiday" queryTableFieldId="7" dataDxfId="83"/>
    <tableColumn id="8" xr3:uid="{928560A8-8BAA-4552-8E49-FB74BAF82524}" uniqueName="8" name="weekday" queryTableFieldId="8" dataDxfId="82"/>
    <tableColumn id="9" xr3:uid="{235E9E88-3367-4CE9-B876-665D0C5A4FE2}" uniqueName="9" name="weathersit" queryTableFieldId="9" dataDxfId="81"/>
    <tableColumn id="11" xr3:uid="{E5511998-5C28-4B62-A127-1A0D5E5BA56E}" uniqueName="11" name="temp" queryTableFieldId="11" dataDxfId="80"/>
    <tableColumn id="12" xr3:uid="{15B5D055-EF83-444F-BB3B-70C79679CF05}" uniqueName="12" name="Date" queryTableFieldId="12" dataDxfId="79">
      <calculatedColumnFormula>TEXT(B3,"dddd")</calculatedColumnFormula>
    </tableColumn>
    <tableColumn id="13" xr3:uid="{6A1485FA-C6E4-4B22-AB46-A1A0B1E75F98}" uniqueName="13" name="Month" queryTableFieldId="13" dataDxfId="78">
      <calculatedColumnFormula>TEXT(B3,"mmmm")</calculatedColumnFormula>
    </tableColumn>
    <tableColumn id="15" xr3:uid="{0851AE15-9A2F-436C-B2E1-FBAC8A256CDC}" uniqueName="15" name="custom_season" queryTableFieldId="15" dataDxfId="77">
      <calculatedColumnFormula>IF(C3=1,"Spring",IF(C3=2,"Summer",IF(C3=3,"Fall","Winter")))</calculatedColumnFormula>
    </tableColumn>
    <tableColumn id="16" xr3:uid="{B51877A3-CF34-44B3-AF9A-E5B53FA51759}" uniqueName="16" name="custom_weekdays" queryTableFieldId="16" dataDxfId="76">
      <calculatedColumnFormula>IF(H3=0,"Sunday",IF(H3=1,"Monday",IF(H3=2,"Tuesday",IF(H3=3,"Wednesday",IF(H3=4,"Thursday",IF(H3=5,"Friday","Saturday"))))))</calculatedColumnFormula>
    </tableColumn>
    <tableColumn id="17" xr3:uid="{7FDC6124-4307-4340-A6F1-CD47DF2BB890}" uniqueName="17" name="Custom_weather_sit" queryTableFieldId="17">
      <calculatedColumnFormula>IF(I3=1,"Clear",IF(I3=2,"Cloudy",IF(I3=3,"Rain","Heavy Rain")))</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15DCA6B-9E8F-4DEF-936F-F42D3535BE03}" name="dataset_2" displayName="dataset_2" ref="A2:G612" tableType="queryTable" totalsRowShown="0" headerRowDxfId="75" dataDxfId="74">
  <autoFilter ref="A2:G612" xr:uid="{215DCA6B-9E8F-4DEF-936F-F42D3535BE03}"/>
  <tableColumns count="7">
    <tableColumn id="1" xr3:uid="{9966E7D3-1E6D-47C3-99A2-2293B406393A}" uniqueName="1" name="instant" queryTableFieldId="1" dataDxfId="73"/>
    <tableColumn id="2" xr3:uid="{86D6A947-47DD-4135-AE1B-7F11E5AA6BF4}" uniqueName="2" name="atemp" queryTableFieldId="2" dataDxfId="72"/>
    <tableColumn id="3" xr3:uid="{93BFB6C7-E51A-42A9-AB31-982AE4DB11F8}" uniqueName="3" name="hum" queryTableFieldId="3" dataDxfId="71"/>
    <tableColumn id="4" xr3:uid="{F6F3010B-962E-4174-B0B7-B1D7F508F72A}" uniqueName="4" name="windspeed" queryTableFieldId="4" dataDxfId="70"/>
    <tableColumn id="5" xr3:uid="{9B5B35BD-36FB-48B7-BF6D-F127C8A90D35}" uniqueName="5" name="casual" queryTableFieldId="5" dataDxfId="69"/>
    <tableColumn id="6" xr3:uid="{C7EBD292-0564-4CD7-9613-46DE36018A6B}" uniqueName="6" name="registered" queryTableFieldId="6" dataDxfId="68"/>
    <tableColumn id="7" xr3:uid="{318078F5-837A-4B5C-A7C7-5723C96ED4A2}" uniqueName="7" name="cnt" queryTableFieldId="7" dataDxfId="6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0C341C0-C99B-40FB-B81D-AA8894963C79}" name="dataset_3" displayName="dataset_3" ref="A2:P392" tableType="queryTable" totalsRowShown="0" headerRowDxfId="66" dataDxfId="65">
  <autoFilter ref="A2:P392" xr:uid="{90C341C0-C99B-40FB-B81D-AA8894963C79}"/>
  <tableColumns count="16">
    <tableColumn id="1" xr3:uid="{895CB29B-E60F-4DD0-8892-75B3119FA0DD}" uniqueName="1" name="instant" queryTableFieldId="1" dataDxfId="64"/>
    <tableColumn id="2" xr3:uid="{A2ECE023-CE33-4E36-AD21-DA6889C9AF1F}" uniqueName="2" name="dteday" queryTableFieldId="2" dataDxfId="63"/>
    <tableColumn id="3" xr3:uid="{4D48E571-30FC-4235-805F-2DD18ED1BDC0}" uniqueName="3" name="season" queryTableFieldId="3" dataDxfId="62"/>
    <tableColumn id="4" xr3:uid="{20A46DBB-D07F-4C1C-A7DF-EF04AB3D8FB2}" uniqueName="4" name="yr" queryTableFieldId="4" dataDxfId="61"/>
    <tableColumn id="5" xr3:uid="{B9F32FFA-3F84-45E6-BAB0-D3BC967DEBC5}" uniqueName="5" name="mnth" queryTableFieldId="5" dataDxfId="60"/>
    <tableColumn id="6" xr3:uid="{7368BE97-7C5C-44D4-80CD-5AC8C407ABEA}" uniqueName="6" name="hr" queryTableFieldId="6" dataDxfId="59"/>
    <tableColumn id="7" xr3:uid="{BF25CE49-8466-4940-9044-084E23FC8BFF}" uniqueName="7" name="holiday" queryTableFieldId="7" dataDxfId="58"/>
    <tableColumn id="8" xr3:uid="{A483DF54-BD09-4CFE-B591-BC283FC89F3A}" uniqueName="8" name="weekday" queryTableFieldId="8" dataDxfId="57"/>
    <tableColumn id="9" xr3:uid="{D6A24415-84A2-4862-A7BB-EB1B943ED8A2}" uniqueName="9" name="weathersit" queryTableFieldId="9" dataDxfId="56"/>
    <tableColumn id="10" xr3:uid="{89BAFE47-95C9-4F88-897D-372E30A06366}" uniqueName="10" name="temp" queryTableFieldId="10" dataDxfId="55"/>
    <tableColumn id="11" xr3:uid="{F8168043-4020-440E-BAB7-989358AFC5AE}" uniqueName="11" name="atemp" queryTableFieldId="11" dataDxfId="54"/>
    <tableColumn id="12" xr3:uid="{76A7933B-5559-4CEA-95FD-96131D7281BF}" uniqueName="12" name="hum" queryTableFieldId="12" dataDxfId="53"/>
    <tableColumn id="13" xr3:uid="{E4B58F55-1549-4109-986B-828310B6E978}" uniqueName="13" name="windspeed" queryTableFieldId="13" dataDxfId="52"/>
    <tableColumn id="14" xr3:uid="{4044DD8C-9314-48E2-8D2F-30D87F409437}" uniqueName="14" name="casual" queryTableFieldId="14" dataDxfId="51"/>
    <tableColumn id="15" xr3:uid="{357518F0-A167-4A76-A1EE-11BFFE5C389E}" uniqueName="15" name="registered" queryTableFieldId="15" dataDxfId="50"/>
    <tableColumn id="16" xr3:uid="{F9D42390-D543-4735-A5AE-91CCABAD7342}" uniqueName="16" name="cnt" queryTableFieldId="16" dataDxfId="4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B817B03-718C-4DE2-850E-50914403FCFB}" name="dataset_a" displayName="dataset_a" ref="A2:P612" tableType="queryTable" totalsRowShown="0" headerRowDxfId="48" dataDxfId="47">
  <autoFilter ref="A2:P612" xr:uid="{4B817B03-718C-4DE2-850E-50914403FCFB}"/>
  <tableColumns count="16">
    <tableColumn id="1" xr3:uid="{EE3D628E-886B-433C-996C-83CC5A1DD20D}" uniqueName="1" name="instant" queryTableFieldId="1" dataDxfId="46"/>
    <tableColumn id="2" xr3:uid="{D0CE5CA3-E085-4072-A4D9-EE08169B9766}" uniqueName="2" name="dteday" queryTableFieldId="2" dataDxfId="45"/>
    <tableColumn id="3" xr3:uid="{5A31D841-8C8C-4636-BB3F-FF83A954789F}" uniqueName="3" name="season" queryTableFieldId="3" dataDxfId="44"/>
    <tableColumn id="4" xr3:uid="{F864FF8C-3F0D-461E-9050-5A939D51297A}" uniqueName="4" name="yr" queryTableFieldId="4" dataDxfId="43"/>
    <tableColumn id="5" xr3:uid="{CAF67034-D724-4AA9-BE8B-E7C4261F9A3A}" uniqueName="5" name="mnth" queryTableFieldId="5" dataDxfId="42"/>
    <tableColumn id="6" xr3:uid="{84E322C0-527B-46B9-BD96-10B279B0C73D}" uniqueName="6" name="hr" queryTableFieldId="6" dataDxfId="41"/>
    <tableColumn id="7" xr3:uid="{A8C8CACA-6B9C-44BD-9AE5-22D73803660A}" uniqueName="7" name="holiday" queryTableFieldId="7" dataDxfId="40"/>
    <tableColumn id="8" xr3:uid="{5375E71D-65AA-4899-AF5A-AB2A2AD26A15}" uniqueName="8" name="weekday" queryTableFieldId="8" dataDxfId="39"/>
    <tableColumn id="9" xr3:uid="{72B2916E-1B2F-40A7-BFE9-2817E10D99E9}" uniqueName="9" name="weathersit" queryTableFieldId="9" dataDxfId="38"/>
    <tableColumn id="10" xr3:uid="{6424AEC3-EE20-4D9F-B77F-CC6B6B73863C}" uniqueName="10" name="temp" queryTableFieldId="10" dataDxfId="37"/>
    <tableColumn id="17" xr3:uid="{F1089933-70FC-4B1F-B13C-A1E172342E2E}" uniqueName="17" name="atemp" queryTableFieldId="17"/>
    <tableColumn id="18" xr3:uid="{F534DE13-B32B-4000-8F52-CAE2C4C570A8}" uniqueName="18" name="hum" queryTableFieldId="18"/>
    <tableColumn id="19" xr3:uid="{9410924B-7B96-497A-9C40-037E9123E17A}" uniqueName="19" name="windspeed" queryTableFieldId="19"/>
    <tableColumn id="20" xr3:uid="{EC0BEC77-1F4D-4E64-AB78-502B19A44578}" uniqueName="20" name="casual" queryTableFieldId="20"/>
    <tableColumn id="21" xr3:uid="{FB97F55F-665B-41A6-836F-E94016E4FD51}" uniqueName="21" name="registered" queryTableFieldId="21"/>
    <tableColumn id="22" xr3:uid="{164B6B40-B98A-44F6-8187-7822ED613AA9}" uniqueName="22" name="cnt" queryTableFieldId="2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5324326-5D34-47F3-B1E5-00668352C88A}" name="dataset_b" displayName="dataset_b" ref="A2:W1002" tableType="queryTable" totalsRowShown="0" headerRowDxfId="36" dataDxfId="34" headerRowBorderDxfId="35" tableBorderDxfId="33" totalsRowBorderDxfId="32">
  <autoFilter ref="A2:W1002" xr:uid="{85324326-5D34-47F3-B1E5-00668352C88A}"/>
  <tableColumns count="23">
    <tableColumn id="1" xr3:uid="{20A77A5D-5232-40CB-B6AB-370B75422AFF}" uniqueName="1" name="instant" queryTableFieldId="1" dataDxfId="31"/>
    <tableColumn id="2" xr3:uid="{9286034C-8C34-4BC9-AAE2-16375B89F004}" uniqueName="2" name="dteday" queryTableFieldId="2" dataDxfId="30"/>
    <tableColumn id="3" xr3:uid="{BE9FC3F1-164E-435E-AD2F-5278FB079415}" uniqueName="3" name="season" queryTableFieldId="3" dataDxfId="29"/>
    <tableColumn id="4" xr3:uid="{167B0B34-C2A0-43C0-A7E7-51161200D0BB}" uniqueName="4" name="yr" queryTableFieldId="4" dataDxfId="28"/>
    <tableColumn id="5" xr3:uid="{3B8D262A-E277-40CB-8977-DCA4BF4BCB98}" uniqueName="5" name="mnth" queryTableFieldId="5" dataDxfId="27"/>
    <tableColumn id="6" xr3:uid="{2E2A231A-20D3-4C9C-8795-B521E125ABA6}" uniqueName="6" name="hr" queryTableFieldId="6" dataDxfId="26"/>
    <tableColumn id="7" xr3:uid="{FF29ABD4-F59D-47EA-9AC8-096033F87066}" uniqueName="7" name="holiday" queryTableFieldId="7" dataDxfId="25"/>
    <tableColumn id="8" xr3:uid="{CDC0709D-8FD9-41C4-89DF-E8670101BAB4}" uniqueName="8" name="weekday" queryTableFieldId="8" dataDxfId="24"/>
    <tableColumn id="9" xr3:uid="{ADF04096-5EF6-4666-AE61-0B7DB9FD3441}" uniqueName="9" name="weathersit" queryTableFieldId="9" dataDxfId="23"/>
    <tableColumn id="10" xr3:uid="{1B7C8811-2E92-4188-8A62-DDCE91275285}" uniqueName="10" name="temp" queryTableFieldId="10" dataDxfId="22"/>
    <tableColumn id="25" xr3:uid="{75837495-3D35-4F56-BDDD-AAA12C9AD56B}" uniqueName="25" name="atemp" queryTableFieldId="38"/>
    <tableColumn id="26" xr3:uid="{A78AD9E4-4717-4D82-89C8-6331A8C731A4}" uniqueName="26" name="hum" queryTableFieldId="39"/>
    <tableColumn id="19" xr3:uid="{C5CA4DAF-518E-4254-81D0-13A3627058A3}" uniqueName="19" name="windspeed" queryTableFieldId="19" dataDxfId="21"/>
    <tableColumn id="20" xr3:uid="{DC4854E7-6B2D-4A32-8DDA-8AB36ECDCB58}" uniqueName="20" name="casual" queryTableFieldId="20" dataDxfId="20"/>
    <tableColumn id="21" xr3:uid="{DE608A40-CF36-446A-9F9E-FA817F47200B}" uniqueName="21" name="registered" queryTableFieldId="21" dataDxfId="19"/>
    <tableColumn id="27" xr3:uid="{63BF4652-30AB-487C-9EE4-A77ED2BC37F1}" uniqueName="27" name="cnt" queryTableFieldId="40"/>
    <tableColumn id="22" xr3:uid="{92F2D001-6855-4299-A9BE-CCBD3850186D}" uniqueName="22" name="Month_lookup" queryTableFieldId="31" dataDxfId="18"/>
    <tableColumn id="12" xr3:uid="{A13FC742-9F8D-4511-9D13-37E4CB761C48}" uniqueName="12" name="season_name" queryTableFieldId="24" dataDxfId="17"/>
    <tableColumn id="13" xr3:uid="{55D5FE60-7855-456D-8214-05E423683DB9}" uniqueName="13" name="Weathersit_lookup" queryTableFieldId="25" dataDxfId="16"/>
    <tableColumn id="23" xr3:uid="{665F567B-79B9-4B65-90FF-7FD917F664D1}" uniqueName="23" name="Weekday_lookup" queryTableFieldId="32" dataDxfId="15"/>
    <tableColumn id="24" xr3:uid="{50752CCC-8547-4B29-B6D3-D67AEACA9116}" uniqueName="24" name="Year_lookup" queryTableFieldId="33" dataDxfId="14"/>
    <tableColumn id="28" xr3:uid="{E53C32A6-25F2-4FBA-A5EB-C2FA07E2FFED}" uniqueName="28" name="MOST_HUMID_DAY" queryTableFieldId="44" dataDxfId="13">
      <calculatedColumnFormula>INDEX(B3:B1001,MATCH(MAX(K3:K1001),K3:K1001,0))</calculatedColumnFormula>
    </tableColumn>
    <tableColumn id="11" xr3:uid="{5B4F49EC-2083-4F81-99CA-A0F4AA483447}" uniqueName="11" name="weekday_weedend_lookup" queryTableFieldId="45" dataDxfId="12">
      <calculatedColumnFormula>IF(G3=TRUE,"Holiday",IF(OR(H3=0,H3=6),"Weedend","Weekday"))</calculatedColumnFormula>
    </tableColumn>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ECBBE1-C6FB-4C14-BD4D-1F1C29EB084C}" name="Table7" displayName="Table7" ref="A1:E217" totalsRowShown="0">
  <autoFilter ref="A1:E217" xr:uid="{1BECBBE1-C6FB-4C14-BD4D-1F1C29EB084C}"/>
  <tableColumns count="5">
    <tableColumn id="1" xr3:uid="{BF65F068-5036-4BCE-AFAB-76243FE23781}" name="Forecast Date/Time" dataDxfId="11"/>
    <tableColumn id="2" xr3:uid="{ADC6157E-D542-4A31-AF6E-C68C7772CB45}" name="Average rides"/>
    <tableColumn id="3" xr3:uid="{C522FA9A-675B-48AD-B409-736D9A82849E}" name="Forecast(Average rides)">
      <calculatedColumnFormula>_xlfn.FORECAST.ETS(A2,$B$2:$B$169,$A$2:$A$169,1,1)</calculatedColumnFormula>
    </tableColumn>
    <tableColumn id="4" xr3:uid="{C50E8AD3-9AD8-48DC-AAC5-617215A922FB}" name="Lower Confidence Bound(Average rides)" dataDxfId="10">
      <calculatedColumnFormula>C2-_xlfn.FORECAST.ETS.CONFINT(A2,$B$2:$B$169,$A$2:$A$169,0.95,1,1)</calculatedColumnFormula>
    </tableColumn>
    <tableColumn id="5" xr3:uid="{004755CE-2DA6-4289-8835-9C3B597781A3}" name="Upper Confidence Bound(Average rides)" dataDxfId="9">
      <calculatedColumnFormula>C2+_xlfn.FORECAST.ETS.CONFINT(A2,$B$2:$B$169,$A$2:$A$169,0.95,1,1)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6E34A-7F20-41E7-B143-A6762F0DDBE2}">
  <dimension ref="A1:O612"/>
  <sheetViews>
    <sheetView workbookViewId="0">
      <selection activeCell="O3" sqref="O3"/>
    </sheetView>
  </sheetViews>
  <sheetFormatPr defaultRowHeight="15" x14ac:dyDescent="0.25"/>
  <cols>
    <col min="1" max="1" width="11.7109375" style="2" bestFit="1" customWidth="1"/>
    <col min="2" max="2" width="11.7109375" style="13" bestFit="1" customWidth="1"/>
    <col min="3" max="3" width="11.7109375" style="2" bestFit="1" customWidth="1"/>
    <col min="4" max="4" width="7.28515625" style="2" bestFit="1" customWidth="1"/>
    <col min="5" max="5" width="10.28515625" style="2" bestFit="1" customWidth="1"/>
    <col min="6" max="6" width="7.42578125" style="2" bestFit="1" customWidth="1"/>
    <col min="7" max="7" width="12.140625" style="2" bestFit="1" customWidth="1"/>
    <col min="8" max="8" width="13.5703125" style="2" bestFit="1" customWidth="1"/>
    <col min="9" max="9" width="15.140625" style="2" bestFit="1" customWidth="1"/>
    <col min="10" max="10" width="8" style="2" bestFit="1" customWidth="1"/>
    <col min="11" max="12" width="9.140625" style="2"/>
    <col min="13" max="13" width="13.140625" style="2" customWidth="1"/>
    <col min="14" max="14" width="12" style="2" customWidth="1"/>
    <col min="15" max="15" width="23.140625" bestFit="1" customWidth="1"/>
    <col min="16" max="16384" width="9.140625" style="2"/>
  </cols>
  <sheetData>
    <row r="1" spans="1:15" ht="30" x14ac:dyDescent="0.45">
      <c r="A1" s="50" t="s">
        <v>0</v>
      </c>
      <c r="B1" s="50"/>
      <c r="C1" s="50"/>
      <c r="D1" s="50"/>
      <c r="E1" s="50"/>
      <c r="F1" s="50"/>
      <c r="G1" s="50"/>
      <c r="H1" s="50"/>
      <c r="I1" s="50"/>
      <c r="J1" s="1"/>
    </row>
    <row r="2" spans="1:15" x14ac:dyDescent="0.25">
      <c r="A2" s="3" t="s">
        <v>1</v>
      </c>
      <c r="B2" s="4" t="s">
        <v>2</v>
      </c>
      <c r="C2" s="5" t="s">
        <v>3</v>
      </c>
      <c r="D2" s="5" t="s">
        <v>4</v>
      </c>
      <c r="E2" s="5" t="s">
        <v>5</v>
      </c>
      <c r="F2" s="5" t="s">
        <v>6</v>
      </c>
      <c r="G2" s="5" t="s">
        <v>7</v>
      </c>
      <c r="H2" s="5" t="s">
        <v>8</v>
      </c>
      <c r="I2" s="6" t="s">
        <v>9</v>
      </c>
      <c r="J2" s="7" t="s">
        <v>10</v>
      </c>
      <c r="K2" s="5" t="s">
        <v>11</v>
      </c>
      <c r="L2" s="5" t="s">
        <v>12</v>
      </c>
      <c r="M2" s="5" t="s">
        <v>13</v>
      </c>
      <c r="N2" s="5" t="s">
        <v>14</v>
      </c>
      <c r="O2" t="s">
        <v>15</v>
      </c>
    </row>
    <row r="3" spans="1:15" x14ac:dyDescent="0.25">
      <c r="A3" s="8">
        <v>1</v>
      </c>
      <c r="B3" s="9">
        <v>40544</v>
      </c>
      <c r="C3" s="6">
        <v>1</v>
      </c>
      <c r="D3" s="6" t="str">
        <f>TEXT(B3,"yyyy")</f>
        <v>2011</v>
      </c>
      <c r="E3" s="6">
        <v>1</v>
      </c>
      <c r="F3" s="6">
        <v>0</v>
      </c>
      <c r="G3" s="6" t="b">
        <v>0</v>
      </c>
      <c r="H3" s="6">
        <v>6</v>
      </c>
      <c r="I3" s="6">
        <v>1</v>
      </c>
      <c r="J3" s="7">
        <v>0.24</v>
      </c>
      <c r="K3" s="5" t="str">
        <f>TEXT(B3,"dddd")</f>
        <v>Saturday</v>
      </c>
      <c r="L3" s="2" t="str">
        <f>TEXT(B3,"mmmm")</f>
        <v>January</v>
      </c>
      <c r="M3" s="2" t="str">
        <f>IF(C3=1,"Spring",IF(C3=2,"Summer",IF(C3=3,"Fall","Winter")))</f>
        <v>Spring</v>
      </c>
      <c r="N3" s="2" t="str">
        <f>IF(H3=0,"Sunday",IF(H3=1,"Monday",IF(H3=2,"Tuesday",IF(H3=3,"Wednesday",IF(H3=4,"Thursday",IF(H3=5,"Friday","Saturday"))))))</f>
        <v>Saturday</v>
      </c>
      <c r="O3" t="str">
        <f>IF(I3=1,"Clear",IF(I3=2,"Cloudy",IF(I3=3,"Rain","Heavy Rain")))</f>
        <v>Clear</v>
      </c>
    </row>
    <row r="4" spans="1:15" x14ac:dyDescent="0.25">
      <c r="A4" s="8">
        <v>2</v>
      </c>
      <c r="B4" s="9">
        <v>40544</v>
      </c>
      <c r="C4" s="6">
        <v>1</v>
      </c>
      <c r="D4" s="6" t="str">
        <f t="shared" ref="D4:D67" si="0">TEXT(B4,"yyyy")</f>
        <v>2011</v>
      </c>
      <c r="E4" s="6">
        <v>1</v>
      </c>
      <c r="F4" s="6">
        <v>1</v>
      </c>
      <c r="G4" s="6" t="b">
        <v>0</v>
      </c>
      <c r="H4" s="6">
        <v>6</v>
      </c>
      <c r="I4" s="6">
        <v>1</v>
      </c>
      <c r="J4" s="7">
        <v>0.22</v>
      </c>
      <c r="K4" s="6" t="str">
        <f t="shared" ref="K4:K67" si="1">TEXT(B4,"dddd")</f>
        <v>Saturday</v>
      </c>
      <c r="L4" s="2" t="str">
        <f t="shared" ref="L4:L67" si="2">TEXT(B4,"mmmm")</f>
        <v>January</v>
      </c>
      <c r="M4" s="2" t="str">
        <f t="shared" ref="M4:M67" si="3">IF(C4=1,"Spring",IF(C4=2,"Summer",IF(C4=3,"Fall","Winter")))</f>
        <v>Spring</v>
      </c>
      <c r="N4" s="2" t="str">
        <f t="shared" ref="N4:N67" si="4">IF(H4=0,"Sunday",IF(H4=1,"Monday",IF(H4=2,"Tuesday",IF(H4=3,"Wednesday",IF(H4=4,"Thursday",IF(H4=5,"Friday","Saturday"))))))</f>
        <v>Saturday</v>
      </c>
      <c r="O4" t="str">
        <f>IF(I4=1,"Clear",IF(I4=2,"Cloudy",IF(I4=3,"Rain","Heavy Rain")))</f>
        <v>Clear</v>
      </c>
    </row>
    <row r="5" spans="1:15" x14ac:dyDescent="0.25">
      <c r="A5" s="8">
        <v>3</v>
      </c>
      <c r="B5" s="9">
        <v>40544</v>
      </c>
      <c r="C5" s="6">
        <v>1</v>
      </c>
      <c r="D5" s="6" t="str">
        <f t="shared" si="0"/>
        <v>2011</v>
      </c>
      <c r="E5" s="6">
        <v>1</v>
      </c>
      <c r="F5" s="6">
        <v>2</v>
      </c>
      <c r="G5" s="6" t="b">
        <v>0</v>
      </c>
      <c r="H5" s="6">
        <v>6</v>
      </c>
      <c r="I5" s="6">
        <v>1</v>
      </c>
      <c r="J5" s="7">
        <v>0.22</v>
      </c>
      <c r="K5" s="6" t="str">
        <f t="shared" si="1"/>
        <v>Saturday</v>
      </c>
      <c r="L5" s="2" t="str">
        <f t="shared" si="2"/>
        <v>January</v>
      </c>
      <c r="M5" s="2" t="str">
        <f t="shared" si="3"/>
        <v>Spring</v>
      </c>
      <c r="N5" s="2" t="str">
        <f t="shared" si="4"/>
        <v>Saturday</v>
      </c>
      <c r="O5" t="str">
        <f t="shared" ref="O5:O68" si="5">IF(I5=1,"Clear",IF(I5=2,"Cloudy",IF(I5=3,"Rain","Heavy Rain")))</f>
        <v>Clear</v>
      </c>
    </row>
    <row r="6" spans="1:15" x14ac:dyDescent="0.25">
      <c r="A6" s="8">
        <v>4</v>
      </c>
      <c r="B6" s="9">
        <v>40544</v>
      </c>
      <c r="C6" s="6">
        <v>1</v>
      </c>
      <c r="D6" s="6" t="str">
        <f t="shared" si="0"/>
        <v>2011</v>
      </c>
      <c r="E6" s="6">
        <v>1</v>
      </c>
      <c r="F6" s="6">
        <v>3</v>
      </c>
      <c r="G6" s="6" t="b">
        <v>0</v>
      </c>
      <c r="H6" s="6">
        <v>6</v>
      </c>
      <c r="I6" s="6">
        <v>1</v>
      </c>
      <c r="J6" s="7">
        <v>0.24</v>
      </c>
      <c r="K6" s="6" t="str">
        <f t="shared" si="1"/>
        <v>Saturday</v>
      </c>
      <c r="L6" s="2" t="str">
        <f t="shared" si="2"/>
        <v>January</v>
      </c>
      <c r="M6" s="2" t="str">
        <f t="shared" si="3"/>
        <v>Spring</v>
      </c>
      <c r="N6" s="2" t="str">
        <f t="shared" si="4"/>
        <v>Saturday</v>
      </c>
      <c r="O6" t="str">
        <f t="shared" si="5"/>
        <v>Clear</v>
      </c>
    </row>
    <row r="7" spans="1:15" x14ac:dyDescent="0.25">
      <c r="A7" s="8">
        <v>5</v>
      </c>
      <c r="B7" s="9">
        <v>40544</v>
      </c>
      <c r="C7" s="6">
        <v>1</v>
      </c>
      <c r="D7" s="6" t="str">
        <f t="shared" si="0"/>
        <v>2011</v>
      </c>
      <c r="E7" s="6">
        <v>1</v>
      </c>
      <c r="F7" s="6">
        <v>4</v>
      </c>
      <c r="G7" s="6" t="b">
        <v>0</v>
      </c>
      <c r="H7" s="6">
        <v>6</v>
      </c>
      <c r="I7" s="6">
        <v>1</v>
      </c>
      <c r="J7" s="7">
        <v>0.24</v>
      </c>
      <c r="K7" s="6" t="str">
        <f t="shared" si="1"/>
        <v>Saturday</v>
      </c>
      <c r="L7" s="2" t="str">
        <f t="shared" si="2"/>
        <v>January</v>
      </c>
      <c r="M7" s="2" t="str">
        <f t="shared" si="3"/>
        <v>Spring</v>
      </c>
      <c r="N7" s="2" t="str">
        <f t="shared" si="4"/>
        <v>Saturday</v>
      </c>
      <c r="O7" t="str">
        <f t="shared" si="5"/>
        <v>Clear</v>
      </c>
    </row>
    <row r="8" spans="1:15" x14ac:dyDescent="0.25">
      <c r="A8" s="8">
        <v>6</v>
      </c>
      <c r="B8" s="9">
        <v>40544</v>
      </c>
      <c r="C8" s="6">
        <v>1</v>
      </c>
      <c r="D8" s="6" t="str">
        <f t="shared" si="0"/>
        <v>2011</v>
      </c>
      <c r="E8" s="6">
        <v>1</v>
      </c>
      <c r="F8" s="6">
        <v>5</v>
      </c>
      <c r="G8" s="6" t="b">
        <v>0</v>
      </c>
      <c r="H8" s="6">
        <v>6</v>
      </c>
      <c r="I8" s="6">
        <v>2</v>
      </c>
      <c r="J8" s="7">
        <v>0.24</v>
      </c>
      <c r="K8" s="6" t="str">
        <f t="shared" si="1"/>
        <v>Saturday</v>
      </c>
      <c r="L8" s="2" t="str">
        <f t="shared" si="2"/>
        <v>January</v>
      </c>
      <c r="M8" s="2" t="str">
        <f t="shared" si="3"/>
        <v>Spring</v>
      </c>
      <c r="N8" s="2" t="str">
        <f t="shared" si="4"/>
        <v>Saturday</v>
      </c>
      <c r="O8" t="str">
        <f t="shared" si="5"/>
        <v>Cloudy</v>
      </c>
    </row>
    <row r="9" spans="1:15" x14ac:dyDescent="0.25">
      <c r="A9" s="8">
        <v>7</v>
      </c>
      <c r="B9" s="9">
        <v>40544</v>
      </c>
      <c r="C9" s="6">
        <v>1</v>
      </c>
      <c r="D9" s="6" t="str">
        <f t="shared" si="0"/>
        <v>2011</v>
      </c>
      <c r="E9" s="6">
        <v>1</v>
      </c>
      <c r="F9" s="6">
        <v>6</v>
      </c>
      <c r="G9" s="6" t="b">
        <v>0</v>
      </c>
      <c r="H9" s="6">
        <v>6</v>
      </c>
      <c r="I9" s="6">
        <v>1</v>
      </c>
      <c r="J9" s="7">
        <v>0.22</v>
      </c>
      <c r="K9" s="6" t="str">
        <f t="shared" si="1"/>
        <v>Saturday</v>
      </c>
      <c r="L9" s="2" t="str">
        <f t="shared" si="2"/>
        <v>January</v>
      </c>
      <c r="M9" s="2" t="str">
        <f t="shared" si="3"/>
        <v>Spring</v>
      </c>
      <c r="N9" s="2" t="str">
        <f t="shared" si="4"/>
        <v>Saturday</v>
      </c>
      <c r="O9" t="str">
        <f t="shared" si="5"/>
        <v>Clear</v>
      </c>
    </row>
    <row r="10" spans="1:15" x14ac:dyDescent="0.25">
      <c r="A10" s="8">
        <v>8</v>
      </c>
      <c r="B10" s="9">
        <v>40544</v>
      </c>
      <c r="C10" s="6">
        <v>1</v>
      </c>
      <c r="D10" s="6" t="str">
        <f t="shared" si="0"/>
        <v>2011</v>
      </c>
      <c r="E10" s="6">
        <v>1</v>
      </c>
      <c r="F10" s="6">
        <v>7</v>
      </c>
      <c r="G10" s="6" t="b">
        <v>0</v>
      </c>
      <c r="H10" s="6">
        <v>6</v>
      </c>
      <c r="I10" s="6">
        <v>1</v>
      </c>
      <c r="J10" s="7">
        <v>0.2</v>
      </c>
      <c r="K10" s="6" t="str">
        <f t="shared" si="1"/>
        <v>Saturday</v>
      </c>
      <c r="L10" s="2" t="str">
        <f t="shared" si="2"/>
        <v>January</v>
      </c>
      <c r="M10" s="2" t="str">
        <f t="shared" si="3"/>
        <v>Spring</v>
      </c>
      <c r="N10" s="2" t="str">
        <f t="shared" si="4"/>
        <v>Saturday</v>
      </c>
      <c r="O10" t="str">
        <f t="shared" si="5"/>
        <v>Clear</v>
      </c>
    </row>
    <row r="11" spans="1:15" x14ac:dyDescent="0.25">
      <c r="A11" s="8">
        <v>9</v>
      </c>
      <c r="B11" s="9">
        <v>40544</v>
      </c>
      <c r="C11" s="6">
        <v>1</v>
      </c>
      <c r="D11" s="6" t="str">
        <f t="shared" si="0"/>
        <v>2011</v>
      </c>
      <c r="E11" s="6">
        <v>1</v>
      </c>
      <c r="F11" s="6">
        <v>8</v>
      </c>
      <c r="G11" s="6" t="b">
        <v>0</v>
      </c>
      <c r="H11" s="6">
        <v>6</v>
      </c>
      <c r="I11" s="6">
        <v>1</v>
      </c>
      <c r="J11" s="7">
        <v>0.24</v>
      </c>
      <c r="K11" s="6" t="str">
        <f t="shared" si="1"/>
        <v>Saturday</v>
      </c>
      <c r="L11" s="2" t="str">
        <f t="shared" si="2"/>
        <v>January</v>
      </c>
      <c r="M11" s="2" t="str">
        <f t="shared" si="3"/>
        <v>Spring</v>
      </c>
      <c r="N11" s="2" t="str">
        <f t="shared" si="4"/>
        <v>Saturday</v>
      </c>
      <c r="O11" t="str">
        <f t="shared" si="5"/>
        <v>Clear</v>
      </c>
    </row>
    <row r="12" spans="1:15" x14ac:dyDescent="0.25">
      <c r="A12" s="8">
        <v>10</v>
      </c>
      <c r="B12" s="9">
        <v>40544</v>
      </c>
      <c r="C12" s="6">
        <v>1</v>
      </c>
      <c r="D12" s="6" t="str">
        <f t="shared" si="0"/>
        <v>2011</v>
      </c>
      <c r="E12" s="6">
        <v>1</v>
      </c>
      <c r="F12" s="6">
        <v>9</v>
      </c>
      <c r="G12" s="6" t="b">
        <v>0</v>
      </c>
      <c r="H12" s="6">
        <v>6</v>
      </c>
      <c r="I12" s="6">
        <v>1</v>
      </c>
      <c r="J12" s="7">
        <v>0.32</v>
      </c>
      <c r="K12" s="6" t="str">
        <f t="shared" si="1"/>
        <v>Saturday</v>
      </c>
      <c r="L12" s="2" t="str">
        <f t="shared" si="2"/>
        <v>January</v>
      </c>
      <c r="M12" s="2" t="str">
        <f t="shared" si="3"/>
        <v>Spring</v>
      </c>
      <c r="N12" s="2" t="str">
        <f t="shared" si="4"/>
        <v>Saturday</v>
      </c>
      <c r="O12" t="str">
        <f t="shared" si="5"/>
        <v>Clear</v>
      </c>
    </row>
    <row r="13" spans="1:15" x14ac:dyDescent="0.25">
      <c r="A13" s="8">
        <v>11</v>
      </c>
      <c r="B13" s="9">
        <v>40544</v>
      </c>
      <c r="C13" s="6">
        <v>1</v>
      </c>
      <c r="D13" s="6" t="str">
        <f t="shared" si="0"/>
        <v>2011</v>
      </c>
      <c r="E13" s="6">
        <v>1</v>
      </c>
      <c r="F13" s="6">
        <v>10</v>
      </c>
      <c r="G13" s="6" t="b">
        <v>0</v>
      </c>
      <c r="H13" s="6">
        <v>6</v>
      </c>
      <c r="I13" s="6">
        <v>1</v>
      </c>
      <c r="J13" s="7">
        <v>0.38</v>
      </c>
      <c r="K13" s="6" t="str">
        <f t="shared" si="1"/>
        <v>Saturday</v>
      </c>
      <c r="L13" s="2" t="str">
        <f t="shared" si="2"/>
        <v>January</v>
      </c>
      <c r="M13" s="2" t="str">
        <f t="shared" si="3"/>
        <v>Spring</v>
      </c>
      <c r="N13" s="2" t="str">
        <f t="shared" si="4"/>
        <v>Saturday</v>
      </c>
      <c r="O13" t="str">
        <f t="shared" si="5"/>
        <v>Clear</v>
      </c>
    </row>
    <row r="14" spans="1:15" x14ac:dyDescent="0.25">
      <c r="A14" s="8">
        <v>12</v>
      </c>
      <c r="B14" s="9">
        <v>40544</v>
      </c>
      <c r="C14" s="6">
        <v>1</v>
      </c>
      <c r="D14" s="6" t="str">
        <f t="shared" si="0"/>
        <v>2011</v>
      </c>
      <c r="E14" s="6">
        <v>1</v>
      </c>
      <c r="F14" s="6">
        <v>11</v>
      </c>
      <c r="G14" s="6" t="b">
        <v>0</v>
      </c>
      <c r="H14" s="6">
        <v>6</v>
      </c>
      <c r="I14" s="6">
        <v>1</v>
      </c>
      <c r="J14" s="7">
        <v>0.36</v>
      </c>
      <c r="K14" s="6" t="str">
        <f t="shared" si="1"/>
        <v>Saturday</v>
      </c>
      <c r="L14" s="2" t="str">
        <f t="shared" si="2"/>
        <v>January</v>
      </c>
      <c r="M14" s="2" t="str">
        <f t="shared" si="3"/>
        <v>Spring</v>
      </c>
      <c r="N14" s="2" t="str">
        <f t="shared" si="4"/>
        <v>Saturday</v>
      </c>
      <c r="O14" t="str">
        <f t="shared" si="5"/>
        <v>Clear</v>
      </c>
    </row>
    <row r="15" spans="1:15" x14ac:dyDescent="0.25">
      <c r="A15" s="8">
        <v>13</v>
      </c>
      <c r="B15" s="9">
        <v>40544</v>
      </c>
      <c r="C15" s="6">
        <v>1</v>
      </c>
      <c r="D15" s="6" t="str">
        <f t="shared" si="0"/>
        <v>2011</v>
      </c>
      <c r="E15" s="6">
        <v>1</v>
      </c>
      <c r="F15" s="6">
        <v>12</v>
      </c>
      <c r="G15" s="6" t="b">
        <v>0</v>
      </c>
      <c r="H15" s="6">
        <v>6</v>
      </c>
      <c r="I15" s="6">
        <v>1</v>
      </c>
      <c r="J15" s="7">
        <v>0.42</v>
      </c>
      <c r="K15" s="6" t="str">
        <f t="shared" si="1"/>
        <v>Saturday</v>
      </c>
      <c r="L15" s="2" t="str">
        <f t="shared" si="2"/>
        <v>January</v>
      </c>
      <c r="M15" s="2" t="str">
        <f t="shared" si="3"/>
        <v>Spring</v>
      </c>
      <c r="N15" s="2" t="str">
        <f t="shared" si="4"/>
        <v>Saturday</v>
      </c>
      <c r="O15" t="str">
        <f t="shared" si="5"/>
        <v>Clear</v>
      </c>
    </row>
    <row r="16" spans="1:15" x14ac:dyDescent="0.25">
      <c r="A16" s="8">
        <v>14</v>
      </c>
      <c r="B16" s="9">
        <v>40544</v>
      </c>
      <c r="C16" s="6">
        <v>1</v>
      </c>
      <c r="D16" s="6" t="str">
        <f t="shared" si="0"/>
        <v>2011</v>
      </c>
      <c r="E16" s="6">
        <v>1</v>
      </c>
      <c r="F16" s="6">
        <v>13</v>
      </c>
      <c r="G16" s="6" t="b">
        <v>0</v>
      </c>
      <c r="H16" s="6">
        <v>6</v>
      </c>
      <c r="I16" s="6">
        <v>2</v>
      </c>
      <c r="J16" s="7">
        <v>0.46</v>
      </c>
      <c r="K16" s="6" t="str">
        <f t="shared" si="1"/>
        <v>Saturday</v>
      </c>
      <c r="L16" s="2" t="str">
        <f t="shared" si="2"/>
        <v>January</v>
      </c>
      <c r="M16" s="2" t="str">
        <f t="shared" si="3"/>
        <v>Spring</v>
      </c>
      <c r="N16" s="2" t="str">
        <f t="shared" si="4"/>
        <v>Saturday</v>
      </c>
      <c r="O16" t="str">
        <f t="shared" si="5"/>
        <v>Cloudy</v>
      </c>
    </row>
    <row r="17" spans="1:15" x14ac:dyDescent="0.25">
      <c r="A17" s="8">
        <v>15</v>
      </c>
      <c r="B17" s="9">
        <v>40544</v>
      </c>
      <c r="C17" s="6">
        <v>1</v>
      </c>
      <c r="D17" s="6" t="str">
        <f t="shared" si="0"/>
        <v>2011</v>
      </c>
      <c r="E17" s="6">
        <v>1</v>
      </c>
      <c r="F17" s="6">
        <v>14</v>
      </c>
      <c r="G17" s="6" t="b">
        <v>0</v>
      </c>
      <c r="H17" s="6">
        <v>6</v>
      </c>
      <c r="I17" s="6">
        <v>2</v>
      </c>
      <c r="J17" s="7">
        <v>0.46</v>
      </c>
      <c r="K17" s="6" t="str">
        <f t="shared" si="1"/>
        <v>Saturday</v>
      </c>
      <c r="L17" s="2" t="str">
        <f t="shared" si="2"/>
        <v>January</v>
      </c>
      <c r="M17" s="2" t="str">
        <f t="shared" si="3"/>
        <v>Spring</v>
      </c>
      <c r="N17" s="2" t="str">
        <f t="shared" si="4"/>
        <v>Saturday</v>
      </c>
      <c r="O17" t="str">
        <f t="shared" si="5"/>
        <v>Cloudy</v>
      </c>
    </row>
    <row r="18" spans="1:15" x14ac:dyDescent="0.25">
      <c r="A18" s="8">
        <v>16</v>
      </c>
      <c r="B18" s="9">
        <v>40544</v>
      </c>
      <c r="C18" s="6">
        <v>1</v>
      </c>
      <c r="D18" s="6" t="str">
        <f t="shared" si="0"/>
        <v>2011</v>
      </c>
      <c r="E18" s="6">
        <v>1</v>
      </c>
      <c r="F18" s="6">
        <v>15</v>
      </c>
      <c r="G18" s="6" t="b">
        <v>0</v>
      </c>
      <c r="H18" s="6">
        <v>6</v>
      </c>
      <c r="I18" s="6">
        <v>2</v>
      </c>
      <c r="J18" s="7">
        <v>0.44</v>
      </c>
      <c r="K18" s="6" t="str">
        <f t="shared" si="1"/>
        <v>Saturday</v>
      </c>
      <c r="L18" s="2" t="str">
        <f t="shared" si="2"/>
        <v>January</v>
      </c>
      <c r="M18" s="2" t="str">
        <f t="shared" si="3"/>
        <v>Spring</v>
      </c>
      <c r="N18" s="2" t="str">
        <f t="shared" si="4"/>
        <v>Saturday</v>
      </c>
      <c r="O18" t="str">
        <f t="shared" si="5"/>
        <v>Cloudy</v>
      </c>
    </row>
    <row r="19" spans="1:15" x14ac:dyDescent="0.25">
      <c r="A19" s="8">
        <v>17</v>
      </c>
      <c r="B19" s="9">
        <v>40544</v>
      </c>
      <c r="C19" s="6">
        <v>1</v>
      </c>
      <c r="D19" s="6" t="str">
        <f t="shared" si="0"/>
        <v>2011</v>
      </c>
      <c r="E19" s="6">
        <v>1</v>
      </c>
      <c r="F19" s="6">
        <v>16</v>
      </c>
      <c r="G19" s="6" t="b">
        <v>0</v>
      </c>
      <c r="H19" s="6">
        <v>6</v>
      </c>
      <c r="I19" s="6">
        <v>2</v>
      </c>
      <c r="J19" s="7">
        <v>0.42</v>
      </c>
      <c r="K19" s="6" t="str">
        <f t="shared" si="1"/>
        <v>Saturday</v>
      </c>
      <c r="L19" s="2" t="str">
        <f t="shared" si="2"/>
        <v>January</v>
      </c>
      <c r="M19" s="2" t="str">
        <f t="shared" si="3"/>
        <v>Spring</v>
      </c>
      <c r="N19" s="2" t="str">
        <f t="shared" si="4"/>
        <v>Saturday</v>
      </c>
      <c r="O19" t="str">
        <f t="shared" si="5"/>
        <v>Cloudy</v>
      </c>
    </row>
    <row r="20" spans="1:15" x14ac:dyDescent="0.25">
      <c r="A20" s="8">
        <v>18</v>
      </c>
      <c r="B20" s="9">
        <v>40544</v>
      </c>
      <c r="C20" s="6">
        <v>1</v>
      </c>
      <c r="D20" s="6" t="str">
        <f t="shared" si="0"/>
        <v>2011</v>
      </c>
      <c r="E20" s="6">
        <v>1</v>
      </c>
      <c r="F20" s="6">
        <v>17</v>
      </c>
      <c r="G20" s="6" t="b">
        <v>0</v>
      </c>
      <c r="H20" s="6">
        <v>6</v>
      </c>
      <c r="I20" s="6">
        <v>2</v>
      </c>
      <c r="J20" s="7">
        <v>0.44</v>
      </c>
      <c r="K20" s="6" t="str">
        <f t="shared" si="1"/>
        <v>Saturday</v>
      </c>
      <c r="L20" s="2" t="str">
        <f t="shared" si="2"/>
        <v>January</v>
      </c>
      <c r="M20" s="2" t="str">
        <f t="shared" si="3"/>
        <v>Spring</v>
      </c>
      <c r="N20" s="2" t="str">
        <f t="shared" si="4"/>
        <v>Saturday</v>
      </c>
      <c r="O20" t="str">
        <f t="shared" si="5"/>
        <v>Cloudy</v>
      </c>
    </row>
    <row r="21" spans="1:15" x14ac:dyDescent="0.25">
      <c r="A21" s="8">
        <v>19</v>
      </c>
      <c r="B21" s="9">
        <v>40544</v>
      </c>
      <c r="C21" s="6">
        <v>1</v>
      </c>
      <c r="D21" s="6" t="str">
        <f t="shared" si="0"/>
        <v>2011</v>
      </c>
      <c r="E21" s="6">
        <v>1</v>
      </c>
      <c r="F21" s="6">
        <v>18</v>
      </c>
      <c r="G21" s="6" t="b">
        <v>0</v>
      </c>
      <c r="H21" s="6">
        <v>6</v>
      </c>
      <c r="I21" s="6">
        <v>3</v>
      </c>
      <c r="J21" s="7">
        <v>0.42</v>
      </c>
      <c r="K21" s="6" t="str">
        <f t="shared" si="1"/>
        <v>Saturday</v>
      </c>
      <c r="L21" s="2" t="str">
        <f t="shared" si="2"/>
        <v>January</v>
      </c>
      <c r="M21" s="2" t="str">
        <f t="shared" si="3"/>
        <v>Spring</v>
      </c>
      <c r="N21" s="2" t="str">
        <f t="shared" si="4"/>
        <v>Saturday</v>
      </c>
      <c r="O21" t="str">
        <f t="shared" si="5"/>
        <v>Rain</v>
      </c>
    </row>
    <row r="22" spans="1:15" x14ac:dyDescent="0.25">
      <c r="A22" s="8">
        <v>20</v>
      </c>
      <c r="B22" s="9">
        <v>40544</v>
      </c>
      <c r="C22" s="6">
        <v>1</v>
      </c>
      <c r="D22" s="6" t="str">
        <f t="shared" si="0"/>
        <v>2011</v>
      </c>
      <c r="E22" s="6">
        <v>1</v>
      </c>
      <c r="F22" s="6">
        <v>19</v>
      </c>
      <c r="G22" s="6" t="b">
        <v>0</v>
      </c>
      <c r="H22" s="6">
        <v>6</v>
      </c>
      <c r="I22" s="6">
        <v>3</v>
      </c>
      <c r="J22" s="7">
        <v>0.42</v>
      </c>
      <c r="K22" s="6" t="str">
        <f t="shared" si="1"/>
        <v>Saturday</v>
      </c>
      <c r="L22" s="2" t="str">
        <f t="shared" si="2"/>
        <v>January</v>
      </c>
      <c r="M22" s="2" t="str">
        <f t="shared" si="3"/>
        <v>Spring</v>
      </c>
      <c r="N22" s="2" t="str">
        <f t="shared" si="4"/>
        <v>Saturday</v>
      </c>
      <c r="O22" t="str">
        <f t="shared" si="5"/>
        <v>Rain</v>
      </c>
    </row>
    <row r="23" spans="1:15" x14ac:dyDescent="0.25">
      <c r="A23" s="8">
        <v>21</v>
      </c>
      <c r="B23" s="9">
        <v>40544</v>
      </c>
      <c r="C23" s="6">
        <v>1</v>
      </c>
      <c r="D23" s="6" t="str">
        <f t="shared" si="0"/>
        <v>2011</v>
      </c>
      <c r="E23" s="6">
        <v>1</v>
      </c>
      <c r="F23" s="6">
        <v>20</v>
      </c>
      <c r="G23" s="6" t="b">
        <v>0</v>
      </c>
      <c r="H23" s="6">
        <v>6</v>
      </c>
      <c r="I23" s="6">
        <v>2</v>
      </c>
      <c r="J23" s="7">
        <v>0.4</v>
      </c>
      <c r="K23" s="6" t="str">
        <f t="shared" si="1"/>
        <v>Saturday</v>
      </c>
      <c r="L23" s="2" t="str">
        <f t="shared" si="2"/>
        <v>January</v>
      </c>
      <c r="M23" s="2" t="str">
        <f t="shared" si="3"/>
        <v>Spring</v>
      </c>
      <c r="N23" s="2" t="str">
        <f t="shared" si="4"/>
        <v>Saturday</v>
      </c>
      <c r="O23" t="str">
        <f t="shared" si="5"/>
        <v>Cloudy</v>
      </c>
    </row>
    <row r="24" spans="1:15" x14ac:dyDescent="0.25">
      <c r="A24" s="8">
        <v>22</v>
      </c>
      <c r="B24" s="9">
        <v>40544</v>
      </c>
      <c r="C24" s="6">
        <v>1</v>
      </c>
      <c r="D24" s="6" t="str">
        <f t="shared" si="0"/>
        <v>2011</v>
      </c>
      <c r="E24" s="6">
        <v>1</v>
      </c>
      <c r="F24" s="6">
        <v>21</v>
      </c>
      <c r="G24" s="6" t="b">
        <v>0</v>
      </c>
      <c r="H24" s="6">
        <v>6</v>
      </c>
      <c r="I24" s="6">
        <v>2</v>
      </c>
      <c r="J24" s="7">
        <v>0.4</v>
      </c>
      <c r="K24" s="6" t="str">
        <f t="shared" si="1"/>
        <v>Saturday</v>
      </c>
      <c r="L24" s="2" t="str">
        <f t="shared" si="2"/>
        <v>January</v>
      </c>
      <c r="M24" s="2" t="str">
        <f t="shared" si="3"/>
        <v>Spring</v>
      </c>
      <c r="N24" s="2" t="str">
        <f t="shared" si="4"/>
        <v>Saturday</v>
      </c>
      <c r="O24" t="str">
        <f t="shared" si="5"/>
        <v>Cloudy</v>
      </c>
    </row>
    <row r="25" spans="1:15" x14ac:dyDescent="0.25">
      <c r="A25" s="8">
        <v>23</v>
      </c>
      <c r="B25" s="9">
        <v>40544</v>
      </c>
      <c r="C25" s="6">
        <v>1</v>
      </c>
      <c r="D25" s="6" t="str">
        <f t="shared" si="0"/>
        <v>2011</v>
      </c>
      <c r="E25" s="6">
        <v>1</v>
      </c>
      <c r="F25" s="6">
        <v>22</v>
      </c>
      <c r="G25" s="6" t="b">
        <v>0</v>
      </c>
      <c r="H25" s="6">
        <v>6</v>
      </c>
      <c r="I25" s="6">
        <v>2</v>
      </c>
      <c r="J25" s="7">
        <v>0.4</v>
      </c>
      <c r="K25" s="6" t="str">
        <f t="shared" si="1"/>
        <v>Saturday</v>
      </c>
      <c r="L25" s="2" t="str">
        <f t="shared" si="2"/>
        <v>January</v>
      </c>
      <c r="M25" s="2" t="str">
        <f t="shared" si="3"/>
        <v>Spring</v>
      </c>
      <c r="N25" s="2" t="str">
        <f t="shared" si="4"/>
        <v>Saturday</v>
      </c>
      <c r="O25" t="str">
        <f t="shared" si="5"/>
        <v>Cloudy</v>
      </c>
    </row>
    <row r="26" spans="1:15" x14ac:dyDescent="0.25">
      <c r="A26" s="8">
        <v>24</v>
      </c>
      <c r="B26" s="9">
        <v>40544</v>
      </c>
      <c r="C26" s="6">
        <v>1</v>
      </c>
      <c r="D26" s="6" t="str">
        <f t="shared" si="0"/>
        <v>2011</v>
      </c>
      <c r="E26" s="6">
        <v>1</v>
      </c>
      <c r="F26" s="6">
        <v>23</v>
      </c>
      <c r="G26" s="6" t="b">
        <v>0</v>
      </c>
      <c r="H26" s="6">
        <v>6</v>
      </c>
      <c r="I26" s="6">
        <v>2</v>
      </c>
      <c r="J26" s="7">
        <v>0.46</v>
      </c>
      <c r="K26" s="6" t="str">
        <f t="shared" si="1"/>
        <v>Saturday</v>
      </c>
      <c r="L26" s="2" t="str">
        <f t="shared" si="2"/>
        <v>January</v>
      </c>
      <c r="M26" s="2" t="str">
        <f t="shared" si="3"/>
        <v>Spring</v>
      </c>
      <c r="N26" s="2" t="str">
        <f t="shared" si="4"/>
        <v>Saturday</v>
      </c>
      <c r="O26" t="str">
        <f t="shared" si="5"/>
        <v>Cloudy</v>
      </c>
    </row>
    <row r="27" spans="1:15" x14ac:dyDescent="0.25">
      <c r="A27" s="8">
        <v>25</v>
      </c>
      <c r="B27" s="9">
        <v>40545</v>
      </c>
      <c r="C27" s="6">
        <v>1</v>
      </c>
      <c r="D27" s="6" t="str">
        <f t="shared" si="0"/>
        <v>2011</v>
      </c>
      <c r="E27" s="6">
        <v>1</v>
      </c>
      <c r="F27" s="6">
        <v>0</v>
      </c>
      <c r="G27" s="6" t="b">
        <v>0</v>
      </c>
      <c r="H27" s="6">
        <v>0</v>
      </c>
      <c r="I27" s="6">
        <v>2</v>
      </c>
      <c r="J27" s="7">
        <v>0.46</v>
      </c>
      <c r="K27" s="6" t="str">
        <f t="shared" si="1"/>
        <v>Sunday</v>
      </c>
      <c r="L27" s="2" t="str">
        <f t="shared" si="2"/>
        <v>January</v>
      </c>
      <c r="M27" s="2" t="str">
        <f t="shared" si="3"/>
        <v>Spring</v>
      </c>
      <c r="N27" s="2" t="str">
        <f t="shared" si="4"/>
        <v>Sunday</v>
      </c>
      <c r="O27" t="str">
        <f t="shared" si="5"/>
        <v>Cloudy</v>
      </c>
    </row>
    <row r="28" spans="1:15" x14ac:dyDescent="0.25">
      <c r="A28" s="8">
        <v>26</v>
      </c>
      <c r="B28" s="9">
        <v>40545</v>
      </c>
      <c r="C28" s="6">
        <v>1</v>
      </c>
      <c r="D28" s="6" t="str">
        <f t="shared" si="0"/>
        <v>2011</v>
      </c>
      <c r="E28" s="6">
        <v>1</v>
      </c>
      <c r="F28" s="6">
        <v>1</v>
      </c>
      <c r="G28" s="6" t="b">
        <v>0</v>
      </c>
      <c r="H28" s="6">
        <v>0</v>
      </c>
      <c r="I28" s="6">
        <v>2</v>
      </c>
      <c r="J28" s="7">
        <v>0.44</v>
      </c>
      <c r="K28" s="6" t="str">
        <f t="shared" si="1"/>
        <v>Sunday</v>
      </c>
      <c r="L28" s="2" t="str">
        <f t="shared" si="2"/>
        <v>January</v>
      </c>
      <c r="M28" s="2" t="str">
        <f t="shared" si="3"/>
        <v>Spring</v>
      </c>
      <c r="N28" s="2" t="str">
        <f t="shared" si="4"/>
        <v>Sunday</v>
      </c>
      <c r="O28" t="str">
        <f t="shared" si="5"/>
        <v>Cloudy</v>
      </c>
    </row>
    <row r="29" spans="1:15" x14ac:dyDescent="0.25">
      <c r="A29" s="8">
        <v>27</v>
      </c>
      <c r="B29" s="9">
        <v>40545</v>
      </c>
      <c r="C29" s="6">
        <v>1</v>
      </c>
      <c r="D29" s="6" t="str">
        <f t="shared" si="0"/>
        <v>2011</v>
      </c>
      <c r="E29" s="6">
        <v>1</v>
      </c>
      <c r="F29" s="6">
        <v>2</v>
      </c>
      <c r="G29" s="6" t="b">
        <v>0</v>
      </c>
      <c r="H29" s="6">
        <v>0</v>
      </c>
      <c r="I29" s="6">
        <v>2</v>
      </c>
      <c r="J29" s="7">
        <v>0.42</v>
      </c>
      <c r="K29" s="6" t="str">
        <f t="shared" si="1"/>
        <v>Sunday</v>
      </c>
      <c r="L29" s="2" t="str">
        <f t="shared" si="2"/>
        <v>January</v>
      </c>
      <c r="M29" s="2" t="str">
        <f t="shared" si="3"/>
        <v>Spring</v>
      </c>
      <c r="N29" s="2" t="str">
        <f t="shared" si="4"/>
        <v>Sunday</v>
      </c>
      <c r="O29" t="str">
        <f t="shared" si="5"/>
        <v>Cloudy</v>
      </c>
    </row>
    <row r="30" spans="1:15" x14ac:dyDescent="0.25">
      <c r="A30" s="8">
        <v>28</v>
      </c>
      <c r="B30" s="9">
        <v>40545</v>
      </c>
      <c r="C30" s="6">
        <v>1</v>
      </c>
      <c r="D30" s="6" t="str">
        <f t="shared" si="0"/>
        <v>2011</v>
      </c>
      <c r="E30" s="6">
        <v>1</v>
      </c>
      <c r="F30" s="6">
        <v>3</v>
      </c>
      <c r="G30" s="6" t="b">
        <v>0</v>
      </c>
      <c r="H30" s="6">
        <v>0</v>
      </c>
      <c r="I30" s="6">
        <v>2</v>
      </c>
      <c r="J30" s="7">
        <v>0.46</v>
      </c>
      <c r="K30" s="6" t="str">
        <f t="shared" si="1"/>
        <v>Sunday</v>
      </c>
      <c r="L30" s="2" t="str">
        <f t="shared" si="2"/>
        <v>January</v>
      </c>
      <c r="M30" s="2" t="str">
        <f t="shared" si="3"/>
        <v>Spring</v>
      </c>
      <c r="N30" s="2" t="str">
        <f t="shared" si="4"/>
        <v>Sunday</v>
      </c>
      <c r="O30" t="str">
        <f t="shared" si="5"/>
        <v>Cloudy</v>
      </c>
    </row>
    <row r="31" spans="1:15" x14ac:dyDescent="0.25">
      <c r="A31" s="8">
        <v>29</v>
      </c>
      <c r="B31" s="9">
        <v>40545</v>
      </c>
      <c r="C31" s="6">
        <v>1</v>
      </c>
      <c r="D31" s="6" t="str">
        <f t="shared" si="0"/>
        <v>2011</v>
      </c>
      <c r="E31" s="6">
        <v>1</v>
      </c>
      <c r="F31" s="6">
        <v>4</v>
      </c>
      <c r="G31" s="6" t="b">
        <v>0</v>
      </c>
      <c r="H31" s="6">
        <v>0</v>
      </c>
      <c r="I31" s="6">
        <v>2</v>
      </c>
      <c r="J31" s="7">
        <v>0.46</v>
      </c>
      <c r="K31" s="6" t="str">
        <f t="shared" si="1"/>
        <v>Sunday</v>
      </c>
      <c r="L31" s="2" t="str">
        <f t="shared" si="2"/>
        <v>January</v>
      </c>
      <c r="M31" s="2" t="str">
        <f t="shared" si="3"/>
        <v>Spring</v>
      </c>
      <c r="N31" s="2" t="str">
        <f t="shared" si="4"/>
        <v>Sunday</v>
      </c>
      <c r="O31" t="str">
        <f t="shared" si="5"/>
        <v>Cloudy</v>
      </c>
    </row>
    <row r="32" spans="1:15" x14ac:dyDescent="0.25">
      <c r="A32" s="8">
        <v>30</v>
      </c>
      <c r="B32" s="9">
        <v>40545</v>
      </c>
      <c r="C32" s="6">
        <v>1</v>
      </c>
      <c r="D32" s="6" t="str">
        <f t="shared" si="0"/>
        <v>2011</v>
      </c>
      <c r="E32" s="6">
        <v>1</v>
      </c>
      <c r="F32" s="6">
        <v>6</v>
      </c>
      <c r="G32" s="6" t="b">
        <v>0</v>
      </c>
      <c r="H32" s="6">
        <v>0</v>
      </c>
      <c r="I32" s="6">
        <v>3</v>
      </c>
      <c r="J32" s="7">
        <v>0.42</v>
      </c>
      <c r="K32" s="6" t="str">
        <f t="shared" si="1"/>
        <v>Sunday</v>
      </c>
      <c r="L32" s="2" t="str">
        <f t="shared" si="2"/>
        <v>January</v>
      </c>
      <c r="M32" s="2" t="str">
        <f t="shared" si="3"/>
        <v>Spring</v>
      </c>
      <c r="N32" s="2" t="str">
        <f t="shared" si="4"/>
        <v>Sunday</v>
      </c>
      <c r="O32" t="str">
        <f t="shared" si="5"/>
        <v>Rain</v>
      </c>
    </row>
    <row r="33" spans="1:15" x14ac:dyDescent="0.25">
      <c r="A33" s="8">
        <v>31</v>
      </c>
      <c r="B33" s="9">
        <v>40545</v>
      </c>
      <c r="C33" s="6">
        <v>1</v>
      </c>
      <c r="D33" s="6" t="str">
        <f t="shared" si="0"/>
        <v>2011</v>
      </c>
      <c r="E33" s="6">
        <v>1</v>
      </c>
      <c r="F33" s="6">
        <v>7</v>
      </c>
      <c r="G33" s="6" t="b">
        <v>0</v>
      </c>
      <c r="H33" s="6">
        <v>0</v>
      </c>
      <c r="I33" s="6">
        <v>2</v>
      </c>
      <c r="J33" s="7">
        <v>0.4</v>
      </c>
      <c r="K33" s="6" t="str">
        <f t="shared" si="1"/>
        <v>Sunday</v>
      </c>
      <c r="L33" s="2" t="str">
        <f t="shared" si="2"/>
        <v>January</v>
      </c>
      <c r="M33" s="2" t="str">
        <f t="shared" si="3"/>
        <v>Spring</v>
      </c>
      <c r="N33" s="2" t="str">
        <f t="shared" si="4"/>
        <v>Sunday</v>
      </c>
      <c r="O33" t="str">
        <f t="shared" si="5"/>
        <v>Cloudy</v>
      </c>
    </row>
    <row r="34" spans="1:15" x14ac:dyDescent="0.25">
      <c r="A34" s="8">
        <v>32</v>
      </c>
      <c r="B34" s="9">
        <v>40545</v>
      </c>
      <c r="C34" s="6">
        <v>1</v>
      </c>
      <c r="D34" s="6" t="str">
        <f t="shared" si="0"/>
        <v>2011</v>
      </c>
      <c r="E34" s="6">
        <v>1</v>
      </c>
      <c r="F34" s="6">
        <v>8</v>
      </c>
      <c r="G34" s="6" t="b">
        <v>0</v>
      </c>
      <c r="H34" s="6">
        <v>0</v>
      </c>
      <c r="I34" s="6">
        <v>3</v>
      </c>
      <c r="J34" s="7">
        <v>0.4</v>
      </c>
      <c r="K34" s="6" t="str">
        <f t="shared" si="1"/>
        <v>Sunday</v>
      </c>
      <c r="L34" s="2" t="str">
        <f t="shared" si="2"/>
        <v>January</v>
      </c>
      <c r="M34" s="2" t="str">
        <f t="shared" si="3"/>
        <v>Spring</v>
      </c>
      <c r="N34" s="2" t="str">
        <f t="shared" si="4"/>
        <v>Sunday</v>
      </c>
      <c r="O34" t="str">
        <f t="shared" si="5"/>
        <v>Rain</v>
      </c>
    </row>
    <row r="35" spans="1:15" x14ac:dyDescent="0.25">
      <c r="A35" s="8">
        <v>33</v>
      </c>
      <c r="B35" s="9">
        <v>40545</v>
      </c>
      <c r="C35" s="6">
        <v>1</v>
      </c>
      <c r="D35" s="6" t="str">
        <f t="shared" si="0"/>
        <v>2011</v>
      </c>
      <c r="E35" s="6">
        <v>1</v>
      </c>
      <c r="F35" s="6">
        <v>9</v>
      </c>
      <c r="G35" s="6" t="b">
        <v>0</v>
      </c>
      <c r="H35" s="6">
        <v>0</v>
      </c>
      <c r="I35" s="6">
        <v>2</v>
      </c>
      <c r="J35" s="7">
        <v>0.38</v>
      </c>
      <c r="K35" s="6" t="str">
        <f t="shared" si="1"/>
        <v>Sunday</v>
      </c>
      <c r="L35" s="2" t="str">
        <f t="shared" si="2"/>
        <v>January</v>
      </c>
      <c r="M35" s="2" t="str">
        <f t="shared" si="3"/>
        <v>Spring</v>
      </c>
      <c r="N35" s="2" t="str">
        <f t="shared" si="4"/>
        <v>Sunday</v>
      </c>
      <c r="O35" t="str">
        <f t="shared" si="5"/>
        <v>Cloudy</v>
      </c>
    </row>
    <row r="36" spans="1:15" x14ac:dyDescent="0.25">
      <c r="A36" s="8">
        <v>34</v>
      </c>
      <c r="B36" s="9">
        <v>40545</v>
      </c>
      <c r="C36" s="6">
        <v>1</v>
      </c>
      <c r="D36" s="6" t="str">
        <f t="shared" si="0"/>
        <v>2011</v>
      </c>
      <c r="E36" s="6">
        <v>1</v>
      </c>
      <c r="F36" s="6">
        <v>10</v>
      </c>
      <c r="G36" s="6" t="b">
        <v>0</v>
      </c>
      <c r="H36" s="6">
        <v>0</v>
      </c>
      <c r="I36" s="6">
        <v>2</v>
      </c>
      <c r="J36" s="7">
        <v>0.36</v>
      </c>
      <c r="K36" s="6" t="str">
        <f t="shared" si="1"/>
        <v>Sunday</v>
      </c>
      <c r="L36" s="2" t="str">
        <f t="shared" si="2"/>
        <v>January</v>
      </c>
      <c r="M36" s="2" t="str">
        <f t="shared" si="3"/>
        <v>Spring</v>
      </c>
      <c r="N36" s="2" t="str">
        <f t="shared" si="4"/>
        <v>Sunday</v>
      </c>
      <c r="O36" t="str">
        <f t="shared" si="5"/>
        <v>Cloudy</v>
      </c>
    </row>
    <row r="37" spans="1:15" x14ac:dyDescent="0.25">
      <c r="A37" s="8">
        <v>35</v>
      </c>
      <c r="B37" s="9">
        <v>40545</v>
      </c>
      <c r="C37" s="6">
        <v>1</v>
      </c>
      <c r="D37" s="6" t="str">
        <f t="shared" si="0"/>
        <v>2011</v>
      </c>
      <c r="E37" s="6">
        <v>1</v>
      </c>
      <c r="F37" s="6">
        <v>11</v>
      </c>
      <c r="G37" s="6" t="b">
        <v>0</v>
      </c>
      <c r="H37" s="6">
        <v>0</v>
      </c>
      <c r="I37" s="6">
        <v>2</v>
      </c>
      <c r="J37" s="7">
        <v>0.36</v>
      </c>
      <c r="K37" s="6" t="str">
        <f t="shared" si="1"/>
        <v>Sunday</v>
      </c>
      <c r="L37" s="2" t="str">
        <f t="shared" si="2"/>
        <v>January</v>
      </c>
      <c r="M37" s="2" t="str">
        <f t="shared" si="3"/>
        <v>Spring</v>
      </c>
      <c r="N37" s="2" t="str">
        <f t="shared" si="4"/>
        <v>Sunday</v>
      </c>
      <c r="O37" t="str">
        <f t="shared" si="5"/>
        <v>Cloudy</v>
      </c>
    </row>
    <row r="38" spans="1:15" x14ac:dyDescent="0.25">
      <c r="A38" s="8">
        <v>36</v>
      </c>
      <c r="B38" s="9">
        <v>40545</v>
      </c>
      <c r="C38" s="6">
        <v>1</v>
      </c>
      <c r="D38" s="6" t="str">
        <f t="shared" si="0"/>
        <v>2011</v>
      </c>
      <c r="E38" s="6">
        <v>1</v>
      </c>
      <c r="F38" s="6">
        <v>12</v>
      </c>
      <c r="G38" s="6" t="b">
        <v>0</v>
      </c>
      <c r="H38" s="6">
        <v>0</v>
      </c>
      <c r="I38" s="6">
        <v>2</v>
      </c>
      <c r="J38" s="7">
        <v>0.36</v>
      </c>
      <c r="K38" s="6" t="str">
        <f t="shared" si="1"/>
        <v>Sunday</v>
      </c>
      <c r="L38" s="2" t="str">
        <f t="shared" si="2"/>
        <v>January</v>
      </c>
      <c r="M38" s="2" t="str">
        <f t="shared" si="3"/>
        <v>Spring</v>
      </c>
      <c r="N38" s="2" t="str">
        <f t="shared" si="4"/>
        <v>Sunday</v>
      </c>
      <c r="O38" t="str">
        <f t="shared" si="5"/>
        <v>Cloudy</v>
      </c>
    </row>
    <row r="39" spans="1:15" x14ac:dyDescent="0.25">
      <c r="A39" s="8">
        <v>37</v>
      </c>
      <c r="B39" s="9">
        <v>40545</v>
      </c>
      <c r="C39" s="6">
        <v>1</v>
      </c>
      <c r="D39" s="6" t="str">
        <f t="shared" si="0"/>
        <v>2011</v>
      </c>
      <c r="E39" s="6">
        <v>1</v>
      </c>
      <c r="F39" s="6">
        <v>13</v>
      </c>
      <c r="G39" s="6" t="b">
        <v>0</v>
      </c>
      <c r="H39" s="6">
        <v>0</v>
      </c>
      <c r="I39" s="6">
        <v>2</v>
      </c>
      <c r="J39" s="7">
        <v>0.36</v>
      </c>
      <c r="K39" s="6" t="str">
        <f t="shared" si="1"/>
        <v>Sunday</v>
      </c>
      <c r="L39" s="2" t="str">
        <f t="shared" si="2"/>
        <v>January</v>
      </c>
      <c r="M39" s="2" t="str">
        <f t="shared" si="3"/>
        <v>Spring</v>
      </c>
      <c r="N39" s="2" t="str">
        <f t="shared" si="4"/>
        <v>Sunday</v>
      </c>
      <c r="O39" t="str">
        <f t="shared" si="5"/>
        <v>Cloudy</v>
      </c>
    </row>
    <row r="40" spans="1:15" x14ac:dyDescent="0.25">
      <c r="A40" s="8">
        <v>38</v>
      </c>
      <c r="B40" s="9">
        <v>40545</v>
      </c>
      <c r="C40" s="6">
        <v>1</v>
      </c>
      <c r="D40" s="6" t="str">
        <f t="shared" si="0"/>
        <v>2011</v>
      </c>
      <c r="E40" s="6">
        <v>1</v>
      </c>
      <c r="F40" s="6">
        <v>14</v>
      </c>
      <c r="G40" s="6" t="b">
        <v>0</v>
      </c>
      <c r="H40" s="6">
        <v>0</v>
      </c>
      <c r="I40" s="6">
        <v>3</v>
      </c>
      <c r="J40" s="7">
        <v>0.36</v>
      </c>
      <c r="K40" s="6" t="str">
        <f t="shared" si="1"/>
        <v>Sunday</v>
      </c>
      <c r="L40" s="2" t="str">
        <f t="shared" si="2"/>
        <v>January</v>
      </c>
      <c r="M40" s="2" t="str">
        <f t="shared" si="3"/>
        <v>Spring</v>
      </c>
      <c r="N40" s="2" t="str">
        <f t="shared" si="4"/>
        <v>Sunday</v>
      </c>
      <c r="O40" t="str">
        <f t="shared" si="5"/>
        <v>Rain</v>
      </c>
    </row>
    <row r="41" spans="1:15" x14ac:dyDescent="0.25">
      <c r="A41" s="8">
        <v>39</v>
      </c>
      <c r="B41" s="9">
        <v>40545</v>
      </c>
      <c r="C41" s="6">
        <v>1</v>
      </c>
      <c r="D41" s="6" t="str">
        <f t="shared" si="0"/>
        <v>2011</v>
      </c>
      <c r="E41" s="6">
        <v>1</v>
      </c>
      <c r="F41" s="6">
        <v>15</v>
      </c>
      <c r="G41" s="6" t="b">
        <v>0</v>
      </c>
      <c r="H41" s="6">
        <v>0</v>
      </c>
      <c r="I41" s="6">
        <v>3</v>
      </c>
      <c r="J41" s="7">
        <v>0.34</v>
      </c>
      <c r="K41" s="6" t="str">
        <f t="shared" si="1"/>
        <v>Sunday</v>
      </c>
      <c r="L41" s="2" t="str">
        <f t="shared" si="2"/>
        <v>January</v>
      </c>
      <c r="M41" s="2" t="str">
        <f t="shared" si="3"/>
        <v>Spring</v>
      </c>
      <c r="N41" s="2" t="str">
        <f t="shared" si="4"/>
        <v>Sunday</v>
      </c>
      <c r="O41" t="str">
        <f t="shared" si="5"/>
        <v>Rain</v>
      </c>
    </row>
    <row r="42" spans="1:15" x14ac:dyDescent="0.25">
      <c r="A42" s="8">
        <v>40</v>
      </c>
      <c r="B42" s="9">
        <v>40545</v>
      </c>
      <c r="C42" s="6">
        <v>1</v>
      </c>
      <c r="D42" s="6" t="str">
        <f t="shared" si="0"/>
        <v>2011</v>
      </c>
      <c r="E42" s="6">
        <v>1</v>
      </c>
      <c r="F42" s="6">
        <v>16</v>
      </c>
      <c r="G42" s="6" t="b">
        <v>0</v>
      </c>
      <c r="H42" s="6">
        <v>0</v>
      </c>
      <c r="I42" s="6">
        <v>3</v>
      </c>
      <c r="J42" s="7">
        <v>0.34</v>
      </c>
      <c r="K42" s="6" t="str">
        <f t="shared" si="1"/>
        <v>Sunday</v>
      </c>
      <c r="L42" s="2" t="str">
        <f t="shared" si="2"/>
        <v>January</v>
      </c>
      <c r="M42" s="2" t="str">
        <f t="shared" si="3"/>
        <v>Spring</v>
      </c>
      <c r="N42" s="2" t="str">
        <f t="shared" si="4"/>
        <v>Sunday</v>
      </c>
      <c r="O42" t="str">
        <f t="shared" si="5"/>
        <v>Rain</v>
      </c>
    </row>
    <row r="43" spans="1:15" x14ac:dyDescent="0.25">
      <c r="A43" s="8">
        <v>41</v>
      </c>
      <c r="B43" s="9">
        <v>40545</v>
      </c>
      <c r="C43" s="6">
        <v>1</v>
      </c>
      <c r="D43" s="6" t="str">
        <f t="shared" si="0"/>
        <v>2011</v>
      </c>
      <c r="E43" s="6">
        <v>1</v>
      </c>
      <c r="F43" s="6">
        <v>17</v>
      </c>
      <c r="G43" s="6" t="b">
        <v>0</v>
      </c>
      <c r="H43" s="6">
        <v>0</v>
      </c>
      <c r="I43" s="6">
        <v>1</v>
      </c>
      <c r="J43" s="7">
        <v>0.34</v>
      </c>
      <c r="K43" s="6" t="str">
        <f t="shared" si="1"/>
        <v>Sunday</v>
      </c>
      <c r="L43" s="2" t="str">
        <f t="shared" si="2"/>
        <v>January</v>
      </c>
      <c r="M43" s="2" t="str">
        <f t="shared" si="3"/>
        <v>Spring</v>
      </c>
      <c r="N43" s="2" t="str">
        <f t="shared" si="4"/>
        <v>Sunday</v>
      </c>
      <c r="O43" t="str">
        <f t="shared" si="5"/>
        <v>Clear</v>
      </c>
    </row>
    <row r="44" spans="1:15" x14ac:dyDescent="0.25">
      <c r="A44" s="8">
        <v>42</v>
      </c>
      <c r="B44" s="9">
        <v>40545</v>
      </c>
      <c r="C44" s="6">
        <v>1</v>
      </c>
      <c r="D44" s="6" t="str">
        <f t="shared" si="0"/>
        <v>2011</v>
      </c>
      <c r="E44" s="6">
        <v>1</v>
      </c>
      <c r="F44" s="6">
        <v>18</v>
      </c>
      <c r="G44" s="6" t="b">
        <v>0</v>
      </c>
      <c r="H44" s="6">
        <v>0</v>
      </c>
      <c r="I44" s="6">
        <v>2</v>
      </c>
      <c r="J44" s="7">
        <v>0.36</v>
      </c>
      <c r="K44" s="6" t="str">
        <f t="shared" si="1"/>
        <v>Sunday</v>
      </c>
      <c r="L44" s="2" t="str">
        <f t="shared" si="2"/>
        <v>January</v>
      </c>
      <c r="M44" s="2" t="str">
        <f t="shared" si="3"/>
        <v>Spring</v>
      </c>
      <c r="N44" s="2" t="str">
        <f t="shared" si="4"/>
        <v>Sunday</v>
      </c>
      <c r="O44" t="str">
        <f t="shared" si="5"/>
        <v>Cloudy</v>
      </c>
    </row>
    <row r="45" spans="1:15" x14ac:dyDescent="0.25">
      <c r="A45" s="8">
        <v>43</v>
      </c>
      <c r="B45" s="9">
        <v>40545</v>
      </c>
      <c r="C45" s="6">
        <v>1</v>
      </c>
      <c r="D45" s="6" t="str">
        <f t="shared" si="0"/>
        <v>2011</v>
      </c>
      <c r="E45" s="6">
        <v>1</v>
      </c>
      <c r="F45" s="6">
        <v>19</v>
      </c>
      <c r="G45" s="6" t="b">
        <v>0</v>
      </c>
      <c r="H45" s="6">
        <v>0</v>
      </c>
      <c r="I45" s="6">
        <v>1</v>
      </c>
      <c r="J45" s="7">
        <v>0.32</v>
      </c>
      <c r="K45" s="6" t="str">
        <f t="shared" si="1"/>
        <v>Sunday</v>
      </c>
      <c r="L45" s="2" t="str">
        <f t="shared" si="2"/>
        <v>January</v>
      </c>
      <c r="M45" s="2" t="str">
        <f t="shared" si="3"/>
        <v>Spring</v>
      </c>
      <c r="N45" s="2" t="str">
        <f t="shared" si="4"/>
        <v>Sunday</v>
      </c>
      <c r="O45" t="str">
        <f t="shared" si="5"/>
        <v>Clear</v>
      </c>
    </row>
    <row r="46" spans="1:15" x14ac:dyDescent="0.25">
      <c r="A46" s="8">
        <v>44</v>
      </c>
      <c r="B46" s="9">
        <v>40545</v>
      </c>
      <c r="C46" s="6">
        <v>1</v>
      </c>
      <c r="D46" s="6" t="str">
        <f t="shared" si="0"/>
        <v>2011</v>
      </c>
      <c r="E46" s="6">
        <v>1</v>
      </c>
      <c r="F46" s="6">
        <v>20</v>
      </c>
      <c r="G46" s="6" t="b">
        <v>0</v>
      </c>
      <c r="H46" s="6">
        <v>0</v>
      </c>
      <c r="I46" s="6">
        <v>1</v>
      </c>
      <c r="J46" s="7">
        <v>0.3</v>
      </c>
      <c r="K46" s="6" t="str">
        <f t="shared" si="1"/>
        <v>Sunday</v>
      </c>
      <c r="L46" s="2" t="str">
        <f t="shared" si="2"/>
        <v>January</v>
      </c>
      <c r="M46" s="2" t="str">
        <f t="shared" si="3"/>
        <v>Spring</v>
      </c>
      <c r="N46" s="2" t="str">
        <f t="shared" si="4"/>
        <v>Sunday</v>
      </c>
      <c r="O46" t="str">
        <f t="shared" si="5"/>
        <v>Clear</v>
      </c>
    </row>
    <row r="47" spans="1:15" x14ac:dyDescent="0.25">
      <c r="A47" s="8">
        <v>45</v>
      </c>
      <c r="B47" s="9">
        <v>40545</v>
      </c>
      <c r="C47" s="6">
        <v>1</v>
      </c>
      <c r="D47" s="6" t="str">
        <f t="shared" si="0"/>
        <v>2011</v>
      </c>
      <c r="E47" s="6">
        <v>1</v>
      </c>
      <c r="F47" s="6">
        <v>21</v>
      </c>
      <c r="G47" s="6" t="b">
        <v>0</v>
      </c>
      <c r="H47" s="6">
        <v>0</v>
      </c>
      <c r="I47" s="6">
        <v>1</v>
      </c>
      <c r="J47" s="7">
        <v>0.26</v>
      </c>
      <c r="K47" s="6" t="str">
        <f t="shared" si="1"/>
        <v>Sunday</v>
      </c>
      <c r="L47" s="2" t="str">
        <f t="shared" si="2"/>
        <v>January</v>
      </c>
      <c r="M47" s="2" t="str">
        <f t="shared" si="3"/>
        <v>Spring</v>
      </c>
      <c r="N47" s="2" t="str">
        <f t="shared" si="4"/>
        <v>Sunday</v>
      </c>
      <c r="O47" t="str">
        <f t="shared" si="5"/>
        <v>Clear</v>
      </c>
    </row>
    <row r="48" spans="1:15" x14ac:dyDescent="0.25">
      <c r="A48" s="8">
        <v>46</v>
      </c>
      <c r="B48" s="9">
        <v>40545</v>
      </c>
      <c r="C48" s="6">
        <v>1</v>
      </c>
      <c r="D48" s="6" t="str">
        <f t="shared" si="0"/>
        <v>2011</v>
      </c>
      <c r="E48" s="6">
        <v>1</v>
      </c>
      <c r="F48" s="6">
        <v>22</v>
      </c>
      <c r="G48" s="6" t="b">
        <v>0</v>
      </c>
      <c r="H48" s="6">
        <v>0</v>
      </c>
      <c r="I48" s="6">
        <v>1</v>
      </c>
      <c r="J48" s="7">
        <v>0.24</v>
      </c>
      <c r="K48" s="6" t="str">
        <f t="shared" si="1"/>
        <v>Sunday</v>
      </c>
      <c r="L48" s="2" t="str">
        <f t="shared" si="2"/>
        <v>January</v>
      </c>
      <c r="M48" s="2" t="str">
        <f t="shared" si="3"/>
        <v>Spring</v>
      </c>
      <c r="N48" s="2" t="str">
        <f t="shared" si="4"/>
        <v>Sunday</v>
      </c>
      <c r="O48" t="str">
        <f t="shared" si="5"/>
        <v>Clear</v>
      </c>
    </row>
    <row r="49" spans="1:15" x14ac:dyDescent="0.25">
      <c r="A49" s="8">
        <v>47</v>
      </c>
      <c r="B49" s="9">
        <v>40545</v>
      </c>
      <c r="C49" s="6">
        <v>1</v>
      </c>
      <c r="D49" s="6" t="str">
        <f t="shared" si="0"/>
        <v>2011</v>
      </c>
      <c r="E49" s="6">
        <v>1</v>
      </c>
      <c r="F49" s="6">
        <v>23</v>
      </c>
      <c r="G49" s="6" t="b">
        <v>0</v>
      </c>
      <c r="H49" s="6">
        <v>0</v>
      </c>
      <c r="I49" s="6">
        <v>1</v>
      </c>
      <c r="J49" s="7">
        <v>0.22</v>
      </c>
      <c r="K49" s="6" t="str">
        <f t="shared" si="1"/>
        <v>Sunday</v>
      </c>
      <c r="L49" s="2" t="str">
        <f t="shared" si="2"/>
        <v>January</v>
      </c>
      <c r="M49" s="2" t="str">
        <f t="shared" si="3"/>
        <v>Spring</v>
      </c>
      <c r="N49" s="2" t="str">
        <f t="shared" si="4"/>
        <v>Sunday</v>
      </c>
      <c r="O49" t="str">
        <f t="shared" si="5"/>
        <v>Clear</v>
      </c>
    </row>
    <row r="50" spans="1:15" x14ac:dyDescent="0.25">
      <c r="A50" s="8">
        <v>48</v>
      </c>
      <c r="B50" s="9">
        <v>40546</v>
      </c>
      <c r="C50" s="6">
        <v>1</v>
      </c>
      <c r="D50" s="6" t="str">
        <f t="shared" si="0"/>
        <v>2011</v>
      </c>
      <c r="E50" s="6">
        <v>1</v>
      </c>
      <c r="F50" s="6">
        <v>0</v>
      </c>
      <c r="G50" s="6" t="b">
        <v>0</v>
      </c>
      <c r="H50" s="6">
        <v>1</v>
      </c>
      <c r="I50" s="6">
        <v>1</v>
      </c>
      <c r="J50" s="7">
        <v>0.22</v>
      </c>
      <c r="K50" s="6" t="str">
        <f t="shared" si="1"/>
        <v>Monday</v>
      </c>
      <c r="L50" s="2" t="str">
        <f t="shared" si="2"/>
        <v>January</v>
      </c>
      <c r="M50" s="2" t="str">
        <f t="shared" si="3"/>
        <v>Spring</v>
      </c>
      <c r="N50" s="2" t="str">
        <f t="shared" si="4"/>
        <v>Monday</v>
      </c>
      <c r="O50" t="str">
        <f t="shared" si="5"/>
        <v>Clear</v>
      </c>
    </row>
    <row r="51" spans="1:15" x14ac:dyDescent="0.25">
      <c r="A51" s="8">
        <v>49</v>
      </c>
      <c r="B51" s="9">
        <v>40546</v>
      </c>
      <c r="C51" s="6">
        <v>1</v>
      </c>
      <c r="D51" s="6" t="str">
        <f t="shared" si="0"/>
        <v>2011</v>
      </c>
      <c r="E51" s="6">
        <v>1</v>
      </c>
      <c r="F51" s="6">
        <v>1</v>
      </c>
      <c r="G51" s="6" t="b">
        <v>0</v>
      </c>
      <c r="H51" s="6">
        <v>1</v>
      </c>
      <c r="I51" s="6">
        <v>1</v>
      </c>
      <c r="J51" s="7">
        <v>0.2</v>
      </c>
      <c r="K51" s="6" t="str">
        <f t="shared" si="1"/>
        <v>Monday</v>
      </c>
      <c r="L51" s="2" t="str">
        <f t="shared" si="2"/>
        <v>January</v>
      </c>
      <c r="M51" s="2" t="str">
        <f t="shared" si="3"/>
        <v>Spring</v>
      </c>
      <c r="N51" s="2" t="str">
        <f t="shared" si="4"/>
        <v>Monday</v>
      </c>
      <c r="O51" t="str">
        <f t="shared" si="5"/>
        <v>Clear</v>
      </c>
    </row>
    <row r="52" spans="1:15" x14ac:dyDescent="0.25">
      <c r="A52" s="8">
        <v>50</v>
      </c>
      <c r="B52" s="9">
        <v>40546</v>
      </c>
      <c r="C52" s="6">
        <v>1</v>
      </c>
      <c r="D52" s="6" t="str">
        <f t="shared" si="0"/>
        <v>2011</v>
      </c>
      <c r="E52" s="6">
        <v>1</v>
      </c>
      <c r="F52" s="6">
        <v>4</v>
      </c>
      <c r="G52" s="6" t="b">
        <v>0</v>
      </c>
      <c r="H52" s="6">
        <v>1</v>
      </c>
      <c r="I52" s="6">
        <v>1</v>
      </c>
      <c r="J52" s="7">
        <v>0.16</v>
      </c>
      <c r="K52" s="6" t="str">
        <f t="shared" si="1"/>
        <v>Monday</v>
      </c>
      <c r="L52" s="2" t="str">
        <f t="shared" si="2"/>
        <v>January</v>
      </c>
      <c r="M52" s="2" t="str">
        <f t="shared" si="3"/>
        <v>Spring</v>
      </c>
      <c r="N52" s="2" t="str">
        <f t="shared" si="4"/>
        <v>Monday</v>
      </c>
      <c r="O52" t="str">
        <f t="shared" si="5"/>
        <v>Clear</v>
      </c>
    </row>
    <row r="53" spans="1:15" x14ac:dyDescent="0.25">
      <c r="A53" s="8">
        <v>51</v>
      </c>
      <c r="B53" s="9">
        <v>40546</v>
      </c>
      <c r="C53" s="6">
        <v>1</v>
      </c>
      <c r="D53" s="6" t="str">
        <f t="shared" si="0"/>
        <v>2011</v>
      </c>
      <c r="E53" s="6">
        <v>1</v>
      </c>
      <c r="F53" s="6">
        <v>5</v>
      </c>
      <c r="G53" s="6" t="b">
        <v>0</v>
      </c>
      <c r="H53" s="6">
        <v>1</v>
      </c>
      <c r="I53" s="6">
        <v>1</v>
      </c>
      <c r="J53" s="7">
        <v>0.16</v>
      </c>
      <c r="K53" s="6" t="str">
        <f t="shared" si="1"/>
        <v>Monday</v>
      </c>
      <c r="L53" s="2" t="str">
        <f t="shared" si="2"/>
        <v>January</v>
      </c>
      <c r="M53" s="2" t="str">
        <f t="shared" si="3"/>
        <v>Spring</v>
      </c>
      <c r="N53" s="2" t="str">
        <f t="shared" si="4"/>
        <v>Monday</v>
      </c>
      <c r="O53" t="str">
        <f t="shared" si="5"/>
        <v>Clear</v>
      </c>
    </row>
    <row r="54" spans="1:15" x14ac:dyDescent="0.25">
      <c r="A54" s="8">
        <v>52</v>
      </c>
      <c r="B54" s="9">
        <v>40546</v>
      </c>
      <c r="C54" s="6">
        <v>1</v>
      </c>
      <c r="D54" s="6" t="str">
        <f t="shared" si="0"/>
        <v>2011</v>
      </c>
      <c r="E54" s="6">
        <v>1</v>
      </c>
      <c r="F54" s="6">
        <v>6</v>
      </c>
      <c r="G54" s="6" t="b">
        <v>0</v>
      </c>
      <c r="H54" s="6">
        <v>1</v>
      </c>
      <c r="I54" s="6">
        <v>1</v>
      </c>
      <c r="J54" s="7">
        <v>0.14000000000000001</v>
      </c>
      <c r="K54" s="6" t="str">
        <f t="shared" si="1"/>
        <v>Monday</v>
      </c>
      <c r="L54" s="2" t="str">
        <f t="shared" si="2"/>
        <v>January</v>
      </c>
      <c r="M54" s="2" t="str">
        <f t="shared" si="3"/>
        <v>Spring</v>
      </c>
      <c r="N54" s="2" t="str">
        <f t="shared" si="4"/>
        <v>Monday</v>
      </c>
      <c r="O54" t="str">
        <f t="shared" si="5"/>
        <v>Clear</v>
      </c>
    </row>
    <row r="55" spans="1:15" x14ac:dyDescent="0.25">
      <c r="A55" s="8">
        <v>53</v>
      </c>
      <c r="B55" s="9">
        <v>40546</v>
      </c>
      <c r="C55" s="6">
        <v>1</v>
      </c>
      <c r="D55" s="6" t="str">
        <f t="shared" si="0"/>
        <v>2011</v>
      </c>
      <c r="E55" s="6">
        <v>1</v>
      </c>
      <c r="F55" s="6">
        <v>7</v>
      </c>
      <c r="G55" s="6" t="b">
        <v>0</v>
      </c>
      <c r="H55" s="6">
        <v>1</v>
      </c>
      <c r="I55" s="6">
        <v>1</v>
      </c>
      <c r="J55" s="7">
        <v>0.14000000000000001</v>
      </c>
      <c r="K55" s="6" t="str">
        <f t="shared" si="1"/>
        <v>Monday</v>
      </c>
      <c r="L55" s="2" t="str">
        <f t="shared" si="2"/>
        <v>January</v>
      </c>
      <c r="M55" s="2" t="str">
        <f t="shared" si="3"/>
        <v>Spring</v>
      </c>
      <c r="N55" s="2" t="str">
        <f t="shared" si="4"/>
        <v>Monday</v>
      </c>
      <c r="O55" t="str">
        <f t="shared" si="5"/>
        <v>Clear</v>
      </c>
    </row>
    <row r="56" spans="1:15" x14ac:dyDescent="0.25">
      <c r="A56" s="8">
        <v>54</v>
      </c>
      <c r="B56" s="9">
        <v>40546</v>
      </c>
      <c r="C56" s="6">
        <v>1</v>
      </c>
      <c r="D56" s="6" t="str">
        <f t="shared" si="0"/>
        <v>2011</v>
      </c>
      <c r="E56" s="6">
        <v>1</v>
      </c>
      <c r="F56" s="6">
        <v>8</v>
      </c>
      <c r="G56" s="6" t="b">
        <v>0</v>
      </c>
      <c r="H56" s="6">
        <v>1</v>
      </c>
      <c r="I56" s="6">
        <v>1</v>
      </c>
      <c r="J56" s="7">
        <v>0.14000000000000001</v>
      </c>
      <c r="K56" s="6" t="str">
        <f t="shared" si="1"/>
        <v>Monday</v>
      </c>
      <c r="L56" s="2" t="str">
        <f t="shared" si="2"/>
        <v>January</v>
      </c>
      <c r="M56" s="2" t="str">
        <f t="shared" si="3"/>
        <v>Spring</v>
      </c>
      <c r="N56" s="2" t="str">
        <f t="shared" si="4"/>
        <v>Monday</v>
      </c>
      <c r="O56" t="str">
        <f t="shared" si="5"/>
        <v>Clear</v>
      </c>
    </row>
    <row r="57" spans="1:15" x14ac:dyDescent="0.25">
      <c r="A57" s="8">
        <v>55</v>
      </c>
      <c r="B57" s="9">
        <v>40546</v>
      </c>
      <c r="C57" s="6">
        <v>1</v>
      </c>
      <c r="D57" s="6" t="str">
        <f t="shared" si="0"/>
        <v>2011</v>
      </c>
      <c r="E57" s="6">
        <v>1</v>
      </c>
      <c r="F57" s="6">
        <v>9</v>
      </c>
      <c r="G57" s="6" t="b">
        <v>0</v>
      </c>
      <c r="H57" s="6">
        <v>1</v>
      </c>
      <c r="I57" s="6">
        <v>1</v>
      </c>
      <c r="J57" s="7">
        <v>0.16</v>
      </c>
      <c r="K57" s="6" t="str">
        <f t="shared" si="1"/>
        <v>Monday</v>
      </c>
      <c r="L57" s="2" t="str">
        <f t="shared" si="2"/>
        <v>January</v>
      </c>
      <c r="M57" s="2" t="str">
        <f t="shared" si="3"/>
        <v>Spring</v>
      </c>
      <c r="N57" s="2" t="str">
        <f t="shared" si="4"/>
        <v>Monday</v>
      </c>
      <c r="O57" t="str">
        <f t="shared" si="5"/>
        <v>Clear</v>
      </c>
    </row>
    <row r="58" spans="1:15" x14ac:dyDescent="0.25">
      <c r="A58" s="8">
        <v>56</v>
      </c>
      <c r="B58" s="9">
        <v>40546</v>
      </c>
      <c r="C58" s="6">
        <v>1</v>
      </c>
      <c r="D58" s="6" t="str">
        <f t="shared" si="0"/>
        <v>2011</v>
      </c>
      <c r="E58" s="6">
        <v>1</v>
      </c>
      <c r="F58" s="6">
        <v>10</v>
      </c>
      <c r="G58" s="6" t="b">
        <v>0</v>
      </c>
      <c r="H58" s="6">
        <v>1</v>
      </c>
      <c r="I58" s="6">
        <v>1</v>
      </c>
      <c r="J58" s="7">
        <v>0.18</v>
      </c>
      <c r="K58" s="6" t="str">
        <f t="shared" si="1"/>
        <v>Monday</v>
      </c>
      <c r="L58" s="2" t="str">
        <f t="shared" si="2"/>
        <v>January</v>
      </c>
      <c r="M58" s="2" t="str">
        <f t="shared" si="3"/>
        <v>Spring</v>
      </c>
      <c r="N58" s="2" t="str">
        <f t="shared" si="4"/>
        <v>Monday</v>
      </c>
      <c r="O58" t="str">
        <f t="shared" si="5"/>
        <v>Clear</v>
      </c>
    </row>
    <row r="59" spans="1:15" x14ac:dyDescent="0.25">
      <c r="A59" s="8">
        <v>57</v>
      </c>
      <c r="B59" s="9">
        <v>40546</v>
      </c>
      <c r="C59" s="6">
        <v>1</v>
      </c>
      <c r="D59" s="6" t="str">
        <f t="shared" si="0"/>
        <v>2011</v>
      </c>
      <c r="E59" s="6">
        <v>1</v>
      </c>
      <c r="F59" s="6">
        <v>11</v>
      </c>
      <c r="G59" s="6" t="b">
        <v>0</v>
      </c>
      <c r="H59" s="6">
        <v>1</v>
      </c>
      <c r="I59" s="6">
        <v>1</v>
      </c>
      <c r="J59" s="7">
        <v>0.2</v>
      </c>
      <c r="K59" s="6" t="str">
        <f t="shared" si="1"/>
        <v>Monday</v>
      </c>
      <c r="L59" s="2" t="str">
        <f t="shared" si="2"/>
        <v>January</v>
      </c>
      <c r="M59" s="2" t="str">
        <f t="shared" si="3"/>
        <v>Spring</v>
      </c>
      <c r="N59" s="2" t="str">
        <f t="shared" si="4"/>
        <v>Monday</v>
      </c>
      <c r="O59" t="str">
        <f t="shared" si="5"/>
        <v>Clear</v>
      </c>
    </row>
    <row r="60" spans="1:15" x14ac:dyDescent="0.25">
      <c r="A60" s="8">
        <v>58</v>
      </c>
      <c r="B60" s="9">
        <v>40546</v>
      </c>
      <c r="C60" s="6">
        <v>1</v>
      </c>
      <c r="D60" s="6" t="str">
        <f t="shared" si="0"/>
        <v>2011</v>
      </c>
      <c r="E60" s="6">
        <v>1</v>
      </c>
      <c r="F60" s="6">
        <v>12</v>
      </c>
      <c r="G60" s="6" t="b">
        <v>0</v>
      </c>
      <c r="H60" s="6">
        <v>1</v>
      </c>
      <c r="I60" s="6">
        <v>1</v>
      </c>
      <c r="J60" s="7">
        <v>0.22</v>
      </c>
      <c r="K60" s="6" t="str">
        <f t="shared" si="1"/>
        <v>Monday</v>
      </c>
      <c r="L60" s="2" t="str">
        <f t="shared" si="2"/>
        <v>January</v>
      </c>
      <c r="M60" s="2" t="str">
        <f t="shared" si="3"/>
        <v>Spring</v>
      </c>
      <c r="N60" s="2" t="str">
        <f t="shared" si="4"/>
        <v>Monday</v>
      </c>
      <c r="O60" t="str">
        <f t="shared" si="5"/>
        <v>Clear</v>
      </c>
    </row>
    <row r="61" spans="1:15" x14ac:dyDescent="0.25">
      <c r="A61" s="8">
        <v>59</v>
      </c>
      <c r="B61" s="9">
        <v>40546</v>
      </c>
      <c r="C61" s="6">
        <v>1</v>
      </c>
      <c r="D61" s="6" t="str">
        <f t="shared" si="0"/>
        <v>2011</v>
      </c>
      <c r="E61" s="6">
        <v>1</v>
      </c>
      <c r="F61" s="6">
        <v>13</v>
      </c>
      <c r="G61" s="6" t="b">
        <v>0</v>
      </c>
      <c r="H61" s="6">
        <v>1</v>
      </c>
      <c r="I61" s="6">
        <v>1</v>
      </c>
      <c r="J61" s="7">
        <v>0.24</v>
      </c>
      <c r="K61" s="6" t="str">
        <f t="shared" si="1"/>
        <v>Monday</v>
      </c>
      <c r="L61" s="2" t="str">
        <f t="shared" si="2"/>
        <v>January</v>
      </c>
      <c r="M61" s="2" t="str">
        <f t="shared" si="3"/>
        <v>Spring</v>
      </c>
      <c r="N61" s="2" t="str">
        <f t="shared" si="4"/>
        <v>Monday</v>
      </c>
      <c r="O61" t="str">
        <f t="shared" si="5"/>
        <v>Clear</v>
      </c>
    </row>
    <row r="62" spans="1:15" x14ac:dyDescent="0.25">
      <c r="A62" s="8">
        <v>60</v>
      </c>
      <c r="B62" s="9">
        <v>40546</v>
      </c>
      <c r="C62" s="6">
        <v>1</v>
      </c>
      <c r="D62" s="6" t="str">
        <f t="shared" si="0"/>
        <v>2011</v>
      </c>
      <c r="E62" s="6">
        <v>1</v>
      </c>
      <c r="F62" s="6">
        <v>14</v>
      </c>
      <c r="G62" s="6" t="b">
        <v>0</v>
      </c>
      <c r="H62" s="6">
        <v>1</v>
      </c>
      <c r="I62" s="6">
        <v>1</v>
      </c>
      <c r="J62" s="7">
        <v>0.26</v>
      </c>
      <c r="K62" s="6" t="str">
        <f t="shared" si="1"/>
        <v>Monday</v>
      </c>
      <c r="L62" s="2" t="str">
        <f t="shared" si="2"/>
        <v>January</v>
      </c>
      <c r="M62" s="2" t="str">
        <f t="shared" si="3"/>
        <v>Spring</v>
      </c>
      <c r="N62" s="2" t="str">
        <f t="shared" si="4"/>
        <v>Monday</v>
      </c>
      <c r="O62" t="str">
        <f t="shared" si="5"/>
        <v>Clear</v>
      </c>
    </row>
    <row r="63" spans="1:15" x14ac:dyDescent="0.25">
      <c r="A63" s="8">
        <v>61</v>
      </c>
      <c r="B63" s="9">
        <v>40546</v>
      </c>
      <c r="C63" s="6">
        <v>1</v>
      </c>
      <c r="D63" s="6" t="str">
        <f t="shared" si="0"/>
        <v>2011</v>
      </c>
      <c r="E63" s="6">
        <v>1</v>
      </c>
      <c r="F63" s="6">
        <v>15</v>
      </c>
      <c r="G63" s="6" t="b">
        <v>0</v>
      </c>
      <c r="H63" s="6">
        <v>1</v>
      </c>
      <c r="I63" s="6">
        <v>1</v>
      </c>
      <c r="J63" s="7">
        <v>0.26</v>
      </c>
      <c r="K63" s="6" t="str">
        <f t="shared" si="1"/>
        <v>Monday</v>
      </c>
      <c r="L63" s="2" t="str">
        <f t="shared" si="2"/>
        <v>January</v>
      </c>
      <c r="M63" s="2" t="str">
        <f t="shared" si="3"/>
        <v>Spring</v>
      </c>
      <c r="N63" s="2" t="str">
        <f t="shared" si="4"/>
        <v>Monday</v>
      </c>
      <c r="O63" t="str">
        <f t="shared" si="5"/>
        <v>Clear</v>
      </c>
    </row>
    <row r="64" spans="1:15" x14ac:dyDescent="0.25">
      <c r="A64" s="8">
        <v>62</v>
      </c>
      <c r="B64" s="9">
        <v>40546</v>
      </c>
      <c r="C64" s="6">
        <v>1</v>
      </c>
      <c r="D64" s="6" t="str">
        <f t="shared" si="0"/>
        <v>2011</v>
      </c>
      <c r="E64" s="6">
        <v>1</v>
      </c>
      <c r="F64" s="6">
        <v>16</v>
      </c>
      <c r="G64" s="6" t="b">
        <v>0</v>
      </c>
      <c r="H64" s="6">
        <v>1</v>
      </c>
      <c r="I64" s="6">
        <v>1</v>
      </c>
      <c r="J64" s="7">
        <v>0.26</v>
      </c>
      <c r="K64" s="6" t="str">
        <f t="shared" si="1"/>
        <v>Monday</v>
      </c>
      <c r="L64" s="2" t="str">
        <f t="shared" si="2"/>
        <v>January</v>
      </c>
      <c r="M64" s="2" t="str">
        <f t="shared" si="3"/>
        <v>Spring</v>
      </c>
      <c r="N64" s="2" t="str">
        <f t="shared" si="4"/>
        <v>Monday</v>
      </c>
      <c r="O64" t="str">
        <f t="shared" si="5"/>
        <v>Clear</v>
      </c>
    </row>
    <row r="65" spans="1:15" x14ac:dyDescent="0.25">
      <c r="A65" s="8">
        <v>63</v>
      </c>
      <c r="B65" s="9">
        <v>40546</v>
      </c>
      <c r="C65" s="6">
        <v>1</v>
      </c>
      <c r="D65" s="6" t="str">
        <f t="shared" si="0"/>
        <v>2011</v>
      </c>
      <c r="E65" s="6">
        <v>1</v>
      </c>
      <c r="F65" s="6">
        <v>17</v>
      </c>
      <c r="G65" s="6" t="b">
        <v>0</v>
      </c>
      <c r="H65" s="6">
        <v>1</v>
      </c>
      <c r="I65" s="6">
        <v>1</v>
      </c>
      <c r="J65" s="7">
        <v>0.24</v>
      </c>
      <c r="K65" s="6" t="str">
        <f t="shared" si="1"/>
        <v>Monday</v>
      </c>
      <c r="L65" s="2" t="str">
        <f t="shared" si="2"/>
        <v>January</v>
      </c>
      <c r="M65" s="2" t="str">
        <f t="shared" si="3"/>
        <v>Spring</v>
      </c>
      <c r="N65" s="2" t="str">
        <f t="shared" si="4"/>
        <v>Monday</v>
      </c>
      <c r="O65" t="str">
        <f t="shared" si="5"/>
        <v>Clear</v>
      </c>
    </row>
    <row r="66" spans="1:15" x14ac:dyDescent="0.25">
      <c r="A66" s="8">
        <v>64</v>
      </c>
      <c r="B66" s="9">
        <v>40546</v>
      </c>
      <c r="C66" s="6">
        <v>1</v>
      </c>
      <c r="D66" s="6" t="str">
        <f t="shared" si="0"/>
        <v>2011</v>
      </c>
      <c r="E66" s="6">
        <v>1</v>
      </c>
      <c r="F66" s="6">
        <v>18</v>
      </c>
      <c r="G66" s="6" t="b">
        <v>0</v>
      </c>
      <c r="H66" s="6">
        <v>1</v>
      </c>
      <c r="I66" s="6">
        <v>1</v>
      </c>
      <c r="J66" s="7">
        <v>0.24</v>
      </c>
      <c r="K66" s="6" t="str">
        <f t="shared" si="1"/>
        <v>Monday</v>
      </c>
      <c r="L66" s="2" t="str">
        <f t="shared" si="2"/>
        <v>January</v>
      </c>
      <c r="M66" s="2" t="str">
        <f t="shared" si="3"/>
        <v>Spring</v>
      </c>
      <c r="N66" s="2" t="str">
        <f t="shared" si="4"/>
        <v>Monday</v>
      </c>
      <c r="O66" t="str">
        <f t="shared" si="5"/>
        <v>Clear</v>
      </c>
    </row>
    <row r="67" spans="1:15" x14ac:dyDescent="0.25">
      <c r="A67" s="8">
        <v>65</v>
      </c>
      <c r="B67" s="9">
        <v>40546</v>
      </c>
      <c r="C67" s="6">
        <v>1</v>
      </c>
      <c r="D67" s="6" t="str">
        <f t="shared" si="0"/>
        <v>2011</v>
      </c>
      <c r="E67" s="6">
        <v>1</v>
      </c>
      <c r="F67" s="6">
        <v>19</v>
      </c>
      <c r="G67" s="6" t="b">
        <v>0</v>
      </c>
      <c r="H67" s="6">
        <v>1</v>
      </c>
      <c r="I67" s="6">
        <v>1</v>
      </c>
      <c r="J67" s="7">
        <v>0.2</v>
      </c>
      <c r="K67" s="6" t="str">
        <f t="shared" si="1"/>
        <v>Monday</v>
      </c>
      <c r="L67" s="2" t="str">
        <f t="shared" si="2"/>
        <v>January</v>
      </c>
      <c r="M67" s="2" t="str">
        <f t="shared" si="3"/>
        <v>Spring</v>
      </c>
      <c r="N67" s="2" t="str">
        <f t="shared" si="4"/>
        <v>Monday</v>
      </c>
      <c r="O67" t="str">
        <f t="shared" si="5"/>
        <v>Clear</v>
      </c>
    </row>
    <row r="68" spans="1:15" x14ac:dyDescent="0.25">
      <c r="A68" s="8">
        <v>66</v>
      </c>
      <c r="B68" s="9">
        <v>40546</v>
      </c>
      <c r="C68" s="6">
        <v>1</v>
      </c>
      <c r="D68" s="6" t="str">
        <f t="shared" ref="D68:D131" si="6">TEXT(B68,"yyyy")</f>
        <v>2011</v>
      </c>
      <c r="E68" s="6">
        <v>1</v>
      </c>
      <c r="F68" s="6">
        <v>20</v>
      </c>
      <c r="G68" s="6" t="b">
        <v>0</v>
      </c>
      <c r="H68" s="6">
        <v>1</v>
      </c>
      <c r="I68" s="6">
        <v>1</v>
      </c>
      <c r="J68" s="7">
        <v>0.2</v>
      </c>
      <c r="K68" s="6" t="str">
        <f t="shared" ref="K68:K131" si="7">TEXT(B68,"dddd")</f>
        <v>Monday</v>
      </c>
      <c r="L68" s="2" t="str">
        <f t="shared" ref="L68:L131" si="8">TEXT(B68,"mmmm")</f>
        <v>January</v>
      </c>
      <c r="M68" s="2" t="str">
        <f t="shared" ref="M68:M131" si="9">IF(C68=1,"Spring",IF(C68=2,"Summer",IF(C68=3,"Fall","Winter")))</f>
        <v>Spring</v>
      </c>
      <c r="N68" s="2" t="str">
        <f t="shared" ref="N68:N131" si="10">IF(H68=0,"Sunday",IF(H68=1,"Monday",IF(H68=2,"Tuesday",IF(H68=3,"Wednesday",IF(H68=4,"Thursday",IF(H68=5,"Friday","Saturday"))))))</f>
        <v>Monday</v>
      </c>
      <c r="O68" t="str">
        <f t="shared" si="5"/>
        <v>Clear</v>
      </c>
    </row>
    <row r="69" spans="1:15" x14ac:dyDescent="0.25">
      <c r="A69" s="8">
        <v>67</v>
      </c>
      <c r="B69" s="9">
        <v>40546</v>
      </c>
      <c r="C69" s="6">
        <v>1</v>
      </c>
      <c r="D69" s="6" t="str">
        <f t="shared" si="6"/>
        <v>2011</v>
      </c>
      <c r="E69" s="6">
        <v>1</v>
      </c>
      <c r="F69" s="6">
        <v>21</v>
      </c>
      <c r="G69" s="6" t="b">
        <v>0</v>
      </c>
      <c r="H69" s="6">
        <v>1</v>
      </c>
      <c r="I69" s="6">
        <v>1</v>
      </c>
      <c r="J69" s="7">
        <v>0.18</v>
      </c>
      <c r="K69" s="6" t="str">
        <f t="shared" si="7"/>
        <v>Monday</v>
      </c>
      <c r="L69" s="2" t="str">
        <f t="shared" si="8"/>
        <v>January</v>
      </c>
      <c r="M69" s="2" t="str">
        <f t="shared" si="9"/>
        <v>Spring</v>
      </c>
      <c r="N69" s="2" t="str">
        <f t="shared" si="10"/>
        <v>Monday</v>
      </c>
      <c r="O69" t="str">
        <f t="shared" ref="O69:O132" si="11">IF(I69=1,"Clear",IF(I69=2,"Cloudy",IF(I69=3,"Rain","Heavy Rain")))</f>
        <v>Clear</v>
      </c>
    </row>
    <row r="70" spans="1:15" x14ac:dyDescent="0.25">
      <c r="A70" s="8">
        <v>68</v>
      </c>
      <c r="B70" s="9">
        <v>40546</v>
      </c>
      <c r="C70" s="6">
        <v>1</v>
      </c>
      <c r="D70" s="6" t="str">
        <f t="shared" si="6"/>
        <v>2011</v>
      </c>
      <c r="E70" s="6">
        <v>1</v>
      </c>
      <c r="F70" s="6">
        <v>22</v>
      </c>
      <c r="G70" s="6" t="b">
        <v>0</v>
      </c>
      <c r="H70" s="6">
        <v>1</v>
      </c>
      <c r="I70" s="6">
        <v>1</v>
      </c>
      <c r="J70" s="7">
        <v>0.14000000000000001</v>
      </c>
      <c r="K70" s="6" t="str">
        <f t="shared" si="7"/>
        <v>Monday</v>
      </c>
      <c r="L70" s="2" t="str">
        <f t="shared" si="8"/>
        <v>January</v>
      </c>
      <c r="M70" s="2" t="str">
        <f t="shared" si="9"/>
        <v>Spring</v>
      </c>
      <c r="N70" s="2" t="str">
        <f t="shared" si="10"/>
        <v>Monday</v>
      </c>
      <c r="O70" t="str">
        <f t="shared" si="11"/>
        <v>Clear</v>
      </c>
    </row>
    <row r="71" spans="1:15" x14ac:dyDescent="0.25">
      <c r="A71" s="8">
        <v>69</v>
      </c>
      <c r="B71" s="9">
        <v>40546</v>
      </c>
      <c r="C71" s="6">
        <v>1</v>
      </c>
      <c r="D71" s="6" t="str">
        <f t="shared" si="6"/>
        <v>2011</v>
      </c>
      <c r="E71" s="6">
        <v>1</v>
      </c>
      <c r="F71" s="6">
        <v>23</v>
      </c>
      <c r="G71" s="6" t="b">
        <v>0</v>
      </c>
      <c r="H71" s="6">
        <v>1</v>
      </c>
      <c r="I71" s="6">
        <v>1</v>
      </c>
      <c r="J71" s="7">
        <v>0.18</v>
      </c>
      <c r="K71" s="6" t="str">
        <f t="shared" si="7"/>
        <v>Monday</v>
      </c>
      <c r="L71" s="2" t="str">
        <f t="shared" si="8"/>
        <v>January</v>
      </c>
      <c r="M71" s="2" t="str">
        <f t="shared" si="9"/>
        <v>Spring</v>
      </c>
      <c r="N71" s="2" t="str">
        <f t="shared" si="10"/>
        <v>Monday</v>
      </c>
      <c r="O71" t="str">
        <f t="shared" si="11"/>
        <v>Clear</v>
      </c>
    </row>
    <row r="72" spans="1:15" x14ac:dyDescent="0.25">
      <c r="A72" s="8">
        <v>70</v>
      </c>
      <c r="B72" s="9">
        <v>40547</v>
      </c>
      <c r="C72" s="6">
        <v>1</v>
      </c>
      <c r="D72" s="6" t="str">
        <f t="shared" si="6"/>
        <v>2011</v>
      </c>
      <c r="E72" s="6">
        <v>1</v>
      </c>
      <c r="F72" s="6">
        <v>0</v>
      </c>
      <c r="G72" s="6" t="b">
        <v>0</v>
      </c>
      <c r="H72" s="6">
        <v>2</v>
      </c>
      <c r="I72" s="6">
        <v>1</v>
      </c>
      <c r="J72" s="7">
        <v>0.16</v>
      </c>
      <c r="K72" s="6" t="str">
        <f t="shared" si="7"/>
        <v>Tuesday</v>
      </c>
      <c r="L72" s="2" t="str">
        <f t="shared" si="8"/>
        <v>January</v>
      </c>
      <c r="M72" s="2" t="str">
        <f t="shared" si="9"/>
        <v>Spring</v>
      </c>
      <c r="N72" s="2" t="str">
        <f t="shared" si="10"/>
        <v>Tuesday</v>
      </c>
      <c r="O72" t="str">
        <f t="shared" si="11"/>
        <v>Clear</v>
      </c>
    </row>
    <row r="73" spans="1:15" x14ac:dyDescent="0.25">
      <c r="A73" s="8">
        <v>71</v>
      </c>
      <c r="B73" s="9">
        <v>40547</v>
      </c>
      <c r="C73" s="6">
        <v>1</v>
      </c>
      <c r="D73" s="6" t="str">
        <f t="shared" si="6"/>
        <v>2011</v>
      </c>
      <c r="E73" s="6">
        <v>1</v>
      </c>
      <c r="F73" s="6">
        <v>1</v>
      </c>
      <c r="G73" s="6" t="b">
        <v>0</v>
      </c>
      <c r="H73" s="6">
        <v>2</v>
      </c>
      <c r="I73" s="6">
        <v>1</v>
      </c>
      <c r="J73" s="7">
        <v>0.16</v>
      </c>
      <c r="K73" s="6" t="str">
        <f t="shared" si="7"/>
        <v>Tuesday</v>
      </c>
      <c r="L73" s="2" t="str">
        <f t="shared" si="8"/>
        <v>January</v>
      </c>
      <c r="M73" s="2" t="str">
        <f t="shared" si="9"/>
        <v>Spring</v>
      </c>
      <c r="N73" s="2" t="str">
        <f t="shared" si="10"/>
        <v>Tuesday</v>
      </c>
      <c r="O73" t="str">
        <f t="shared" si="11"/>
        <v>Clear</v>
      </c>
    </row>
    <row r="74" spans="1:15" x14ac:dyDescent="0.25">
      <c r="A74" s="8">
        <v>72</v>
      </c>
      <c r="B74" s="9">
        <v>40547</v>
      </c>
      <c r="C74" s="6">
        <v>1</v>
      </c>
      <c r="D74" s="6" t="str">
        <f t="shared" si="6"/>
        <v>2011</v>
      </c>
      <c r="E74" s="6">
        <v>1</v>
      </c>
      <c r="F74" s="6">
        <v>2</v>
      </c>
      <c r="G74" s="6" t="b">
        <v>0</v>
      </c>
      <c r="H74" s="6">
        <v>2</v>
      </c>
      <c r="I74" s="6">
        <v>1</v>
      </c>
      <c r="J74" s="7">
        <v>0.14000000000000001</v>
      </c>
      <c r="K74" s="6" t="str">
        <f t="shared" si="7"/>
        <v>Tuesday</v>
      </c>
      <c r="L74" s="2" t="str">
        <f t="shared" si="8"/>
        <v>January</v>
      </c>
      <c r="M74" s="2" t="str">
        <f t="shared" si="9"/>
        <v>Spring</v>
      </c>
      <c r="N74" s="2" t="str">
        <f t="shared" si="10"/>
        <v>Tuesday</v>
      </c>
      <c r="O74" t="str">
        <f t="shared" si="11"/>
        <v>Clear</v>
      </c>
    </row>
    <row r="75" spans="1:15" x14ac:dyDescent="0.25">
      <c r="A75" s="8">
        <v>73</v>
      </c>
      <c r="B75" s="9">
        <v>40547</v>
      </c>
      <c r="C75" s="6">
        <v>1</v>
      </c>
      <c r="D75" s="6" t="str">
        <f t="shared" si="6"/>
        <v>2011</v>
      </c>
      <c r="E75" s="6">
        <v>1</v>
      </c>
      <c r="F75" s="6">
        <v>4</v>
      </c>
      <c r="G75" s="6" t="b">
        <v>0</v>
      </c>
      <c r="H75" s="6">
        <v>2</v>
      </c>
      <c r="I75" s="6">
        <v>1</v>
      </c>
      <c r="J75" s="7">
        <v>0.14000000000000001</v>
      </c>
      <c r="K75" s="6" t="str">
        <f t="shared" si="7"/>
        <v>Tuesday</v>
      </c>
      <c r="L75" s="2" t="str">
        <f t="shared" si="8"/>
        <v>January</v>
      </c>
      <c r="M75" s="2" t="str">
        <f t="shared" si="9"/>
        <v>Spring</v>
      </c>
      <c r="N75" s="2" t="str">
        <f t="shared" si="10"/>
        <v>Tuesday</v>
      </c>
      <c r="O75" t="str">
        <f t="shared" si="11"/>
        <v>Clear</v>
      </c>
    </row>
    <row r="76" spans="1:15" x14ac:dyDescent="0.25">
      <c r="A76" s="8">
        <v>74</v>
      </c>
      <c r="B76" s="9">
        <v>40547</v>
      </c>
      <c r="C76" s="6">
        <v>1</v>
      </c>
      <c r="D76" s="6" t="str">
        <f t="shared" si="6"/>
        <v>2011</v>
      </c>
      <c r="E76" s="6">
        <v>1</v>
      </c>
      <c r="F76" s="6">
        <v>5</v>
      </c>
      <c r="G76" s="6" t="b">
        <v>0</v>
      </c>
      <c r="H76" s="6">
        <v>2</v>
      </c>
      <c r="I76" s="6">
        <v>1</v>
      </c>
      <c r="J76" s="7">
        <v>0.12</v>
      </c>
      <c r="K76" s="6" t="str">
        <f t="shared" si="7"/>
        <v>Tuesday</v>
      </c>
      <c r="L76" s="2" t="str">
        <f t="shared" si="8"/>
        <v>January</v>
      </c>
      <c r="M76" s="2" t="str">
        <f t="shared" si="9"/>
        <v>Spring</v>
      </c>
      <c r="N76" s="2" t="str">
        <f t="shared" si="10"/>
        <v>Tuesday</v>
      </c>
      <c r="O76" t="str">
        <f t="shared" si="11"/>
        <v>Clear</v>
      </c>
    </row>
    <row r="77" spans="1:15" x14ac:dyDescent="0.25">
      <c r="A77" s="8">
        <v>75</v>
      </c>
      <c r="B77" s="9">
        <v>40547</v>
      </c>
      <c r="C77" s="6">
        <v>1</v>
      </c>
      <c r="D77" s="6" t="str">
        <f t="shared" si="6"/>
        <v>2011</v>
      </c>
      <c r="E77" s="6">
        <v>1</v>
      </c>
      <c r="F77" s="6">
        <v>6</v>
      </c>
      <c r="G77" s="6" t="b">
        <v>0</v>
      </c>
      <c r="H77" s="6">
        <v>2</v>
      </c>
      <c r="I77" s="6">
        <v>1</v>
      </c>
      <c r="J77" s="7">
        <v>0.12</v>
      </c>
      <c r="K77" s="6" t="str">
        <f t="shared" si="7"/>
        <v>Tuesday</v>
      </c>
      <c r="L77" s="2" t="str">
        <f t="shared" si="8"/>
        <v>January</v>
      </c>
      <c r="M77" s="2" t="str">
        <f t="shared" si="9"/>
        <v>Spring</v>
      </c>
      <c r="N77" s="2" t="str">
        <f t="shared" si="10"/>
        <v>Tuesday</v>
      </c>
      <c r="O77" t="str">
        <f t="shared" si="11"/>
        <v>Clear</v>
      </c>
    </row>
    <row r="78" spans="1:15" x14ac:dyDescent="0.25">
      <c r="A78" s="8">
        <v>76</v>
      </c>
      <c r="B78" s="9">
        <v>40547</v>
      </c>
      <c r="C78" s="6">
        <v>1</v>
      </c>
      <c r="D78" s="6" t="str">
        <f t="shared" si="6"/>
        <v>2011</v>
      </c>
      <c r="E78" s="6">
        <v>1</v>
      </c>
      <c r="F78" s="6">
        <v>7</v>
      </c>
      <c r="G78" s="6" t="b">
        <v>0</v>
      </c>
      <c r="H78" s="6">
        <v>2</v>
      </c>
      <c r="I78" s="6">
        <v>1</v>
      </c>
      <c r="J78" s="7">
        <v>0.12</v>
      </c>
      <c r="K78" s="6" t="str">
        <f t="shared" si="7"/>
        <v>Tuesday</v>
      </c>
      <c r="L78" s="2" t="str">
        <f t="shared" si="8"/>
        <v>January</v>
      </c>
      <c r="M78" s="2" t="str">
        <f t="shared" si="9"/>
        <v>Spring</v>
      </c>
      <c r="N78" s="2" t="str">
        <f t="shared" si="10"/>
        <v>Tuesday</v>
      </c>
      <c r="O78" t="str">
        <f t="shared" si="11"/>
        <v>Clear</v>
      </c>
    </row>
    <row r="79" spans="1:15" x14ac:dyDescent="0.25">
      <c r="A79" s="8">
        <v>77</v>
      </c>
      <c r="B79" s="9">
        <v>40547</v>
      </c>
      <c r="C79" s="6">
        <v>1</v>
      </c>
      <c r="D79" s="6" t="str">
        <f t="shared" si="6"/>
        <v>2011</v>
      </c>
      <c r="E79" s="6">
        <v>1</v>
      </c>
      <c r="F79" s="6">
        <v>8</v>
      </c>
      <c r="G79" s="6" t="b">
        <v>0</v>
      </c>
      <c r="H79" s="6">
        <v>2</v>
      </c>
      <c r="I79" s="6">
        <v>1</v>
      </c>
      <c r="J79" s="7">
        <v>0.14000000000000001</v>
      </c>
      <c r="K79" s="6" t="str">
        <f t="shared" si="7"/>
        <v>Tuesday</v>
      </c>
      <c r="L79" s="2" t="str">
        <f t="shared" si="8"/>
        <v>January</v>
      </c>
      <c r="M79" s="2" t="str">
        <f t="shared" si="9"/>
        <v>Spring</v>
      </c>
      <c r="N79" s="2" t="str">
        <f t="shared" si="10"/>
        <v>Tuesday</v>
      </c>
      <c r="O79" t="str">
        <f t="shared" si="11"/>
        <v>Clear</v>
      </c>
    </row>
    <row r="80" spans="1:15" x14ac:dyDescent="0.25">
      <c r="A80" s="8">
        <v>78</v>
      </c>
      <c r="B80" s="9">
        <v>40547</v>
      </c>
      <c r="C80" s="6">
        <v>1</v>
      </c>
      <c r="D80" s="6" t="str">
        <f t="shared" si="6"/>
        <v>2011</v>
      </c>
      <c r="E80" s="6">
        <v>1</v>
      </c>
      <c r="F80" s="6">
        <v>9</v>
      </c>
      <c r="G80" s="6" t="b">
        <v>0</v>
      </c>
      <c r="H80" s="6">
        <v>2</v>
      </c>
      <c r="I80" s="6">
        <v>1</v>
      </c>
      <c r="J80" s="7">
        <v>0.16</v>
      </c>
      <c r="K80" s="6" t="str">
        <f t="shared" si="7"/>
        <v>Tuesday</v>
      </c>
      <c r="L80" s="2" t="str">
        <f t="shared" si="8"/>
        <v>January</v>
      </c>
      <c r="M80" s="2" t="str">
        <f t="shared" si="9"/>
        <v>Spring</v>
      </c>
      <c r="N80" s="2" t="str">
        <f t="shared" si="10"/>
        <v>Tuesday</v>
      </c>
      <c r="O80" t="str">
        <f t="shared" si="11"/>
        <v>Clear</v>
      </c>
    </row>
    <row r="81" spans="1:15" x14ac:dyDescent="0.25">
      <c r="A81" s="8">
        <v>79</v>
      </c>
      <c r="B81" s="9">
        <v>40547</v>
      </c>
      <c r="C81" s="6">
        <v>1</v>
      </c>
      <c r="D81" s="6" t="str">
        <f t="shared" si="6"/>
        <v>2011</v>
      </c>
      <c r="E81" s="6">
        <v>1</v>
      </c>
      <c r="F81" s="6">
        <v>10</v>
      </c>
      <c r="G81" s="6" t="b">
        <v>0</v>
      </c>
      <c r="H81" s="6">
        <v>2</v>
      </c>
      <c r="I81" s="6">
        <v>2</v>
      </c>
      <c r="J81" s="7">
        <v>0.16</v>
      </c>
      <c r="K81" s="6" t="str">
        <f t="shared" si="7"/>
        <v>Tuesday</v>
      </c>
      <c r="L81" s="2" t="str">
        <f t="shared" si="8"/>
        <v>January</v>
      </c>
      <c r="M81" s="2" t="str">
        <f t="shared" si="9"/>
        <v>Spring</v>
      </c>
      <c r="N81" s="2" t="str">
        <f t="shared" si="10"/>
        <v>Tuesday</v>
      </c>
      <c r="O81" t="str">
        <f t="shared" si="11"/>
        <v>Cloudy</v>
      </c>
    </row>
    <row r="82" spans="1:15" x14ac:dyDescent="0.25">
      <c r="A82" s="8">
        <v>80</v>
      </c>
      <c r="B82" s="9">
        <v>40547</v>
      </c>
      <c r="C82" s="6">
        <v>1</v>
      </c>
      <c r="D82" s="6" t="str">
        <f t="shared" si="6"/>
        <v>2011</v>
      </c>
      <c r="E82" s="6">
        <v>1</v>
      </c>
      <c r="F82" s="6">
        <v>11</v>
      </c>
      <c r="G82" s="6" t="b">
        <v>0</v>
      </c>
      <c r="H82" s="6">
        <v>2</v>
      </c>
      <c r="I82" s="6">
        <v>1</v>
      </c>
      <c r="J82" s="7">
        <v>0.22</v>
      </c>
      <c r="K82" s="6" t="str">
        <f t="shared" si="7"/>
        <v>Tuesday</v>
      </c>
      <c r="L82" s="2" t="str">
        <f t="shared" si="8"/>
        <v>January</v>
      </c>
      <c r="M82" s="2" t="str">
        <f t="shared" si="9"/>
        <v>Spring</v>
      </c>
      <c r="N82" s="2" t="str">
        <f t="shared" si="10"/>
        <v>Tuesday</v>
      </c>
      <c r="O82" t="str">
        <f t="shared" si="11"/>
        <v>Clear</v>
      </c>
    </row>
    <row r="83" spans="1:15" x14ac:dyDescent="0.25">
      <c r="A83" s="8">
        <v>81</v>
      </c>
      <c r="B83" s="9">
        <v>40547</v>
      </c>
      <c r="C83" s="6">
        <v>1</v>
      </c>
      <c r="D83" s="6" t="str">
        <f t="shared" si="6"/>
        <v>2011</v>
      </c>
      <c r="E83" s="6">
        <v>1</v>
      </c>
      <c r="F83" s="6">
        <v>12</v>
      </c>
      <c r="G83" s="6" t="b">
        <v>0</v>
      </c>
      <c r="H83" s="6">
        <v>2</v>
      </c>
      <c r="I83" s="6">
        <v>1</v>
      </c>
      <c r="J83" s="7">
        <v>0.22</v>
      </c>
      <c r="K83" s="6" t="str">
        <f t="shared" si="7"/>
        <v>Tuesday</v>
      </c>
      <c r="L83" s="2" t="str">
        <f t="shared" si="8"/>
        <v>January</v>
      </c>
      <c r="M83" s="2" t="str">
        <f t="shared" si="9"/>
        <v>Spring</v>
      </c>
      <c r="N83" s="2" t="str">
        <f t="shared" si="10"/>
        <v>Tuesday</v>
      </c>
      <c r="O83" t="str">
        <f t="shared" si="11"/>
        <v>Clear</v>
      </c>
    </row>
    <row r="84" spans="1:15" x14ac:dyDescent="0.25">
      <c r="A84" s="8">
        <v>82</v>
      </c>
      <c r="B84" s="9">
        <v>40547</v>
      </c>
      <c r="C84" s="6">
        <v>1</v>
      </c>
      <c r="D84" s="6" t="str">
        <f t="shared" si="6"/>
        <v>2011</v>
      </c>
      <c r="E84" s="6">
        <v>1</v>
      </c>
      <c r="F84" s="6">
        <v>13</v>
      </c>
      <c r="G84" s="6" t="b">
        <v>0</v>
      </c>
      <c r="H84" s="6">
        <v>2</v>
      </c>
      <c r="I84" s="6">
        <v>1</v>
      </c>
      <c r="J84" s="7">
        <v>0.24</v>
      </c>
      <c r="K84" s="6" t="str">
        <f t="shared" si="7"/>
        <v>Tuesday</v>
      </c>
      <c r="L84" s="2" t="str">
        <f t="shared" si="8"/>
        <v>January</v>
      </c>
      <c r="M84" s="2" t="str">
        <f t="shared" si="9"/>
        <v>Spring</v>
      </c>
      <c r="N84" s="2" t="str">
        <f t="shared" si="10"/>
        <v>Tuesday</v>
      </c>
      <c r="O84" t="str">
        <f t="shared" si="11"/>
        <v>Clear</v>
      </c>
    </row>
    <row r="85" spans="1:15" x14ac:dyDescent="0.25">
      <c r="A85" s="8">
        <v>83</v>
      </c>
      <c r="B85" s="9">
        <v>40547</v>
      </c>
      <c r="C85" s="6">
        <v>1</v>
      </c>
      <c r="D85" s="6" t="str">
        <f t="shared" si="6"/>
        <v>2011</v>
      </c>
      <c r="E85" s="6">
        <v>1</v>
      </c>
      <c r="F85" s="6">
        <v>14</v>
      </c>
      <c r="G85" s="6" t="b">
        <v>0</v>
      </c>
      <c r="H85" s="6">
        <v>2</v>
      </c>
      <c r="I85" s="6">
        <v>1</v>
      </c>
      <c r="J85" s="7">
        <v>0.26</v>
      </c>
      <c r="K85" s="6" t="str">
        <f t="shared" si="7"/>
        <v>Tuesday</v>
      </c>
      <c r="L85" s="2" t="str">
        <f t="shared" si="8"/>
        <v>January</v>
      </c>
      <c r="M85" s="2" t="str">
        <f t="shared" si="9"/>
        <v>Spring</v>
      </c>
      <c r="N85" s="2" t="str">
        <f t="shared" si="10"/>
        <v>Tuesday</v>
      </c>
      <c r="O85" t="str">
        <f t="shared" si="11"/>
        <v>Clear</v>
      </c>
    </row>
    <row r="86" spans="1:15" x14ac:dyDescent="0.25">
      <c r="A86" s="8">
        <v>84</v>
      </c>
      <c r="B86" s="9">
        <v>40547</v>
      </c>
      <c r="C86" s="6">
        <v>1</v>
      </c>
      <c r="D86" s="6" t="str">
        <f t="shared" si="6"/>
        <v>2011</v>
      </c>
      <c r="E86" s="6">
        <v>1</v>
      </c>
      <c r="F86" s="6">
        <v>15</v>
      </c>
      <c r="G86" s="6" t="b">
        <v>0</v>
      </c>
      <c r="H86" s="6">
        <v>2</v>
      </c>
      <c r="I86" s="6">
        <v>1</v>
      </c>
      <c r="J86" s="7">
        <v>0.28000000000000003</v>
      </c>
      <c r="K86" s="6" t="str">
        <f t="shared" si="7"/>
        <v>Tuesday</v>
      </c>
      <c r="L86" s="2" t="str">
        <f t="shared" si="8"/>
        <v>January</v>
      </c>
      <c r="M86" s="2" t="str">
        <f t="shared" si="9"/>
        <v>Spring</v>
      </c>
      <c r="N86" s="2" t="str">
        <f t="shared" si="10"/>
        <v>Tuesday</v>
      </c>
      <c r="O86" t="str">
        <f t="shared" si="11"/>
        <v>Clear</v>
      </c>
    </row>
    <row r="87" spans="1:15" x14ac:dyDescent="0.25">
      <c r="A87" s="8">
        <v>85</v>
      </c>
      <c r="B87" s="9">
        <v>40547</v>
      </c>
      <c r="C87" s="6">
        <v>1</v>
      </c>
      <c r="D87" s="6" t="str">
        <f t="shared" si="6"/>
        <v>2011</v>
      </c>
      <c r="E87" s="6">
        <v>1</v>
      </c>
      <c r="F87" s="6">
        <v>16</v>
      </c>
      <c r="G87" s="6" t="b">
        <v>0</v>
      </c>
      <c r="H87" s="6">
        <v>2</v>
      </c>
      <c r="I87" s="6">
        <v>1</v>
      </c>
      <c r="J87" s="7">
        <v>0.3</v>
      </c>
      <c r="K87" s="6" t="str">
        <f t="shared" si="7"/>
        <v>Tuesday</v>
      </c>
      <c r="L87" s="2" t="str">
        <f t="shared" si="8"/>
        <v>January</v>
      </c>
      <c r="M87" s="2" t="str">
        <f t="shared" si="9"/>
        <v>Spring</v>
      </c>
      <c r="N87" s="2" t="str">
        <f t="shared" si="10"/>
        <v>Tuesday</v>
      </c>
      <c r="O87" t="str">
        <f t="shared" si="11"/>
        <v>Clear</v>
      </c>
    </row>
    <row r="88" spans="1:15" x14ac:dyDescent="0.25">
      <c r="A88" s="8">
        <v>86</v>
      </c>
      <c r="B88" s="9">
        <v>40547</v>
      </c>
      <c r="C88" s="6">
        <v>1</v>
      </c>
      <c r="D88" s="6" t="str">
        <f t="shared" si="6"/>
        <v>2011</v>
      </c>
      <c r="E88" s="6">
        <v>1</v>
      </c>
      <c r="F88" s="6">
        <v>17</v>
      </c>
      <c r="G88" s="6" t="b">
        <v>0</v>
      </c>
      <c r="H88" s="6">
        <v>2</v>
      </c>
      <c r="I88" s="6">
        <v>1</v>
      </c>
      <c r="J88" s="7">
        <v>0.28000000000000003</v>
      </c>
      <c r="K88" s="6" t="str">
        <f t="shared" si="7"/>
        <v>Tuesday</v>
      </c>
      <c r="L88" s="2" t="str">
        <f t="shared" si="8"/>
        <v>January</v>
      </c>
      <c r="M88" s="2" t="str">
        <f t="shared" si="9"/>
        <v>Spring</v>
      </c>
      <c r="N88" s="2" t="str">
        <f t="shared" si="10"/>
        <v>Tuesday</v>
      </c>
      <c r="O88" t="str">
        <f t="shared" si="11"/>
        <v>Clear</v>
      </c>
    </row>
    <row r="89" spans="1:15" x14ac:dyDescent="0.25">
      <c r="A89" s="8">
        <v>87</v>
      </c>
      <c r="B89" s="9">
        <v>40547</v>
      </c>
      <c r="C89" s="6">
        <v>1</v>
      </c>
      <c r="D89" s="6" t="str">
        <f t="shared" si="6"/>
        <v>2011</v>
      </c>
      <c r="E89" s="6">
        <v>1</v>
      </c>
      <c r="F89" s="6">
        <v>18</v>
      </c>
      <c r="G89" s="6" t="b">
        <v>0</v>
      </c>
      <c r="H89" s="6">
        <v>2</v>
      </c>
      <c r="I89" s="6">
        <v>1</v>
      </c>
      <c r="J89" s="7">
        <v>0.26</v>
      </c>
      <c r="K89" s="6" t="str">
        <f t="shared" si="7"/>
        <v>Tuesday</v>
      </c>
      <c r="L89" s="2" t="str">
        <f t="shared" si="8"/>
        <v>January</v>
      </c>
      <c r="M89" s="2" t="str">
        <f t="shared" si="9"/>
        <v>Spring</v>
      </c>
      <c r="N89" s="2" t="str">
        <f t="shared" si="10"/>
        <v>Tuesday</v>
      </c>
      <c r="O89" t="str">
        <f t="shared" si="11"/>
        <v>Clear</v>
      </c>
    </row>
    <row r="90" spans="1:15" x14ac:dyDescent="0.25">
      <c r="A90" s="8">
        <v>88</v>
      </c>
      <c r="B90" s="9">
        <v>40547</v>
      </c>
      <c r="C90" s="6">
        <v>1</v>
      </c>
      <c r="D90" s="6" t="str">
        <f t="shared" si="6"/>
        <v>2011</v>
      </c>
      <c r="E90" s="6">
        <v>1</v>
      </c>
      <c r="F90" s="6">
        <v>19</v>
      </c>
      <c r="G90" s="6" t="b">
        <v>0</v>
      </c>
      <c r="H90" s="6">
        <v>2</v>
      </c>
      <c r="I90" s="6">
        <v>1</v>
      </c>
      <c r="J90" s="7">
        <v>0.24</v>
      </c>
      <c r="K90" s="6" t="str">
        <f t="shared" si="7"/>
        <v>Tuesday</v>
      </c>
      <c r="L90" s="2" t="str">
        <f t="shared" si="8"/>
        <v>January</v>
      </c>
      <c r="M90" s="2" t="str">
        <f t="shared" si="9"/>
        <v>Spring</v>
      </c>
      <c r="N90" s="2" t="str">
        <f t="shared" si="10"/>
        <v>Tuesday</v>
      </c>
      <c r="O90" t="str">
        <f t="shared" si="11"/>
        <v>Clear</v>
      </c>
    </row>
    <row r="91" spans="1:15" x14ac:dyDescent="0.25">
      <c r="A91" s="8">
        <v>89</v>
      </c>
      <c r="B91" s="9">
        <v>40547</v>
      </c>
      <c r="C91" s="6">
        <v>1</v>
      </c>
      <c r="D91" s="6" t="str">
        <f t="shared" si="6"/>
        <v>2011</v>
      </c>
      <c r="E91" s="6">
        <v>1</v>
      </c>
      <c r="F91" s="6">
        <v>20</v>
      </c>
      <c r="G91" s="6" t="b">
        <v>0</v>
      </c>
      <c r="H91" s="6">
        <v>2</v>
      </c>
      <c r="I91" s="6">
        <v>1</v>
      </c>
      <c r="J91" s="7">
        <v>0.24</v>
      </c>
      <c r="K91" s="6" t="str">
        <f t="shared" si="7"/>
        <v>Tuesday</v>
      </c>
      <c r="L91" s="2" t="str">
        <f t="shared" si="8"/>
        <v>January</v>
      </c>
      <c r="M91" s="2" t="str">
        <f t="shared" si="9"/>
        <v>Spring</v>
      </c>
      <c r="N91" s="2" t="str">
        <f t="shared" si="10"/>
        <v>Tuesday</v>
      </c>
      <c r="O91" t="str">
        <f t="shared" si="11"/>
        <v>Clear</v>
      </c>
    </row>
    <row r="92" spans="1:15" x14ac:dyDescent="0.25">
      <c r="A92" s="8">
        <v>90</v>
      </c>
      <c r="B92" s="9">
        <v>40547</v>
      </c>
      <c r="C92" s="6">
        <v>1</v>
      </c>
      <c r="D92" s="6" t="str">
        <f t="shared" si="6"/>
        <v>2011</v>
      </c>
      <c r="E92" s="6">
        <v>1</v>
      </c>
      <c r="F92" s="6">
        <v>21</v>
      </c>
      <c r="G92" s="6" t="b">
        <v>0</v>
      </c>
      <c r="H92" s="6">
        <v>2</v>
      </c>
      <c r="I92" s="6">
        <v>1</v>
      </c>
      <c r="J92" s="7">
        <v>0.22</v>
      </c>
      <c r="K92" s="6" t="str">
        <f t="shared" si="7"/>
        <v>Tuesday</v>
      </c>
      <c r="L92" s="2" t="str">
        <f t="shared" si="8"/>
        <v>January</v>
      </c>
      <c r="M92" s="2" t="str">
        <f t="shared" si="9"/>
        <v>Spring</v>
      </c>
      <c r="N92" s="2" t="str">
        <f t="shared" si="10"/>
        <v>Tuesday</v>
      </c>
      <c r="O92" t="str">
        <f t="shared" si="11"/>
        <v>Clear</v>
      </c>
    </row>
    <row r="93" spans="1:15" x14ac:dyDescent="0.25">
      <c r="A93" s="8">
        <v>91</v>
      </c>
      <c r="B93" s="9">
        <v>40547</v>
      </c>
      <c r="C93" s="6">
        <v>1</v>
      </c>
      <c r="D93" s="6" t="str">
        <f t="shared" si="6"/>
        <v>2011</v>
      </c>
      <c r="E93" s="6">
        <v>1</v>
      </c>
      <c r="F93" s="6">
        <v>22</v>
      </c>
      <c r="G93" s="6" t="b">
        <v>0</v>
      </c>
      <c r="H93" s="6">
        <v>2</v>
      </c>
      <c r="I93" s="6">
        <v>1</v>
      </c>
      <c r="J93" s="7">
        <v>0.22</v>
      </c>
      <c r="K93" s="6" t="str">
        <f t="shared" si="7"/>
        <v>Tuesday</v>
      </c>
      <c r="L93" s="2" t="str">
        <f t="shared" si="8"/>
        <v>January</v>
      </c>
      <c r="M93" s="2" t="str">
        <f t="shared" si="9"/>
        <v>Spring</v>
      </c>
      <c r="N93" s="2" t="str">
        <f t="shared" si="10"/>
        <v>Tuesday</v>
      </c>
      <c r="O93" t="str">
        <f t="shared" si="11"/>
        <v>Clear</v>
      </c>
    </row>
    <row r="94" spans="1:15" x14ac:dyDescent="0.25">
      <c r="A94" s="8">
        <v>92</v>
      </c>
      <c r="B94" s="9">
        <v>40547</v>
      </c>
      <c r="C94" s="6">
        <v>1</v>
      </c>
      <c r="D94" s="6" t="str">
        <f t="shared" si="6"/>
        <v>2011</v>
      </c>
      <c r="E94" s="6">
        <v>1</v>
      </c>
      <c r="F94" s="6">
        <v>23</v>
      </c>
      <c r="G94" s="6" t="b">
        <v>0</v>
      </c>
      <c r="H94" s="6">
        <v>2</v>
      </c>
      <c r="I94" s="6">
        <v>1</v>
      </c>
      <c r="J94" s="7">
        <v>0.2</v>
      </c>
      <c r="K94" s="6" t="str">
        <f t="shared" si="7"/>
        <v>Tuesday</v>
      </c>
      <c r="L94" s="2" t="str">
        <f t="shared" si="8"/>
        <v>January</v>
      </c>
      <c r="M94" s="2" t="str">
        <f t="shared" si="9"/>
        <v>Spring</v>
      </c>
      <c r="N94" s="2" t="str">
        <f t="shared" si="10"/>
        <v>Tuesday</v>
      </c>
      <c r="O94" t="str">
        <f t="shared" si="11"/>
        <v>Clear</v>
      </c>
    </row>
    <row r="95" spans="1:15" x14ac:dyDescent="0.25">
      <c r="A95" s="8">
        <v>93</v>
      </c>
      <c r="B95" s="9">
        <v>40548</v>
      </c>
      <c r="C95" s="6">
        <v>1</v>
      </c>
      <c r="D95" s="6" t="str">
        <f t="shared" si="6"/>
        <v>2011</v>
      </c>
      <c r="E95" s="6">
        <v>1</v>
      </c>
      <c r="F95" s="6">
        <v>0</v>
      </c>
      <c r="G95" s="6" t="b">
        <v>0</v>
      </c>
      <c r="H95" s="6">
        <v>3</v>
      </c>
      <c r="I95" s="6">
        <v>1</v>
      </c>
      <c r="J95" s="7">
        <v>0.2</v>
      </c>
      <c r="K95" s="6" t="str">
        <f t="shared" si="7"/>
        <v>Wednesday</v>
      </c>
      <c r="L95" s="2" t="str">
        <f t="shared" si="8"/>
        <v>January</v>
      </c>
      <c r="M95" s="2" t="str">
        <f t="shared" si="9"/>
        <v>Spring</v>
      </c>
      <c r="N95" s="2" t="str">
        <f t="shared" si="10"/>
        <v>Wednesday</v>
      </c>
      <c r="O95" t="str">
        <f t="shared" si="11"/>
        <v>Clear</v>
      </c>
    </row>
    <row r="96" spans="1:15" x14ac:dyDescent="0.25">
      <c r="A96" s="8">
        <v>94</v>
      </c>
      <c r="B96" s="9">
        <v>40548</v>
      </c>
      <c r="C96" s="6">
        <v>1</v>
      </c>
      <c r="D96" s="6" t="str">
        <f t="shared" si="6"/>
        <v>2011</v>
      </c>
      <c r="E96" s="6">
        <v>1</v>
      </c>
      <c r="F96" s="6">
        <v>1</v>
      </c>
      <c r="G96" s="6" t="b">
        <v>0</v>
      </c>
      <c r="H96" s="6">
        <v>3</v>
      </c>
      <c r="I96" s="6">
        <v>1</v>
      </c>
      <c r="J96" s="7">
        <v>0.16</v>
      </c>
      <c r="K96" s="6" t="str">
        <f t="shared" si="7"/>
        <v>Wednesday</v>
      </c>
      <c r="L96" s="2" t="str">
        <f t="shared" si="8"/>
        <v>January</v>
      </c>
      <c r="M96" s="2" t="str">
        <f t="shared" si="9"/>
        <v>Spring</v>
      </c>
      <c r="N96" s="2" t="str">
        <f t="shared" si="10"/>
        <v>Wednesday</v>
      </c>
      <c r="O96" t="str">
        <f t="shared" si="11"/>
        <v>Clear</v>
      </c>
    </row>
    <row r="97" spans="1:15" x14ac:dyDescent="0.25">
      <c r="A97" s="8">
        <v>95</v>
      </c>
      <c r="B97" s="9">
        <v>40548</v>
      </c>
      <c r="C97" s="6">
        <v>1</v>
      </c>
      <c r="D97" s="6" t="str">
        <f t="shared" si="6"/>
        <v>2011</v>
      </c>
      <c r="E97" s="6">
        <v>1</v>
      </c>
      <c r="F97" s="6">
        <v>2</v>
      </c>
      <c r="G97" s="6" t="b">
        <v>0</v>
      </c>
      <c r="H97" s="6">
        <v>3</v>
      </c>
      <c r="I97" s="6">
        <v>1</v>
      </c>
      <c r="J97" s="7">
        <v>0.16</v>
      </c>
      <c r="K97" s="6" t="str">
        <f t="shared" si="7"/>
        <v>Wednesday</v>
      </c>
      <c r="L97" s="2" t="str">
        <f t="shared" si="8"/>
        <v>January</v>
      </c>
      <c r="M97" s="2" t="str">
        <f t="shared" si="9"/>
        <v>Spring</v>
      </c>
      <c r="N97" s="2" t="str">
        <f t="shared" si="10"/>
        <v>Wednesday</v>
      </c>
      <c r="O97" t="str">
        <f t="shared" si="11"/>
        <v>Clear</v>
      </c>
    </row>
    <row r="98" spans="1:15" x14ac:dyDescent="0.25">
      <c r="A98" s="8">
        <v>96</v>
      </c>
      <c r="B98" s="9">
        <v>40548</v>
      </c>
      <c r="C98" s="6">
        <v>1</v>
      </c>
      <c r="D98" s="6" t="str">
        <f t="shared" si="6"/>
        <v>2011</v>
      </c>
      <c r="E98" s="6">
        <v>1</v>
      </c>
      <c r="F98" s="6">
        <v>4</v>
      </c>
      <c r="G98" s="6" t="b">
        <v>0</v>
      </c>
      <c r="H98" s="6">
        <v>3</v>
      </c>
      <c r="I98" s="6">
        <v>1</v>
      </c>
      <c r="J98" s="7">
        <v>0.24</v>
      </c>
      <c r="K98" s="6" t="str">
        <f t="shared" si="7"/>
        <v>Wednesday</v>
      </c>
      <c r="L98" s="2" t="str">
        <f t="shared" si="8"/>
        <v>January</v>
      </c>
      <c r="M98" s="2" t="str">
        <f t="shared" si="9"/>
        <v>Spring</v>
      </c>
      <c r="N98" s="2" t="str">
        <f t="shared" si="10"/>
        <v>Wednesday</v>
      </c>
      <c r="O98" t="str">
        <f t="shared" si="11"/>
        <v>Clear</v>
      </c>
    </row>
    <row r="99" spans="1:15" x14ac:dyDescent="0.25">
      <c r="A99" s="8">
        <v>97</v>
      </c>
      <c r="B99" s="9">
        <v>40548</v>
      </c>
      <c r="C99" s="6">
        <v>1</v>
      </c>
      <c r="D99" s="6" t="str">
        <f t="shared" si="6"/>
        <v>2011</v>
      </c>
      <c r="E99" s="6">
        <v>1</v>
      </c>
      <c r="F99" s="6">
        <v>5</v>
      </c>
      <c r="G99" s="6" t="b">
        <v>0</v>
      </c>
      <c r="H99" s="6">
        <v>3</v>
      </c>
      <c r="I99" s="6">
        <v>1</v>
      </c>
      <c r="J99" s="7">
        <v>0.22</v>
      </c>
      <c r="K99" s="6" t="str">
        <f t="shared" si="7"/>
        <v>Wednesday</v>
      </c>
      <c r="L99" s="2" t="str">
        <f t="shared" si="8"/>
        <v>January</v>
      </c>
      <c r="M99" s="2" t="str">
        <f t="shared" si="9"/>
        <v>Spring</v>
      </c>
      <c r="N99" s="2" t="str">
        <f t="shared" si="10"/>
        <v>Wednesday</v>
      </c>
      <c r="O99" t="str">
        <f t="shared" si="11"/>
        <v>Clear</v>
      </c>
    </row>
    <row r="100" spans="1:15" x14ac:dyDescent="0.25">
      <c r="A100" s="8">
        <v>98</v>
      </c>
      <c r="B100" s="9">
        <v>40548</v>
      </c>
      <c r="C100" s="6">
        <v>1</v>
      </c>
      <c r="D100" s="6" t="str">
        <f t="shared" si="6"/>
        <v>2011</v>
      </c>
      <c r="E100" s="6">
        <v>1</v>
      </c>
      <c r="F100" s="6">
        <v>6</v>
      </c>
      <c r="G100" s="6" t="b">
        <v>0</v>
      </c>
      <c r="H100" s="6">
        <v>3</v>
      </c>
      <c r="I100" s="6">
        <v>1</v>
      </c>
      <c r="J100" s="7">
        <v>0.2</v>
      </c>
      <c r="K100" s="6" t="str">
        <f t="shared" si="7"/>
        <v>Wednesday</v>
      </c>
      <c r="L100" s="2" t="str">
        <f t="shared" si="8"/>
        <v>January</v>
      </c>
      <c r="M100" s="2" t="str">
        <f t="shared" si="9"/>
        <v>Spring</v>
      </c>
      <c r="N100" s="2" t="str">
        <f t="shared" si="10"/>
        <v>Wednesday</v>
      </c>
      <c r="O100" t="str">
        <f t="shared" si="11"/>
        <v>Clear</v>
      </c>
    </row>
    <row r="101" spans="1:15" x14ac:dyDescent="0.25">
      <c r="A101" s="8">
        <v>99</v>
      </c>
      <c r="B101" s="9">
        <v>40548</v>
      </c>
      <c r="C101" s="6">
        <v>1</v>
      </c>
      <c r="D101" s="6" t="str">
        <f t="shared" si="6"/>
        <v>2011</v>
      </c>
      <c r="E101" s="6">
        <v>1</v>
      </c>
      <c r="F101" s="6">
        <v>7</v>
      </c>
      <c r="G101" s="6" t="b">
        <v>0</v>
      </c>
      <c r="H101" s="6">
        <v>3</v>
      </c>
      <c r="I101" s="6">
        <v>1</v>
      </c>
      <c r="J101" s="7">
        <v>0.18</v>
      </c>
      <c r="K101" s="6" t="str">
        <f t="shared" si="7"/>
        <v>Wednesday</v>
      </c>
      <c r="L101" s="2" t="str">
        <f t="shared" si="8"/>
        <v>January</v>
      </c>
      <c r="M101" s="2" t="str">
        <f t="shared" si="9"/>
        <v>Spring</v>
      </c>
      <c r="N101" s="2" t="str">
        <f t="shared" si="10"/>
        <v>Wednesday</v>
      </c>
      <c r="O101" t="str">
        <f t="shared" si="11"/>
        <v>Clear</v>
      </c>
    </row>
    <row r="102" spans="1:15" x14ac:dyDescent="0.25">
      <c r="A102" s="8">
        <v>100</v>
      </c>
      <c r="B102" s="9">
        <v>40548</v>
      </c>
      <c r="C102" s="6">
        <v>1</v>
      </c>
      <c r="D102" s="6" t="str">
        <f t="shared" si="6"/>
        <v>2011</v>
      </c>
      <c r="E102" s="6">
        <v>1</v>
      </c>
      <c r="F102" s="6">
        <v>8</v>
      </c>
      <c r="G102" s="6" t="b">
        <v>0</v>
      </c>
      <c r="H102" s="6">
        <v>3</v>
      </c>
      <c r="I102" s="6">
        <v>1</v>
      </c>
      <c r="J102" s="7">
        <v>0.2</v>
      </c>
      <c r="K102" s="6" t="str">
        <f t="shared" si="7"/>
        <v>Wednesday</v>
      </c>
      <c r="L102" s="2" t="str">
        <f t="shared" si="8"/>
        <v>January</v>
      </c>
      <c r="M102" s="2" t="str">
        <f t="shared" si="9"/>
        <v>Spring</v>
      </c>
      <c r="N102" s="2" t="str">
        <f t="shared" si="10"/>
        <v>Wednesday</v>
      </c>
      <c r="O102" t="str">
        <f t="shared" si="11"/>
        <v>Clear</v>
      </c>
    </row>
    <row r="103" spans="1:15" x14ac:dyDescent="0.25">
      <c r="A103" s="8">
        <v>101</v>
      </c>
      <c r="B103" s="9">
        <v>40548</v>
      </c>
      <c r="C103" s="6">
        <v>1</v>
      </c>
      <c r="D103" s="6" t="str">
        <f t="shared" si="6"/>
        <v>2011</v>
      </c>
      <c r="E103" s="6">
        <v>1</v>
      </c>
      <c r="F103" s="6">
        <v>9</v>
      </c>
      <c r="G103" s="6" t="b">
        <v>0</v>
      </c>
      <c r="H103" s="6">
        <v>3</v>
      </c>
      <c r="I103" s="6">
        <v>1</v>
      </c>
      <c r="J103" s="7">
        <v>0.22</v>
      </c>
      <c r="K103" s="6" t="str">
        <f t="shared" si="7"/>
        <v>Wednesday</v>
      </c>
      <c r="L103" s="2" t="str">
        <f t="shared" si="8"/>
        <v>January</v>
      </c>
      <c r="M103" s="2" t="str">
        <f t="shared" si="9"/>
        <v>Spring</v>
      </c>
      <c r="N103" s="2" t="str">
        <f t="shared" si="10"/>
        <v>Wednesday</v>
      </c>
      <c r="O103" t="str">
        <f t="shared" si="11"/>
        <v>Clear</v>
      </c>
    </row>
    <row r="104" spans="1:15" x14ac:dyDescent="0.25">
      <c r="A104" s="8">
        <v>102</v>
      </c>
      <c r="B104" s="9">
        <v>40548</v>
      </c>
      <c r="C104" s="6">
        <v>1</v>
      </c>
      <c r="D104" s="6" t="str">
        <f t="shared" si="6"/>
        <v>2011</v>
      </c>
      <c r="E104" s="6">
        <v>1</v>
      </c>
      <c r="F104" s="6">
        <v>10</v>
      </c>
      <c r="G104" s="6" t="b">
        <v>0</v>
      </c>
      <c r="H104" s="6">
        <v>3</v>
      </c>
      <c r="I104" s="6">
        <v>1</v>
      </c>
      <c r="J104" s="7">
        <v>0.22</v>
      </c>
      <c r="K104" s="6" t="str">
        <f t="shared" si="7"/>
        <v>Wednesday</v>
      </c>
      <c r="L104" s="2" t="str">
        <f t="shared" si="8"/>
        <v>January</v>
      </c>
      <c r="M104" s="2" t="str">
        <f t="shared" si="9"/>
        <v>Spring</v>
      </c>
      <c r="N104" s="2" t="str">
        <f t="shared" si="10"/>
        <v>Wednesday</v>
      </c>
      <c r="O104" t="str">
        <f t="shared" si="11"/>
        <v>Clear</v>
      </c>
    </row>
    <row r="105" spans="1:15" x14ac:dyDescent="0.25">
      <c r="A105" s="8">
        <v>103</v>
      </c>
      <c r="B105" s="9">
        <v>40548</v>
      </c>
      <c r="C105" s="6">
        <v>1</v>
      </c>
      <c r="D105" s="6" t="str">
        <f t="shared" si="6"/>
        <v>2011</v>
      </c>
      <c r="E105" s="6">
        <v>1</v>
      </c>
      <c r="F105" s="6">
        <v>11</v>
      </c>
      <c r="G105" s="6" t="b">
        <v>0</v>
      </c>
      <c r="H105" s="6">
        <v>3</v>
      </c>
      <c r="I105" s="6">
        <v>1</v>
      </c>
      <c r="J105" s="7">
        <v>0.26</v>
      </c>
      <c r="K105" s="6" t="str">
        <f t="shared" si="7"/>
        <v>Wednesday</v>
      </c>
      <c r="L105" s="2" t="str">
        <f t="shared" si="8"/>
        <v>January</v>
      </c>
      <c r="M105" s="2" t="str">
        <f t="shared" si="9"/>
        <v>Spring</v>
      </c>
      <c r="N105" s="2" t="str">
        <f t="shared" si="10"/>
        <v>Wednesday</v>
      </c>
      <c r="O105" t="str">
        <f t="shared" si="11"/>
        <v>Clear</v>
      </c>
    </row>
    <row r="106" spans="1:15" x14ac:dyDescent="0.25">
      <c r="A106" s="8">
        <v>104</v>
      </c>
      <c r="B106" s="9">
        <v>40548</v>
      </c>
      <c r="C106" s="6">
        <v>1</v>
      </c>
      <c r="D106" s="6" t="str">
        <f t="shared" si="6"/>
        <v>2011</v>
      </c>
      <c r="E106" s="6">
        <v>1</v>
      </c>
      <c r="F106" s="6">
        <v>12</v>
      </c>
      <c r="G106" s="6" t="b">
        <v>0</v>
      </c>
      <c r="H106" s="6">
        <v>3</v>
      </c>
      <c r="I106" s="6">
        <v>1</v>
      </c>
      <c r="J106" s="7">
        <v>0.26</v>
      </c>
      <c r="K106" s="6" t="str">
        <f t="shared" si="7"/>
        <v>Wednesday</v>
      </c>
      <c r="L106" s="2" t="str">
        <f t="shared" si="8"/>
        <v>January</v>
      </c>
      <c r="M106" s="2" t="str">
        <f t="shared" si="9"/>
        <v>Spring</v>
      </c>
      <c r="N106" s="2" t="str">
        <f t="shared" si="10"/>
        <v>Wednesday</v>
      </c>
      <c r="O106" t="str">
        <f t="shared" si="11"/>
        <v>Clear</v>
      </c>
    </row>
    <row r="107" spans="1:15" x14ac:dyDescent="0.25">
      <c r="A107" s="8">
        <v>105</v>
      </c>
      <c r="B107" s="9">
        <v>40548</v>
      </c>
      <c r="C107" s="6">
        <v>1</v>
      </c>
      <c r="D107" s="6" t="str">
        <f t="shared" si="6"/>
        <v>2011</v>
      </c>
      <c r="E107" s="6">
        <v>1</v>
      </c>
      <c r="F107" s="6">
        <v>13</v>
      </c>
      <c r="G107" s="6" t="b">
        <v>0</v>
      </c>
      <c r="H107" s="6">
        <v>3</v>
      </c>
      <c r="I107" s="6">
        <v>1</v>
      </c>
      <c r="J107" s="7">
        <v>0.28000000000000003</v>
      </c>
      <c r="K107" s="6" t="str">
        <f t="shared" si="7"/>
        <v>Wednesday</v>
      </c>
      <c r="L107" s="2" t="str">
        <f t="shared" si="8"/>
        <v>January</v>
      </c>
      <c r="M107" s="2" t="str">
        <f t="shared" si="9"/>
        <v>Spring</v>
      </c>
      <c r="N107" s="2" t="str">
        <f t="shared" si="10"/>
        <v>Wednesday</v>
      </c>
      <c r="O107" t="str">
        <f t="shared" si="11"/>
        <v>Clear</v>
      </c>
    </row>
    <row r="108" spans="1:15" x14ac:dyDescent="0.25">
      <c r="A108" s="8">
        <v>106</v>
      </c>
      <c r="B108" s="9">
        <v>40548</v>
      </c>
      <c r="C108" s="6">
        <v>1</v>
      </c>
      <c r="D108" s="6" t="str">
        <f t="shared" si="6"/>
        <v>2011</v>
      </c>
      <c r="E108" s="6">
        <v>1</v>
      </c>
      <c r="F108" s="6">
        <v>14</v>
      </c>
      <c r="G108" s="6" t="b">
        <v>0</v>
      </c>
      <c r="H108" s="6">
        <v>3</v>
      </c>
      <c r="I108" s="6">
        <v>1</v>
      </c>
      <c r="J108" s="7">
        <v>0.3</v>
      </c>
      <c r="K108" s="6" t="str">
        <f t="shared" si="7"/>
        <v>Wednesday</v>
      </c>
      <c r="L108" s="2" t="str">
        <f t="shared" si="8"/>
        <v>January</v>
      </c>
      <c r="M108" s="2" t="str">
        <f t="shared" si="9"/>
        <v>Spring</v>
      </c>
      <c r="N108" s="2" t="str">
        <f t="shared" si="10"/>
        <v>Wednesday</v>
      </c>
      <c r="O108" t="str">
        <f t="shared" si="11"/>
        <v>Clear</v>
      </c>
    </row>
    <row r="109" spans="1:15" x14ac:dyDescent="0.25">
      <c r="A109" s="8">
        <v>107</v>
      </c>
      <c r="B109" s="9">
        <v>40548</v>
      </c>
      <c r="C109" s="6">
        <v>1</v>
      </c>
      <c r="D109" s="6" t="str">
        <f t="shared" si="6"/>
        <v>2011</v>
      </c>
      <c r="E109" s="6">
        <v>1</v>
      </c>
      <c r="F109" s="6">
        <v>15</v>
      </c>
      <c r="G109" s="6" t="b">
        <v>0</v>
      </c>
      <c r="H109" s="6">
        <v>3</v>
      </c>
      <c r="I109" s="6">
        <v>1</v>
      </c>
      <c r="J109" s="7">
        <v>0.3</v>
      </c>
      <c r="K109" s="6" t="str">
        <f t="shared" si="7"/>
        <v>Wednesday</v>
      </c>
      <c r="L109" s="2" t="str">
        <f t="shared" si="8"/>
        <v>January</v>
      </c>
      <c r="M109" s="2" t="str">
        <f t="shared" si="9"/>
        <v>Spring</v>
      </c>
      <c r="N109" s="2" t="str">
        <f t="shared" si="10"/>
        <v>Wednesday</v>
      </c>
      <c r="O109" t="str">
        <f t="shared" si="11"/>
        <v>Clear</v>
      </c>
    </row>
    <row r="110" spans="1:15" x14ac:dyDescent="0.25">
      <c r="A110" s="8">
        <v>108</v>
      </c>
      <c r="B110" s="9">
        <v>40548</v>
      </c>
      <c r="C110" s="6">
        <v>1</v>
      </c>
      <c r="D110" s="6" t="str">
        <f t="shared" si="6"/>
        <v>2011</v>
      </c>
      <c r="E110" s="6">
        <v>1</v>
      </c>
      <c r="F110" s="6">
        <v>16</v>
      </c>
      <c r="G110" s="6" t="b">
        <v>0</v>
      </c>
      <c r="H110" s="6">
        <v>3</v>
      </c>
      <c r="I110" s="6">
        <v>1</v>
      </c>
      <c r="J110" s="7">
        <v>0.3</v>
      </c>
      <c r="K110" s="6" t="str">
        <f t="shared" si="7"/>
        <v>Wednesday</v>
      </c>
      <c r="L110" s="2" t="str">
        <f t="shared" si="8"/>
        <v>January</v>
      </c>
      <c r="M110" s="2" t="str">
        <f t="shared" si="9"/>
        <v>Spring</v>
      </c>
      <c r="N110" s="2" t="str">
        <f t="shared" si="10"/>
        <v>Wednesday</v>
      </c>
      <c r="O110" t="str">
        <f t="shared" si="11"/>
        <v>Clear</v>
      </c>
    </row>
    <row r="111" spans="1:15" x14ac:dyDescent="0.25">
      <c r="A111" s="8">
        <v>109</v>
      </c>
      <c r="B111" s="9">
        <v>40548</v>
      </c>
      <c r="C111" s="6">
        <v>1</v>
      </c>
      <c r="D111" s="6" t="str">
        <f t="shared" si="6"/>
        <v>2011</v>
      </c>
      <c r="E111" s="6">
        <v>1</v>
      </c>
      <c r="F111" s="6">
        <v>17</v>
      </c>
      <c r="G111" s="6" t="b">
        <v>0</v>
      </c>
      <c r="H111" s="6">
        <v>3</v>
      </c>
      <c r="I111" s="6">
        <v>1</v>
      </c>
      <c r="J111" s="7">
        <v>0.24</v>
      </c>
      <c r="K111" s="6" t="str">
        <f t="shared" si="7"/>
        <v>Wednesday</v>
      </c>
      <c r="L111" s="2" t="str">
        <f t="shared" si="8"/>
        <v>January</v>
      </c>
      <c r="M111" s="2" t="str">
        <f t="shared" si="9"/>
        <v>Spring</v>
      </c>
      <c r="N111" s="2" t="str">
        <f t="shared" si="10"/>
        <v>Wednesday</v>
      </c>
      <c r="O111" t="str">
        <f t="shared" si="11"/>
        <v>Clear</v>
      </c>
    </row>
    <row r="112" spans="1:15" x14ac:dyDescent="0.25">
      <c r="A112" s="8">
        <v>110</v>
      </c>
      <c r="B112" s="9">
        <v>40548</v>
      </c>
      <c r="C112" s="6">
        <v>1</v>
      </c>
      <c r="D112" s="6" t="str">
        <f t="shared" si="6"/>
        <v>2011</v>
      </c>
      <c r="E112" s="6">
        <v>1</v>
      </c>
      <c r="F112" s="6">
        <v>18</v>
      </c>
      <c r="G112" s="6" t="b">
        <v>0</v>
      </c>
      <c r="H112" s="6">
        <v>3</v>
      </c>
      <c r="I112" s="6">
        <v>1</v>
      </c>
      <c r="J112" s="7">
        <v>0.24</v>
      </c>
      <c r="K112" s="6" t="str">
        <f t="shared" si="7"/>
        <v>Wednesday</v>
      </c>
      <c r="L112" s="2" t="str">
        <f t="shared" si="8"/>
        <v>January</v>
      </c>
      <c r="M112" s="2" t="str">
        <f t="shared" si="9"/>
        <v>Spring</v>
      </c>
      <c r="N112" s="2" t="str">
        <f t="shared" si="10"/>
        <v>Wednesday</v>
      </c>
      <c r="O112" t="str">
        <f t="shared" si="11"/>
        <v>Clear</v>
      </c>
    </row>
    <row r="113" spans="1:15" x14ac:dyDescent="0.25">
      <c r="A113" s="8">
        <v>111</v>
      </c>
      <c r="B113" s="9">
        <v>40548</v>
      </c>
      <c r="C113" s="6">
        <v>1</v>
      </c>
      <c r="D113" s="6" t="str">
        <f t="shared" si="6"/>
        <v>2011</v>
      </c>
      <c r="E113" s="6">
        <v>1</v>
      </c>
      <c r="F113" s="6">
        <v>19</v>
      </c>
      <c r="G113" s="6" t="b">
        <v>0</v>
      </c>
      <c r="H113" s="6">
        <v>3</v>
      </c>
      <c r="I113" s="6">
        <v>1</v>
      </c>
      <c r="J113" s="7">
        <v>0.24</v>
      </c>
      <c r="K113" s="6" t="str">
        <f t="shared" si="7"/>
        <v>Wednesday</v>
      </c>
      <c r="L113" s="2" t="str">
        <f t="shared" si="8"/>
        <v>January</v>
      </c>
      <c r="M113" s="2" t="str">
        <f t="shared" si="9"/>
        <v>Spring</v>
      </c>
      <c r="N113" s="2" t="str">
        <f t="shared" si="10"/>
        <v>Wednesday</v>
      </c>
      <c r="O113" t="str">
        <f t="shared" si="11"/>
        <v>Clear</v>
      </c>
    </row>
    <row r="114" spans="1:15" x14ac:dyDescent="0.25">
      <c r="A114" s="8">
        <v>112</v>
      </c>
      <c r="B114" s="9">
        <v>40548</v>
      </c>
      <c r="C114" s="6">
        <v>1</v>
      </c>
      <c r="D114" s="6" t="str">
        <f t="shared" si="6"/>
        <v>2011</v>
      </c>
      <c r="E114" s="6">
        <v>1</v>
      </c>
      <c r="F114" s="6">
        <v>20</v>
      </c>
      <c r="G114" s="6" t="b">
        <v>0</v>
      </c>
      <c r="H114" s="6">
        <v>3</v>
      </c>
      <c r="I114" s="6">
        <v>1</v>
      </c>
      <c r="J114" s="7">
        <v>0.22</v>
      </c>
      <c r="K114" s="6" t="str">
        <f t="shared" si="7"/>
        <v>Wednesday</v>
      </c>
      <c r="L114" s="2" t="str">
        <f t="shared" si="8"/>
        <v>January</v>
      </c>
      <c r="M114" s="2" t="str">
        <f t="shared" si="9"/>
        <v>Spring</v>
      </c>
      <c r="N114" s="2" t="str">
        <f t="shared" si="10"/>
        <v>Wednesday</v>
      </c>
      <c r="O114" t="str">
        <f t="shared" si="11"/>
        <v>Clear</v>
      </c>
    </row>
    <row r="115" spans="1:15" x14ac:dyDescent="0.25">
      <c r="A115" s="8">
        <v>113</v>
      </c>
      <c r="B115" s="9">
        <v>40548</v>
      </c>
      <c r="C115" s="6">
        <v>1</v>
      </c>
      <c r="D115" s="6" t="str">
        <f t="shared" si="6"/>
        <v>2011</v>
      </c>
      <c r="E115" s="6">
        <v>1</v>
      </c>
      <c r="F115" s="6">
        <v>21</v>
      </c>
      <c r="G115" s="6" t="b">
        <v>0</v>
      </c>
      <c r="H115" s="6">
        <v>3</v>
      </c>
      <c r="I115" s="6">
        <v>1</v>
      </c>
      <c r="J115" s="7">
        <v>0.2</v>
      </c>
      <c r="K115" s="6" t="str">
        <f t="shared" si="7"/>
        <v>Wednesday</v>
      </c>
      <c r="L115" s="2" t="str">
        <f t="shared" si="8"/>
        <v>January</v>
      </c>
      <c r="M115" s="2" t="str">
        <f t="shared" si="9"/>
        <v>Spring</v>
      </c>
      <c r="N115" s="2" t="str">
        <f t="shared" si="10"/>
        <v>Wednesday</v>
      </c>
      <c r="O115" t="str">
        <f t="shared" si="11"/>
        <v>Clear</v>
      </c>
    </row>
    <row r="116" spans="1:15" x14ac:dyDescent="0.25">
      <c r="A116" s="8">
        <v>114</v>
      </c>
      <c r="B116" s="9">
        <v>40548</v>
      </c>
      <c r="C116" s="6">
        <v>1</v>
      </c>
      <c r="D116" s="6" t="str">
        <f t="shared" si="6"/>
        <v>2011</v>
      </c>
      <c r="E116" s="6">
        <v>1</v>
      </c>
      <c r="F116" s="6">
        <v>22</v>
      </c>
      <c r="G116" s="6" t="b">
        <v>0</v>
      </c>
      <c r="H116" s="6">
        <v>3</v>
      </c>
      <c r="I116" s="6">
        <v>1</v>
      </c>
      <c r="J116" s="7">
        <v>0.18</v>
      </c>
      <c r="K116" s="6" t="str">
        <f t="shared" si="7"/>
        <v>Wednesday</v>
      </c>
      <c r="L116" s="2" t="str">
        <f t="shared" si="8"/>
        <v>January</v>
      </c>
      <c r="M116" s="2" t="str">
        <f t="shared" si="9"/>
        <v>Spring</v>
      </c>
      <c r="N116" s="2" t="str">
        <f t="shared" si="10"/>
        <v>Wednesday</v>
      </c>
      <c r="O116" t="str">
        <f t="shared" si="11"/>
        <v>Clear</v>
      </c>
    </row>
    <row r="117" spans="1:15" x14ac:dyDescent="0.25">
      <c r="A117" s="8">
        <v>115</v>
      </c>
      <c r="B117" s="9">
        <v>40548</v>
      </c>
      <c r="C117" s="6">
        <v>1</v>
      </c>
      <c r="D117" s="6" t="str">
        <f t="shared" si="6"/>
        <v>2011</v>
      </c>
      <c r="E117" s="6">
        <v>1</v>
      </c>
      <c r="F117" s="6">
        <v>23</v>
      </c>
      <c r="G117" s="6" t="b">
        <v>0</v>
      </c>
      <c r="H117" s="6">
        <v>3</v>
      </c>
      <c r="I117" s="6">
        <v>1</v>
      </c>
      <c r="J117" s="7">
        <v>0.2</v>
      </c>
      <c r="K117" s="6" t="str">
        <f t="shared" si="7"/>
        <v>Wednesday</v>
      </c>
      <c r="L117" s="2" t="str">
        <f t="shared" si="8"/>
        <v>January</v>
      </c>
      <c r="M117" s="2" t="str">
        <f t="shared" si="9"/>
        <v>Spring</v>
      </c>
      <c r="N117" s="2" t="str">
        <f t="shared" si="10"/>
        <v>Wednesday</v>
      </c>
      <c r="O117" t="str">
        <f t="shared" si="11"/>
        <v>Clear</v>
      </c>
    </row>
    <row r="118" spans="1:15" x14ac:dyDescent="0.25">
      <c r="A118" s="8">
        <v>116</v>
      </c>
      <c r="B118" s="9">
        <v>40549</v>
      </c>
      <c r="C118" s="6">
        <v>1</v>
      </c>
      <c r="D118" s="6" t="str">
        <f t="shared" si="6"/>
        <v>2011</v>
      </c>
      <c r="E118" s="6">
        <v>1</v>
      </c>
      <c r="F118" s="6">
        <v>0</v>
      </c>
      <c r="G118" s="6" t="b">
        <v>0</v>
      </c>
      <c r="H118" s="6">
        <v>4</v>
      </c>
      <c r="I118" s="6">
        <v>1</v>
      </c>
      <c r="J118" s="7">
        <v>0.18</v>
      </c>
      <c r="K118" s="6" t="str">
        <f t="shared" si="7"/>
        <v>Thursday</v>
      </c>
      <c r="L118" s="2" t="str">
        <f t="shared" si="8"/>
        <v>January</v>
      </c>
      <c r="M118" s="2" t="str">
        <f t="shared" si="9"/>
        <v>Spring</v>
      </c>
      <c r="N118" s="2" t="str">
        <f t="shared" si="10"/>
        <v>Thursday</v>
      </c>
      <c r="O118" t="str">
        <f t="shared" si="11"/>
        <v>Clear</v>
      </c>
    </row>
    <row r="119" spans="1:15" x14ac:dyDescent="0.25">
      <c r="A119" s="8">
        <v>117</v>
      </c>
      <c r="B119" s="9">
        <v>40549</v>
      </c>
      <c r="C119" s="6">
        <v>1</v>
      </c>
      <c r="D119" s="6" t="str">
        <f t="shared" si="6"/>
        <v>2011</v>
      </c>
      <c r="E119" s="6">
        <v>1</v>
      </c>
      <c r="F119" s="6">
        <v>1</v>
      </c>
      <c r="G119" s="6" t="b">
        <v>0</v>
      </c>
      <c r="H119" s="6">
        <v>4</v>
      </c>
      <c r="I119" s="6">
        <v>1</v>
      </c>
      <c r="J119" s="7">
        <v>0.16</v>
      </c>
      <c r="K119" s="6" t="str">
        <f t="shared" si="7"/>
        <v>Thursday</v>
      </c>
      <c r="L119" s="2" t="str">
        <f t="shared" si="8"/>
        <v>January</v>
      </c>
      <c r="M119" s="2" t="str">
        <f t="shared" si="9"/>
        <v>Spring</v>
      </c>
      <c r="N119" s="2" t="str">
        <f t="shared" si="10"/>
        <v>Thursday</v>
      </c>
      <c r="O119" t="str">
        <f t="shared" si="11"/>
        <v>Clear</v>
      </c>
    </row>
    <row r="120" spans="1:15" x14ac:dyDescent="0.25">
      <c r="A120" s="8">
        <v>118</v>
      </c>
      <c r="B120" s="9">
        <v>40549</v>
      </c>
      <c r="C120" s="6">
        <v>1</v>
      </c>
      <c r="D120" s="6" t="str">
        <f t="shared" si="6"/>
        <v>2011</v>
      </c>
      <c r="E120" s="6">
        <v>1</v>
      </c>
      <c r="F120" s="6">
        <v>2</v>
      </c>
      <c r="G120" s="6" t="b">
        <v>0</v>
      </c>
      <c r="H120" s="6">
        <v>4</v>
      </c>
      <c r="I120" s="6">
        <v>1</v>
      </c>
      <c r="J120" s="7">
        <v>0.16</v>
      </c>
      <c r="K120" s="6" t="str">
        <f t="shared" si="7"/>
        <v>Thursday</v>
      </c>
      <c r="L120" s="2" t="str">
        <f t="shared" si="8"/>
        <v>January</v>
      </c>
      <c r="M120" s="2" t="str">
        <f t="shared" si="9"/>
        <v>Spring</v>
      </c>
      <c r="N120" s="2" t="str">
        <f t="shared" si="10"/>
        <v>Thursday</v>
      </c>
      <c r="O120" t="str">
        <f t="shared" si="11"/>
        <v>Clear</v>
      </c>
    </row>
    <row r="121" spans="1:15" x14ac:dyDescent="0.25">
      <c r="A121" s="8">
        <v>119</v>
      </c>
      <c r="B121" s="9">
        <v>40549</v>
      </c>
      <c r="C121" s="6">
        <v>1</v>
      </c>
      <c r="D121" s="6" t="str">
        <f t="shared" si="6"/>
        <v>2011</v>
      </c>
      <c r="E121" s="6">
        <v>1</v>
      </c>
      <c r="F121" s="6">
        <v>4</v>
      </c>
      <c r="G121" s="6" t="b">
        <v>0</v>
      </c>
      <c r="H121" s="6">
        <v>4</v>
      </c>
      <c r="I121" s="6">
        <v>2</v>
      </c>
      <c r="J121" s="7">
        <v>0.16</v>
      </c>
      <c r="K121" s="6" t="str">
        <f t="shared" si="7"/>
        <v>Thursday</v>
      </c>
      <c r="L121" s="2" t="str">
        <f t="shared" si="8"/>
        <v>January</v>
      </c>
      <c r="M121" s="2" t="str">
        <f t="shared" si="9"/>
        <v>Spring</v>
      </c>
      <c r="N121" s="2" t="str">
        <f t="shared" si="10"/>
        <v>Thursday</v>
      </c>
      <c r="O121" t="str">
        <f t="shared" si="11"/>
        <v>Cloudy</v>
      </c>
    </row>
    <row r="122" spans="1:15" x14ac:dyDescent="0.25">
      <c r="A122" s="8">
        <v>120</v>
      </c>
      <c r="B122" s="9">
        <v>40549</v>
      </c>
      <c r="C122" s="6">
        <v>1</v>
      </c>
      <c r="D122" s="6" t="str">
        <f t="shared" si="6"/>
        <v>2011</v>
      </c>
      <c r="E122" s="6">
        <v>1</v>
      </c>
      <c r="F122" s="6">
        <v>5</v>
      </c>
      <c r="G122" s="6" t="b">
        <v>0</v>
      </c>
      <c r="H122" s="6">
        <v>4</v>
      </c>
      <c r="I122" s="6">
        <v>2</v>
      </c>
      <c r="J122" s="7">
        <v>0.14000000000000001</v>
      </c>
      <c r="K122" s="6" t="str">
        <f t="shared" si="7"/>
        <v>Thursday</v>
      </c>
      <c r="L122" s="2" t="str">
        <f t="shared" si="8"/>
        <v>January</v>
      </c>
      <c r="M122" s="2" t="str">
        <f t="shared" si="9"/>
        <v>Spring</v>
      </c>
      <c r="N122" s="2" t="str">
        <f t="shared" si="10"/>
        <v>Thursday</v>
      </c>
      <c r="O122" t="str">
        <f t="shared" si="11"/>
        <v>Cloudy</v>
      </c>
    </row>
    <row r="123" spans="1:15" x14ac:dyDescent="0.25">
      <c r="A123" s="8">
        <v>121</v>
      </c>
      <c r="B123" s="9">
        <v>40549</v>
      </c>
      <c r="C123" s="6">
        <v>1</v>
      </c>
      <c r="D123" s="6" t="str">
        <f t="shared" si="6"/>
        <v>2011</v>
      </c>
      <c r="E123" s="6">
        <v>1</v>
      </c>
      <c r="F123" s="6">
        <v>6</v>
      </c>
      <c r="G123" s="6" t="b">
        <v>0</v>
      </c>
      <c r="H123" s="6">
        <v>4</v>
      </c>
      <c r="I123" s="6">
        <v>2</v>
      </c>
      <c r="J123" s="7">
        <v>0.14000000000000001</v>
      </c>
      <c r="K123" s="6" t="str">
        <f t="shared" si="7"/>
        <v>Thursday</v>
      </c>
      <c r="L123" s="2" t="str">
        <f t="shared" si="8"/>
        <v>January</v>
      </c>
      <c r="M123" s="2" t="str">
        <f t="shared" si="9"/>
        <v>Spring</v>
      </c>
      <c r="N123" s="2" t="str">
        <f t="shared" si="10"/>
        <v>Thursday</v>
      </c>
      <c r="O123" t="str">
        <f t="shared" si="11"/>
        <v>Cloudy</v>
      </c>
    </row>
    <row r="124" spans="1:15" x14ac:dyDescent="0.25">
      <c r="A124" s="8">
        <v>122</v>
      </c>
      <c r="B124" s="9">
        <v>40549</v>
      </c>
      <c r="C124" s="6">
        <v>1</v>
      </c>
      <c r="D124" s="6" t="str">
        <f t="shared" si="6"/>
        <v>2011</v>
      </c>
      <c r="E124" s="6">
        <v>1</v>
      </c>
      <c r="F124" s="6">
        <v>7</v>
      </c>
      <c r="G124" s="6" t="b">
        <v>0</v>
      </c>
      <c r="H124" s="6">
        <v>4</v>
      </c>
      <c r="I124" s="6">
        <v>2</v>
      </c>
      <c r="J124" s="7">
        <v>0.16</v>
      </c>
      <c r="K124" s="6" t="str">
        <f t="shared" si="7"/>
        <v>Thursday</v>
      </c>
      <c r="L124" s="2" t="str">
        <f t="shared" si="8"/>
        <v>January</v>
      </c>
      <c r="M124" s="2" t="str">
        <f t="shared" si="9"/>
        <v>Spring</v>
      </c>
      <c r="N124" s="2" t="str">
        <f t="shared" si="10"/>
        <v>Thursday</v>
      </c>
      <c r="O124" t="str">
        <f t="shared" si="11"/>
        <v>Cloudy</v>
      </c>
    </row>
    <row r="125" spans="1:15" x14ac:dyDescent="0.25">
      <c r="A125" s="8">
        <v>123</v>
      </c>
      <c r="B125" s="9">
        <v>40549</v>
      </c>
      <c r="C125" s="6">
        <v>1</v>
      </c>
      <c r="D125" s="6" t="str">
        <f t="shared" si="6"/>
        <v>2011</v>
      </c>
      <c r="E125" s="6">
        <v>1</v>
      </c>
      <c r="F125" s="6">
        <v>8</v>
      </c>
      <c r="G125" s="6" t="b">
        <v>0</v>
      </c>
      <c r="H125" s="6">
        <v>4</v>
      </c>
      <c r="I125" s="6">
        <v>1</v>
      </c>
      <c r="J125" s="7">
        <v>0.16</v>
      </c>
      <c r="K125" s="6" t="str">
        <f t="shared" si="7"/>
        <v>Thursday</v>
      </c>
      <c r="L125" s="2" t="str">
        <f t="shared" si="8"/>
        <v>January</v>
      </c>
      <c r="M125" s="2" t="str">
        <f t="shared" si="9"/>
        <v>Spring</v>
      </c>
      <c r="N125" s="2" t="str">
        <f t="shared" si="10"/>
        <v>Thursday</v>
      </c>
      <c r="O125" t="str">
        <f t="shared" si="11"/>
        <v>Clear</v>
      </c>
    </row>
    <row r="126" spans="1:15" x14ac:dyDescent="0.25">
      <c r="A126" s="8">
        <v>124</v>
      </c>
      <c r="B126" s="9">
        <v>40549</v>
      </c>
      <c r="C126" s="6">
        <v>1</v>
      </c>
      <c r="D126" s="6" t="str">
        <f t="shared" si="6"/>
        <v>2011</v>
      </c>
      <c r="E126" s="6">
        <v>1</v>
      </c>
      <c r="F126" s="6">
        <v>9</v>
      </c>
      <c r="G126" s="6" t="b">
        <v>0</v>
      </c>
      <c r="H126" s="6">
        <v>4</v>
      </c>
      <c r="I126" s="6">
        <v>2</v>
      </c>
      <c r="J126" s="7">
        <v>0.18</v>
      </c>
      <c r="K126" s="6" t="str">
        <f t="shared" si="7"/>
        <v>Thursday</v>
      </c>
      <c r="L126" s="2" t="str">
        <f t="shared" si="8"/>
        <v>January</v>
      </c>
      <c r="M126" s="2" t="str">
        <f t="shared" si="9"/>
        <v>Spring</v>
      </c>
      <c r="N126" s="2" t="str">
        <f t="shared" si="10"/>
        <v>Thursday</v>
      </c>
      <c r="O126" t="str">
        <f t="shared" si="11"/>
        <v>Cloudy</v>
      </c>
    </row>
    <row r="127" spans="1:15" x14ac:dyDescent="0.25">
      <c r="A127" s="8">
        <v>125</v>
      </c>
      <c r="B127" s="9">
        <v>40549</v>
      </c>
      <c r="C127" s="6">
        <v>1</v>
      </c>
      <c r="D127" s="6" t="str">
        <f t="shared" si="6"/>
        <v>2011</v>
      </c>
      <c r="E127" s="6">
        <v>1</v>
      </c>
      <c r="F127" s="6">
        <v>10</v>
      </c>
      <c r="G127" s="6" t="b">
        <v>0</v>
      </c>
      <c r="H127" s="6">
        <v>4</v>
      </c>
      <c r="I127" s="6">
        <v>1</v>
      </c>
      <c r="J127" s="7">
        <v>0.2</v>
      </c>
      <c r="K127" s="6" t="str">
        <f t="shared" si="7"/>
        <v>Thursday</v>
      </c>
      <c r="L127" s="2" t="str">
        <f t="shared" si="8"/>
        <v>January</v>
      </c>
      <c r="M127" s="2" t="str">
        <f t="shared" si="9"/>
        <v>Spring</v>
      </c>
      <c r="N127" s="2" t="str">
        <f t="shared" si="10"/>
        <v>Thursday</v>
      </c>
      <c r="O127" t="str">
        <f t="shared" si="11"/>
        <v>Clear</v>
      </c>
    </row>
    <row r="128" spans="1:15" x14ac:dyDescent="0.25">
      <c r="A128" s="8">
        <v>126</v>
      </c>
      <c r="B128" s="9">
        <v>40549</v>
      </c>
      <c r="C128" s="6">
        <v>1</v>
      </c>
      <c r="D128" s="6" t="str">
        <f t="shared" si="6"/>
        <v>2011</v>
      </c>
      <c r="E128" s="6">
        <v>1</v>
      </c>
      <c r="F128" s="6">
        <v>11</v>
      </c>
      <c r="G128" s="6" t="b">
        <v>0</v>
      </c>
      <c r="H128" s="6">
        <v>4</v>
      </c>
      <c r="I128" s="6">
        <v>1</v>
      </c>
      <c r="J128" s="7">
        <v>0.22</v>
      </c>
      <c r="K128" s="6" t="str">
        <f t="shared" si="7"/>
        <v>Thursday</v>
      </c>
      <c r="L128" s="2" t="str">
        <f t="shared" si="8"/>
        <v>January</v>
      </c>
      <c r="M128" s="2" t="str">
        <f t="shared" si="9"/>
        <v>Spring</v>
      </c>
      <c r="N128" s="2" t="str">
        <f t="shared" si="10"/>
        <v>Thursday</v>
      </c>
      <c r="O128" t="str">
        <f t="shared" si="11"/>
        <v>Clear</v>
      </c>
    </row>
    <row r="129" spans="1:15" x14ac:dyDescent="0.25">
      <c r="A129" s="8">
        <v>127</v>
      </c>
      <c r="B129" s="9">
        <v>40549</v>
      </c>
      <c r="C129" s="6">
        <v>1</v>
      </c>
      <c r="D129" s="6" t="str">
        <f t="shared" si="6"/>
        <v>2011</v>
      </c>
      <c r="E129" s="6">
        <v>1</v>
      </c>
      <c r="F129" s="6">
        <v>12</v>
      </c>
      <c r="G129" s="6" t="b">
        <v>0</v>
      </c>
      <c r="H129" s="6">
        <v>4</v>
      </c>
      <c r="I129" s="6">
        <v>1</v>
      </c>
      <c r="J129" s="7">
        <v>0.26</v>
      </c>
      <c r="K129" s="6" t="str">
        <f t="shared" si="7"/>
        <v>Thursday</v>
      </c>
      <c r="L129" s="2" t="str">
        <f t="shared" si="8"/>
        <v>January</v>
      </c>
      <c r="M129" s="2" t="str">
        <f t="shared" si="9"/>
        <v>Spring</v>
      </c>
      <c r="N129" s="2" t="str">
        <f t="shared" si="10"/>
        <v>Thursday</v>
      </c>
      <c r="O129" t="str">
        <f t="shared" si="11"/>
        <v>Clear</v>
      </c>
    </row>
    <row r="130" spans="1:15" x14ac:dyDescent="0.25">
      <c r="A130" s="8">
        <v>128</v>
      </c>
      <c r="B130" s="9">
        <v>40549</v>
      </c>
      <c r="C130" s="6">
        <v>1</v>
      </c>
      <c r="D130" s="6" t="str">
        <f t="shared" si="6"/>
        <v>2011</v>
      </c>
      <c r="E130" s="6">
        <v>1</v>
      </c>
      <c r="F130" s="6">
        <v>13</v>
      </c>
      <c r="G130" s="6" t="b">
        <v>0</v>
      </c>
      <c r="H130" s="6">
        <v>4</v>
      </c>
      <c r="I130" s="6">
        <v>1</v>
      </c>
      <c r="J130" s="7">
        <v>0.26</v>
      </c>
      <c r="K130" s="6" t="str">
        <f t="shared" si="7"/>
        <v>Thursday</v>
      </c>
      <c r="L130" s="2" t="str">
        <f t="shared" si="8"/>
        <v>January</v>
      </c>
      <c r="M130" s="2" t="str">
        <f t="shared" si="9"/>
        <v>Spring</v>
      </c>
      <c r="N130" s="2" t="str">
        <f t="shared" si="10"/>
        <v>Thursday</v>
      </c>
      <c r="O130" t="str">
        <f t="shared" si="11"/>
        <v>Clear</v>
      </c>
    </row>
    <row r="131" spans="1:15" x14ac:dyDescent="0.25">
      <c r="A131" s="8">
        <v>129</v>
      </c>
      <c r="B131" s="9">
        <v>40549</v>
      </c>
      <c r="C131" s="6">
        <v>1</v>
      </c>
      <c r="D131" s="6" t="str">
        <f t="shared" si="6"/>
        <v>2011</v>
      </c>
      <c r="E131" s="6">
        <v>1</v>
      </c>
      <c r="F131" s="6">
        <v>14</v>
      </c>
      <c r="G131" s="6" t="b">
        <v>0</v>
      </c>
      <c r="H131" s="6">
        <v>4</v>
      </c>
      <c r="I131" s="6">
        <v>1</v>
      </c>
      <c r="J131" s="7">
        <v>0.28000000000000003</v>
      </c>
      <c r="K131" s="6" t="str">
        <f t="shared" si="7"/>
        <v>Thursday</v>
      </c>
      <c r="L131" s="2" t="str">
        <f t="shared" si="8"/>
        <v>January</v>
      </c>
      <c r="M131" s="2" t="str">
        <f t="shared" si="9"/>
        <v>Spring</v>
      </c>
      <c r="N131" s="2" t="str">
        <f t="shared" si="10"/>
        <v>Thursday</v>
      </c>
      <c r="O131" t="str">
        <f t="shared" si="11"/>
        <v>Clear</v>
      </c>
    </row>
    <row r="132" spans="1:15" x14ac:dyDescent="0.25">
      <c r="A132" s="8">
        <v>130</v>
      </c>
      <c r="B132" s="9">
        <v>40549</v>
      </c>
      <c r="C132" s="6">
        <v>1</v>
      </c>
      <c r="D132" s="6" t="str">
        <f t="shared" ref="D132:D195" si="12">TEXT(B132,"yyyy")</f>
        <v>2011</v>
      </c>
      <c r="E132" s="6">
        <v>1</v>
      </c>
      <c r="F132" s="6">
        <v>15</v>
      </c>
      <c r="G132" s="6" t="b">
        <v>0</v>
      </c>
      <c r="H132" s="6">
        <v>4</v>
      </c>
      <c r="I132" s="6">
        <v>1</v>
      </c>
      <c r="J132" s="7">
        <v>0.28000000000000003</v>
      </c>
      <c r="K132" s="6" t="str">
        <f t="shared" ref="K132:K195" si="13">TEXT(B132,"dddd")</f>
        <v>Thursday</v>
      </c>
      <c r="L132" s="2" t="str">
        <f t="shared" ref="L132:L195" si="14">TEXT(B132,"mmmm")</f>
        <v>January</v>
      </c>
      <c r="M132" s="2" t="str">
        <f t="shared" ref="M132:M195" si="15">IF(C132=1,"Spring",IF(C132=2,"Summer",IF(C132=3,"Fall","Winter")))</f>
        <v>Spring</v>
      </c>
      <c r="N132" s="2" t="str">
        <f t="shared" ref="N132:N195" si="16">IF(H132=0,"Sunday",IF(H132=1,"Monday",IF(H132=2,"Tuesday",IF(H132=3,"Wednesday",IF(H132=4,"Thursday",IF(H132=5,"Friday","Saturday"))))))</f>
        <v>Thursday</v>
      </c>
      <c r="O132" t="str">
        <f t="shared" si="11"/>
        <v>Clear</v>
      </c>
    </row>
    <row r="133" spans="1:15" x14ac:dyDescent="0.25">
      <c r="A133" s="8">
        <v>131</v>
      </c>
      <c r="B133" s="9">
        <v>40549</v>
      </c>
      <c r="C133" s="6">
        <v>1</v>
      </c>
      <c r="D133" s="6" t="str">
        <f t="shared" si="12"/>
        <v>2011</v>
      </c>
      <c r="E133" s="6">
        <v>1</v>
      </c>
      <c r="F133" s="6">
        <v>16</v>
      </c>
      <c r="G133" s="6" t="b">
        <v>0</v>
      </c>
      <c r="H133" s="6">
        <v>4</v>
      </c>
      <c r="I133" s="6">
        <v>1</v>
      </c>
      <c r="J133" s="7">
        <v>0.26</v>
      </c>
      <c r="K133" s="6" t="str">
        <f t="shared" si="13"/>
        <v>Thursday</v>
      </c>
      <c r="L133" s="2" t="str">
        <f t="shared" si="14"/>
        <v>January</v>
      </c>
      <c r="M133" s="2" t="str">
        <f t="shared" si="15"/>
        <v>Spring</v>
      </c>
      <c r="N133" s="2" t="str">
        <f t="shared" si="16"/>
        <v>Thursday</v>
      </c>
      <c r="O133" t="str">
        <f t="shared" ref="O133:O196" si="17">IF(I133=1,"Clear",IF(I133=2,"Cloudy",IF(I133=3,"Rain","Heavy Rain")))</f>
        <v>Clear</v>
      </c>
    </row>
    <row r="134" spans="1:15" x14ac:dyDescent="0.25">
      <c r="A134" s="8">
        <v>132</v>
      </c>
      <c r="B134" s="9">
        <v>40549</v>
      </c>
      <c r="C134" s="6">
        <v>1</v>
      </c>
      <c r="D134" s="6" t="str">
        <f t="shared" si="12"/>
        <v>2011</v>
      </c>
      <c r="E134" s="6">
        <v>1</v>
      </c>
      <c r="F134" s="6">
        <v>17</v>
      </c>
      <c r="G134" s="6" t="b">
        <v>0</v>
      </c>
      <c r="H134" s="6">
        <v>4</v>
      </c>
      <c r="I134" s="6">
        <v>1</v>
      </c>
      <c r="J134" s="7">
        <v>0.22</v>
      </c>
      <c r="K134" s="6" t="str">
        <f t="shared" si="13"/>
        <v>Thursday</v>
      </c>
      <c r="L134" s="2" t="str">
        <f t="shared" si="14"/>
        <v>January</v>
      </c>
      <c r="M134" s="2" t="str">
        <f t="shared" si="15"/>
        <v>Spring</v>
      </c>
      <c r="N134" s="2" t="str">
        <f t="shared" si="16"/>
        <v>Thursday</v>
      </c>
      <c r="O134" t="str">
        <f t="shared" si="17"/>
        <v>Clear</v>
      </c>
    </row>
    <row r="135" spans="1:15" x14ac:dyDescent="0.25">
      <c r="A135" s="8">
        <v>133</v>
      </c>
      <c r="B135" s="9">
        <v>40549</v>
      </c>
      <c r="C135" s="6">
        <v>1</v>
      </c>
      <c r="D135" s="6" t="str">
        <f t="shared" si="12"/>
        <v>2011</v>
      </c>
      <c r="E135" s="6">
        <v>1</v>
      </c>
      <c r="F135" s="6">
        <v>18</v>
      </c>
      <c r="G135" s="6" t="b">
        <v>0</v>
      </c>
      <c r="H135" s="6">
        <v>4</v>
      </c>
      <c r="I135" s="6">
        <v>1</v>
      </c>
      <c r="J135" s="7">
        <v>0.22</v>
      </c>
      <c r="K135" s="6" t="str">
        <f t="shared" si="13"/>
        <v>Thursday</v>
      </c>
      <c r="L135" s="2" t="str">
        <f t="shared" si="14"/>
        <v>January</v>
      </c>
      <c r="M135" s="2" t="str">
        <f t="shared" si="15"/>
        <v>Spring</v>
      </c>
      <c r="N135" s="2" t="str">
        <f t="shared" si="16"/>
        <v>Thursday</v>
      </c>
      <c r="O135" t="str">
        <f t="shared" si="17"/>
        <v>Clear</v>
      </c>
    </row>
    <row r="136" spans="1:15" x14ac:dyDescent="0.25">
      <c r="A136" s="8">
        <v>134</v>
      </c>
      <c r="B136" s="9">
        <v>40549</v>
      </c>
      <c r="C136" s="6">
        <v>1</v>
      </c>
      <c r="D136" s="6" t="str">
        <f t="shared" si="12"/>
        <v>2011</v>
      </c>
      <c r="E136" s="6">
        <v>1</v>
      </c>
      <c r="F136" s="6">
        <v>19</v>
      </c>
      <c r="G136" s="6" t="b">
        <v>0</v>
      </c>
      <c r="H136" s="6">
        <v>4</v>
      </c>
      <c r="I136" s="6">
        <v>1</v>
      </c>
      <c r="J136" s="7">
        <v>0.22</v>
      </c>
      <c r="K136" s="6" t="str">
        <f t="shared" si="13"/>
        <v>Thursday</v>
      </c>
      <c r="L136" s="2" t="str">
        <f t="shared" si="14"/>
        <v>January</v>
      </c>
      <c r="M136" s="2" t="str">
        <f t="shared" si="15"/>
        <v>Spring</v>
      </c>
      <c r="N136" s="2" t="str">
        <f t="shared" si="16"/>
        <v>Thursday</v>
      </c>
      <c r="O136" t="str">
        <f t="shared" si="17"/>
        <v>Clear</v>
      </c>
    </row>
    <row r="137" spans="1:15" x14ac:dyDescent="0.25">
      <c r="A137" s="8">
        <v>135</v>
      </c>
      <c r="B137" s="9">
        <v>40549</v>
      </c>
      <c r="C137" s="6">
        <v>1</v>
      </c>
      <c r="D137" s="6" t="str">
        <f t="shared" si="12"/>
        <v>2011</v>
      </c>
      <c r="E137" s="6">
        <v>1</v>
      </c>
      <c r="F137" s="6">
        <v>20</v>
      </c>
      <c r="G137" s="6" t="b">
        <v>0</v>
      </c>
      <c r="H137" s="6">
        <v>4</v>
      </c>
      <c r="I137" s="6">
        <v>1</v>
      </c>
      <c r="J137" s="7">
        <v>0.2</v>
      </c>
      <c r="K137" s="6" t="str">
        <f t="shared" si="13"/>
        <v>Thursday</v>
      </c>
      <c r="L137" s="2" t="str">
        <f t="shared" si="14"/>
        <v>January</v>
      </c>
      <c r="M137" s="2" t="str">
        <f t="shared" si="15"/>
        <v>Spring</v>
      </c>
      <c r="N137" s="2" t="str">
        <f t="shared" si="16"/>
        <v>Thursday</v>
      </c>
      <c r="O137" t="str">
        <f t="shared" si="17"/>
        <v>Clear</v>
      </c>
    </row>
    <row r="138" spans="1:15" x14ac:dyDescent="0.25">
      <c r="A138" s="8">
        <v>136</v>
      </c>
      <c r="B138" s="9">
        <v>40549</v>
      </c>
      <c r="C138" s="6">
        <v>1</v>
      </c>
      <c r="D138" s="6" t="str">
        <f t="shared" si="12"/>
        <v>2011</v>
      </c>
      <c r="E138" s="6">
        <v>1</v>
      </c>
      <c r="F138" s="6">
        <v>21</v>
      </c>
      <c r="G138" s="6" t="b">
        <v>0</v>
      </c>
      <c r="H138" s="6">
        <v>4</v>
      </c>
      <c r="I138" s="6">
        <v>2</v>
      </c>
      <c r="J138" s="7">
        <v>0.22</v>
      </c>
      <c r="K138" s="6" t="str">
        <f t="shared" si="13"/>
        <v>Thursday</v>
      </c>
      <c r="L138" s="2" t="str">
        <f t="shared" si="14"/>
        <v>January</v>
      </c>
      <c r="M138" s="2" t="str">
        <f t="shared" si="15"/>
        <v>Spring</v>
      </c>
      <c r="N138" s="2" t="str">
        <f t="shared" si="16"/>
        <v>Thursday</v>
      </c>
      <c r="O138" t="str">
        <f t="shared" si="17"/>
        <v>Cloudy</v>
      </c>
    </row>
    <row r="139" spans="1:15" x14ac:dyDescent="0.25">
      <c r="A139" s="8">
        <v>137</v>
      </c>
      <c r="B139" s="9">
        <v>40549</v>
      </c>
      <c r="C139" s="6">
        <v>1</v>
      </c>
      <c r="D139" s="6" t="str">
        <f t="shared" si="12"/>
        <v>2011</v>
      </c>
      <c r="E139" s="6">
        <v>1</v>
      </c>
      <c r="F139" s="6">
        <v>22</v>
      </c>
      <c r="G139" s="6" t="b">
        <v>0</v>
      </c>
      <c r="H139" s="6">
        <v>4</v>
      </c>
      <c r="I139" s="6">
        <v>2</v>
      </c>
      <c r="J139" s="7">
        <v>0.22</v>
      </c>
      <c r="K139" s="6" t="str">
        <f t="shared" si="13"/>
        <v>Thursday</v>
      </c>
      <c r="L139" s="2" t="str">
        <f t="shared" si="14"/>
        <v>January</v>
      </c>
      <c r="M139" s="2" t="str">
        <f t="shared" si="15"/>
        <v>Spring</v>
      </c>
      <c r="N139" s="2" t="str">
        <f t="shared" si="16"/>
        <v>Thursday</v>
      </c>
      <c r="O139" t="str">
        <f t="shared" si="17"/>
        <v>Cloudy</v>
      </c>
    </row>
    <row r="140" spans="1:15" x14ac:dyDescent="0.25">
      <c r="A140" s="8">
        <v>138</v>
      </c>
      <c r="B140" s="9">
        <v>40549</v>
      </c>
      <c r="C140" s="6">
        <v>1</v>
      </c>
      <c r="D140" s="6" t="str">
        <f t="shared" si="12"/>
        <v>2011</v>
      </c>
      <c r="E140" s="6">
        <v>1</v>
      </c>
      <c r="F140" s="6">
        <v>23</v>
      </c>
      <c r="G140" s="6" t="b">
        <v>0</v>
      </c>
      <c r="H140" s="6">
        <v>4</v>
      </c>
      <c r="I140" s="6">
        <v>2</v>
      </c>
      <c r="J140" s="7">
        <v>0.2</v>
      </c>
      <c r="K140" s="6" t="str">
        <f t="shared" si="13"/>
        <v>Thursday</v>
      </c>
      <c r="L140" s="2" t="str">
        <f t="shared" si="14"/>
        <v>January</v>
      </c>
      <c r="M140" s="2" t="str">
        <f t="shared" si="15"/>
        <v>Spring</v>
      </c>
      <c r="N140" s="2" t="str">
        <f t="shared" si="16"/>
        <v>Thursday</v>
      </c>
      <c r="O140" t="str">
        <f t="shared" si="17"/>
        <v>Cloudy</v>
      </c>
    </row>
    <row r="141" spans="1:15" x14ac:dyDescent="0.25">
      <c r="A141" s="8">
        <v>139</v>
      </c>
      <c r="B141" s="9">
        <v>40550</v>
      </c>
      <c r="C141" s="6">
        <v>1</v>
      </c>
      <c r="D141" s="6" t="str">
        <f t="shared" si="12"/>
        <v>2011</v>
      </c>
      <c r="E141" s="6">
        <v>1</v>
      </c>
      <c r="F141" s="6">
        <v>0</v>
      </c>
      <c r="G141" s="6" t="b">
        <v>0</v>
      </c>
      <c r="H141" s="6">
        <v>5</v>
      </c>
      <c r="I141" s="6">
        <v>2</v>
      </c>
      <c r="J141" s="7">
        <v>0.2</v>
      </c>
      <c r="K141" s="6" t="str">
        <f t="shared" si="13"/>
        <v>Friday</v>
      </c>
      <c r="L141" s="2" t="str">
        <f t="shared" si="14"/>
        <v>January</v>
      </c>
      <c r="M141" s="2" t="str">
        <f t="shared" si="15"/>
        <v>Spring</v>
      </c>
      <c r="N141" s="2" t="str">
        <f t="shared" si="16"/>
        <v>Friday</v>
      </c>
      <c r="O141" t="str">
        <f t="shared" si="17"/>
        <v>Cloudy</v>
      </c>
    </row>
    <row r="142" spans="1:15" x14ac:dyDescent="0.25">
      <c r="A142" s="8">
        <v>140</v>
      </c>
      <c r="B142" s="9">
        <v>40550</v>
      </c>
      <c r="C142" s="6">
        <v>1</v>
      </c>
      <c r="D142" s="6" t="str">
        <f t="shared" si="12"/>
        <v>2011</v>
      </c>
      <c r="E142" s="6">
        <v>1</v>
      </c>
      <c r="F142" s="6">
        <v>1</v>
      </c>
      <c r="G142" s="6" t="b">
        <v>0</v>
      </c>
      <c r="H142" s="6">
        <v>5</v>
      </c>
      <c r="I142" s="6">
        <v>2</v>
      </c>
      <c r="J142" s="7">
        <v>0.2</v>
      </c>
      <c r="K142" s="6" t="str">
        <f t="shared" si="13"/>
        <v>Friday</v>
      </c>
      <c r="L142" s="2" t="str">
        <f t="shared" si="14"/>
        <v>January</v>
      </c>
      <c r="M142" s="2" t="str">
        <f t="shared" si="15"/>
        <v>Spring</v>
      </c>
      <c r="N142" s="2" t="str">
        <f t="shared" si="16"/>
        <v>Friday</v>
      </c>
      <c r="O142" t="str">
        <f t="shared" si="17"/>
        <v>Cloudy</v>
      </c>
    </row>
    <row r="143" spans="1:15" x14ac:dyDescent="0.25">
      <c r="A143" s="8">
        <v>141</v>
      </c>
      <c r="B143" s="9">
        <v>40550</v>
      </c>
      <c r="C143" s="6">
        <v>1</v>
      </c>
      <c r="D143" s="6" t="str">
        <f t="shared" si="12"/>
        <v>2011</v>
      </c>
      <c r="E143" s="6">
        <v>1</v>
      </c>
      <c r="F143" s="6">
        <v>2</v>
      </c>
      <c r="G143" s="6" t="b">
        <v>0</v>
      </c>
      <c r="H143" s="6">
        <v>5</v>
      </c>
      <c r="I143" s="6">
        <v>2</v>
      </c>
      <c r="J143" s="7">
        <v>0.2</v>
      </c>
      <c r="K143" s="6" t="str">
        <f t="shared" si="13"/>
        <v>Friday</v>
      </c>
      <c r="L143" s="2" t="str">
        <f t="shared" si="14"/>
        <v>January</v>
      </c>
      <c r="M143" s="2" t="str">
        <f t="shared" si="15"/>
        <v>Spring</v>
      </c>
      <c r="N143" s="2" t="str">
        <f t="shared" si="16"/>
        <v>Friday</v>
      </c>
      <c r="O143" t="str">
        <f t="shared" si="17"/>
        <v>Cloudy</v>
      </c>
    </row>
    <row r="144" spans="1:15" x14ac:dyDescent="0.25">
      <c r="A144" s="8">
        <v>142</v>
      </c>
      <c r="B144" s="9">
        <v>40550</v>
      </c>
      <c r="C144" s="6">
        <v>1</v>
      </c>
      <c r="D144" s="6" t="str">
        <f t="shared" si="12"/>
        <v>2011</v>
      </c>
      <c r="E144" s="6">
        <v>1</v>
      </c>
      <c r="F144" s="6">
        <v>4</v>
      </c>
      <c r="G144" s="6" t="b">
        <v>0</v>
      </c>
      <c r="H144" s="6">
        <v>5</v>
      </c>
      <c r="I144" s="6">
        <v>2</v>
      </c>
      <c r="J144" s="7">
        <v>0.2</v>
      </c>
      <c r="K144" s="6" t="str">
        <f t="shared" si="13"/>
        <v>Friday</v>
      </c>
      <c r="L144" s="2" t="str">
        <f t="shared" si="14"/>
        <v>January</v>
      </c>
      <c r="M144" s="2" t="str">
        <f t="shared" si="15"/>
        <v>Spring</v>
      </c>
      <c r="N144" s="2" t="str">
        <f t="shared" si="16"/>
        <v>Friday</v>
      </c>
      <c r="O144" t="str">
        <f>IF(R4=1,"Clear",IF(R4=2,"Cloudy",IF(R4=3,"Rain","Heavy Rain")))</f>
        <v>Heavy Rain</v>
      </c>
    </row>
    <row r="145" spans="1:15" x14ac:dyDescent="0.25">
      <c r="A145" s="8">
        <v>143</v>
      </c>
      <c r="B145" s="9">
        <v>40550</v>
      </c>
      <c r="C145" s="6">
        <v>1</v>
      </c>
      <c r="D145" s="6" t="str">
        <f t="shared" si="12"/>
        <v>2011</v>
      </c>
      <c r="E145" s="6">
        <v>1</v>
      </c>
      <c r="F145" s="6">
        <v>5</v>
      </c>
      <c r="G145" s="6" t="b">
        <v>0</v>
      </c>
      <c r="H145" s="6">
        <v>5</v>
      </c>
      <c r="I145" s="6">
        <v>3</v>
      </c>
      <c r="J145" s="7">
        <v>0.22</v>
      </c>
      <c r="K145" s="6" t="str">
        <f t="shared" si="13"/>
        <v>Friday</v>
      </c>
      <c r="L145" s="2" t="str">
        <f t="shared" si="14"/>
        <v>January</v>
      </c>
      <c r="M145" s="2" t="str">
        <f t="shared" si="15"/>
        <v>Spring</v>
      </c>
      <c r="N145" s="2" t="str">
        <f t="shared" si="16"/>
        <v>Friday</v>
      </c>
      <c r="O145" t="str">
        <f t="shared" si="17"/>
        <v>Rain</v>
      </c>
    </row>
    <row r="146" spans="1:15" x14ac:dyDescent="0.25">
      <c r="A146" s="8">
        <v>144</v>
      </c>
      <c r="B146" s="9">
        <v>40550</v>
      </c>
      <c r="C146" s="6">
        <v>1</v>
      </c>
      <c r="D146" s="6" t="str">
        <f t="shared" si="12"/>
        <v>2011</v>
      </c>
      <c r="E146" s="6">
        <v>1</v>
      </c>
      <c r="F146" s="6">
        <v>6</v>
      </c>
      <c r="G146" s="6" t="b">
        <v>0</v>
      </c>
      <c r="H146" s="6">
        <v>5</v>
      </c>
      <c r="I146" s="6">
        <v>2</v>
      </c>
      <c r="J146" s="7">
        <v>0.2</v>
      </c>
      <c r="K146" s="6" t="str">
        <f t="shared" si="13"/>
        <v>Friday</v>
      </c>
      <c r="L146" s="2" t="str">
        <f t="shared" si="14"/>
        <v>January</v>
      </c>
      <c r="M146" s="2" t="str">
        <f t="shared" si="15"/>
        <v>Spring</v>
      </c>
      <c r="N146" s="2" t="str">
        <f t="shared" si="16"/>
        <v>Friday</v>
      </c>
      <c r="O146" t="str">
        <f t="shared" si="17"/>
        <v>Cloudy</v>
      </c>
    </row>
    <row r="147" spans="1:15" x14ac:dyDescent="0.25">
      <c r="A147" s="8">
        <v>145</v>
      </c>
      <c r="B147" s="9">
        <v>40550</v>
      </c>
      <c r="C147" s="6">
        <v>1</v>
      </c>
      <c r="D147" s="6" t="str">
        <f t="shared" si="12"/>
        <v>2011</v>
      </c>
      <c r="E147" s="6">
        <v>1</v>
      </c>
      <c r="F147" s="6">
        <v>7</v>
      </c>
      <c r="G147" s="6" t="b">
        <v>0</v>
      </c>
      <c r="H147" s="6">
        <v>5</v>
      </c>
      <c r="I147" s="6">
        <v>1</v>
      </c>
      <c r="J147" s="7">
        <v>0.2</v>
      </c>
      <c r="K147" s="6" t="str">
        <f t="shared" si="13"/>
        <v>Friday</v>
      </c>
      <c r="L147" s="2" t="str">
        <f t="shared" si="14"/>
        <v>January</v>
      </c>
      <c r="M147" s="2" t="str">
        <f t="shared" si="15"/>
        <v>Spring</v>
      </c>
      <c r="N147" s="2" t="str">
        <f t="shared" si="16"/>
        <v>Friday</v>
      </c>
      <c r="O147" t="str">
        <f t="shared" si="17"/>
        <v>Clear</v>
      </c>
    </row>
    <row r="148" spans="1:15" x14ac:dyDescent="0.25">
      <c r="A148" s="8">
        <v>146</v>
      </c>
      <c r="B148" s="9">
        <v>40550</v>
      </c>
      <c r="C148" s="6">
        <v>1</v>
      </c>
      <c r="D148" s="6" t="str">
        <f t="shared" si="12"/>
        <v>2011</v>
      </c>
      <c r="E148" s="6">
        <v>1</v>
      </c>
      <c r="F148" s="6">
        <v>8</v>
      </c>
      <c r="G148" s="6" t="b">
        <v>0</v>
      </c>
      <c r="H148" s="6">
        <v>5</v>
      </c>
      <c r="I148" s="6">
        <v>1</v>
      </c>
      <c r="J148" s="7">
        <v>0.2</v>
      </c>
      <c r="K148" s="6" t="str">
        <f t="shared" si="13"/>
        <v>Friday</v>
      </c>
      <c r="L148" s="2" t="str">
        <f t="shared" si="14"/>
        <v>January</v>
      </c>
      <c r="M148" s="2" t="str">
        <f t="shared" si="15"/>
        <v>Spring</v>
      </c>
      <c r="N148" s="2" t="str">
        <f t="shared" si="16"/>
        <v>Friday</v>
      </c>
      <c r="O148" t="str">
        <f t="shared" si="17"/>
        <v>Clear</v>
      </c>
    </row>
    <row r="149" spans="1:15" x14ac:dyDescent="0.25">
      <c r="A149" s="8">
        <v>147</v>
      </c>
      <c r="B149" s="9">
        <v>40550</v>
      </c>
      <c r="C149" s="6">
        <v>1</v>
      </c>
      <c r="D149" s="6" t="str">
        <f t="shared" si="12"/>
        <v>2011</v>
      </c>
      <c r="E149" s="6">
        <v>1</v>
      </c>
      <c r="F149" s="6">
        <v>9</v>
      </c>
      <c r="G149" s="6" t="b">
        <v>0</v>
      </c>
      <c r="H149" s="6">
        <v>5</v>
      </c>
      <c r="I149" s="6">
        <v>1</v>
      </c>
      <c r="J149" s="7">
        <v>0.2</v>
      </c>
      <c r="K149" s="6" t="str">
        <f t="shared" si="13"/>
        <v>Friday</v>
      </c>
      <c r="L149" s="2" t="str">
        <f t="shared" si="14"/>
        <v>January</v>
      </c>
      <c r="M149" s="2" t="str">
        <f t="shared" si="15"/>
        <v>Spring</v>
      </c>
      <c r="N149" s="2" t="str">
        <f t="shared" si="16"/>
        <v>Friday</v>
      </c>
      <c r="O149" t="str">
        <f t="shared" si="17"/>
        <v>Clear</v>
      </c>
    </row>
    <row r="150" spans="1:15" x14ac:dyDescent="0.25">
      <c r="A150" s="8">
        <v>148</v>
      </c>
      <c r="B150" s="9">
        <v>40550</v>
      </c>
      <c r="C150" s="6">
        <v>1</v>
      </c>
      <c r="D150" s="6" t="str">
        <f t="shared" si="12"/>
        <v>2011</v>
      </c>
      <c r="E150" s="6">
        <v>1</v>
      </c>
      <c r="F150" s="6">
        <v>10</v>
      </c>
      <c r="G150" s="6" t="b">
        <v>0</v>
      </c>
      <c r="H150" s="6">
        <v>5</v>
      </c>
      <c r="I150" s="6">
        <v>1</v>
      </c>
      <c r="J150" s="7">
        <v>0.22</v>
      </c>
      <c r="K150" s="6" t="str">
        <f t="shared" si="13"/>
        <v>Friday</v>
      </c>
      <c r="L150" s="2" t="str">
        <f t="shared" si="14"/>
        <v>January</v>
      </c>
      <c r="M150" s="2" t="str">
        <f t="shared" si="15"/>
        <v>Spring</v>
      </c>
      <c r="N150" s="2" t="str">
        <f t="shared" si="16"/>
        <v>Friday</v>
      </c>
      <c r="O150" t="str">
        <f t="shared" si="17"/>
        <v>Clear</v>
      </c>
    </row>
    <row r="151" spans="1:15" x14ac:dyDescent="0.25">
      <c r="A151" s="8">
        <v>149</v>
      </c>
      <c r="B151" s="9">
        <v>40550</v>
      </c>
      <c r="C151" s="6">
        <v>1</v>
      </c>
      <c r="D151" s="6" t="str">
        <f t="shared" si="12"/>
        <v>2011</v>
      </c>
      <c r="E151" s="6">
        <v>1</v>
      </c>
      <c r="F151" s="6">
        <v>11</v>
      </c>
      <c r="G151" s="6" t="b">
        <v>0</v>
      </c>
      <c r="H151" s="6">
        <v>5</v>
      </c>
      <c r="I151" s="6">
        <v>2</v>
      </c>
      <c r="J151" s="7">
        <v>0.2</v>
      </c>
      <c r="K151" s="6" t="str">
        <f t="shared" si="13"/>
        <v>Friday</v>
      </c>
      <c r="L151" s="2" t="str">
        <f t="shared" si="14"/>
        <v>January</v>
      </c>
      <c r="M151" s="2" t="str">
        <f t="shared" si="15"/>
        <v>Spring</v>
      </c>
      <c r="N151" s="2" t="str">
        <f t="shared" si="16"/>
        <v>Friday</v>
      </c>
      <c r="O151" t="str">
        <f t="shared" si="17"/>
        <v>Cloudy</v>
      </c>
    </row>
    <row r="152" spans="1:15" x14ac:dyDescent="0.25">
      <c r="A152" s="8">
        <v>150</v>
      </c>
      <c r="B152" s="9">
        <v>40550</v>
      </c>
      <c r="C152" s="6">
        <v>1</v>
      </c>
      <c r="D152" s="6" t="str">
        <f t="shared" si="12"/>
        <v>2011</v>
      </c>
      <c r="E152" s="6">
        <v>1</v>
      </c>
      <c r="F152" s="6">
        <v>12</v>
      </c>
      <c r="G152" s="6" t="b">
        <v>0</v>
      </c>
      <c r="H152" s="6">
        <v>5</v>
      </c>
      <c r="I152" s="6">
        <v>2</v>
      </c>
      <c r="J152" s="7">
        <v>0.2</v>
      </c>
      <c r="K152" s="6" t="str">
        <f t="shared" si="13"/>
        <v>Friday</v>
      </c>
      <c r="L152" s="2" t="str">
        <f t="shared" si="14"/>
        <v>January</v>
      </c>
      <c r="M152" s="2" t="str">
        <f t="shared" si="15"/>
        <v>Spring</v>
      </c>
      <c r="N152" s="2" t="str">
        <f t="shared" si="16"/>
        <v>Friday</v>
      </c>
      <c r="O152" t="str">
        <f t="shared" si="17"/>
        <v>Cloudy</v>
      </c>
    </row>
    <row r="153" spans="1:15" x14ac:dyDescent="0.25">
      <c r="A153" s="8">
        <v>151</v>
      </c>
      <c r="B153" s="9">
        <v>40550</v>
      </c>
      <c r="C153" s="6">
        <v>1</v>
      </c>
      <c r="D153" s="6" t="str">
        <f t="shared" si="12"/>
        <v>2011</v>
      </c>
      <c r="E153" s="6">
        <v>1</v>
      </c>
      <c r="F153" s="6">
        <v>13</v>
      </c>
      <c r="G153" s="6" t="b">
        <v>0</v>
      </c>
      <c r="H153" s="6">
        <v>5</v>
      </c>
      <c r="I153" s="6">
        <v>2</v>
      </c>
      <c r="J153" s="7">
        <v>0.2</v>
      </c>
      <c r="K153" s="6" t="str">
        <f t="shared" si="13"/>
        <v>Friday</v>
      </c>
      <c r="L153" s="2" t="str">
        <f t="shared" si="14"/>
        <v>January</v>
      </c>
      <c r="M153" s="2" t="str">
        <f t="shared" si="15"/>
        <v>Spring</v>
      </c>
      <c r="N153" s="2" t="str">
        <f t="shared" si="16"/>
        <v>Friday</v>
      </c>
      <c r="O153" t="str">
        <f t="shared" si="17"/>
        <v>Cloudy</v>
      </c>
    </row>
    <row r="154" spans="1:15" x14ac:dyDescent="0.25">
      <c r="A154" s="8">
        <v>152</v>
      </c>
      <c r="B154" s="9">
        <v>40550</v>
      </c>
      <c r="C154" s="6">
        <v>1</v>
      </c>
      <c r="D154" s="6" t="str">
        <f t="shared" si="12"/>
        <v>2011</v>
      </c>
      <c r="E154" s="6">
        <v>1</v>
      </c>
      <c r="F154" s="6">
        <v>14</v>
      </c>
      <c r="G154" s="6" t="b">
        <v>0</v>
      </c>
      <c r="H154" s="6">
        <v>5</v>
      </c>
      <c r="I154" s="6">
        <v>2</v>
      </c>
      <c r="J154" s="7">
        <v>0.2</v>
      </c>
      <c r="K154" s="6" t="str">
        <f t="shared" si="13"/>
        <v>Friday</v>
      </c>
      <c r="L154" s="2" t="str">
        <f t="shared" si="14"/>
        <v>January</v>
      </c>
      <c r="M154" s="2" t="str">
        <f t="shared" si="15"/>
        <v>Spring</v>
      </c>
      <c r="N154" s="2" t="str">
        <f t="shared" si="16"/>
        <v>Friday</v>
      </c>
      <c r="O154" t="str">
        <f t="shared" si="17"/>
        <v>Cloudy</v>
      </c>
    </row>
    <row r="155" spans="1:15" x14ac:dyDescent="0.25">
      <c r="A155" s="8">
        <v>153</v>
      </c>
      <c r="B155" s="9">
        <v>40550</v>
      </c>
      <c r="C155" s="6">
        <v>1</v>
      </c>
      <c r="D155" s="6" t="str">
        <f t="shared" si="12"/>
        <v>2011</v>
      </c>
      <c r="E155" s="6">
        <v>1</v>
      </c>
      <c r="F155" s="6">
        <v>15</v>
      </c>
      <c r="G155" s="6" t="b">
        <v>0</v>
      </c>
      <c r="H155" s="6">
        <v>5</v>
      </c>
      <c r="I155" s="6">
        <v>2</v>
      </c>
      <c r="J155" s="7">
        <v>0.2</v>
      </c>
      <c r="K155" s="6" t="str">
        <f t="shared" si="13"/>
        <v>Friday</v>
      </c>
      <c r="L155" s="2" t="str">
        <f t="shared" si="14"/>
        <v>January</v>
      </c>
      <c r="M155" s="2" t="str">
        <f t="shared" si="15"/>
        <v>Spring</v>
      </c>
      <c r="N155" s="2" t="str">
        <f t="shared" si="16"/>
        <v>Friday</v>
      </c>
      <c r="O155" t="str">
        <f t="shared" si="17"/>
        <v>Cloudy</v>
      </c>
    </row>
    <row r="156" spans="1:15" x14ac:dyDescent="0.25">
      <c r="A156" s="8">
        <v>154</v>
      </c>
      <c r="B156" s="9">
        <v>40550</v>
      </c>
      <c r="C156" s="6">
        <v>1</v>
      </c>
      <c r="D156" s="6" t="str">
        <f t="shared" si="12"/>
        <v>2011</v>
      </c>
      <c r="E156" s="6">
        <v>1</v>
      </c>
      <c r="F156" s="6">
        <v>16</v>
      </c>
      <c r="G156" s="6" t="b">
        <v>0</v>
      </c>
      <c r="H156" s="6">
        <v>5</v>
      </c>
      <c r="I156" s="6">
        <v>2</v>
      </c>
      <c r="J156" s="7">
        <v>0.2</v>
      </c>
      <c r="K156" s="6" t="str">
        <f t="shared" si="13"/>
        <v>Friday</v>
      </c>
      <c r="L156" s="2" t="str">
        <f t="shared" si="14"/>
        <v>January</v>
      </c>
      <c r="M156" s="2" t="str">
        <f t="shared" si="15"/>
        <v>Spring</v>
      </c>
      <c r="N156" s="2" t="str">
        <f t="shared" si="16"/>
        <v>Friday</v>
      </c>
      <c r="O156" t="str">
        <f t="shared" si="17"/>
        <v>Cloudy</v>
      </c>
    </row>
    <row r="157" spans="1:15" x14ac:dyDescent="0.25">
      <c r="A157" s="8">
        <v>155</v>
      </c>
      <c r="B157" s="9">
        <v>40550</v>
      </c>
      <c r="C157" s="6">
        <v>1</v>
      </c>
      <c r="D157" s="6" t="str">
        <f t="shared" si="12"/>
        <v>2011</v>
      </c>
      <c r="E157" s="6">
        <v>1</v>
      </c>
      <c r="F157" s="6">
        <v>17</v>
      </c>
      <c r="G157" s="6" t="b">
        <v>0</v>
      </c>
      <c r="H157" s="6">
        <v>5</v>
      </c>
      <c r="I157" s="6">
        <v>2</v>
      </c>
      <c r="J157" s="7">
        <v>0.2</v>
      </c>
      <c r="K157" s="6" t="str">
        <f t="shared" si="13"/>
        <v>Friday</v>
      </c>
      <c r="L157" s="2" t="str">
        <f t="shared" si="14"/>
        <v>January</v>
      </c>
      <c r="M157" s="2" t="str">
        <f t="shared" si="15"/>
        <v>Spring</v>
      </c>
      <c r="N157" s="2" t="str">
        <f t="shared" si="16"/>
        <v>Friday</v>
      </c>
      <c r="O157" t="str">
        <f t="shared" si="17"/>
        <v>Cloudy</v>
      </c>
    </row>
    <row r="158" spans="1:15" x14ac:dyDescent="0.25">
      <c r="A158" s="8">
        <v>156</v>
      </c>
      <c r="B158" s="9">
        <v>40550</v>
      </c>
      <c r="C158" s="6">
        <v>1</v>
      </c>
      <c r="D158" s="6" t="str">
        <f t="shared" si="12"/>
        <v>2011</v>
      </c>
      <c r="E158" s="6">
        <v>1</v>
      </c>
      <c r="F158" s="6">
        <v>18</v>
      </c>
      <c r="G158" s="6" t="b">
        <v>0</v>
      </c>
      <c r="H158" s="6">
        <v>5</v>
      </c>
      <c r="I158" s="6">
        <v>1</v>
      </c>
      <c r="J158" s="7">
        <v>0.2</v>
      </c>
      <c r="K158" s="6" t="str">
        <f t="shared" si="13"/>
        <v>Friday</v>
      </c>
      <c r="L158" s="2" t="str">
        <f t="shared" si="14"/>
        <v>January</v>
      </c>
      <c r="M158" s="2" t="str">
        <f t="shared" si="15"/>
        <v>Spring</v>
      </c>
      <c r="N158" s="2" t="str">
        <f t="shared" si="16"/>
        <v>Friday</v>
      </c>
      <c r="O158" t="str">
        <f t="shared" si="17"/>
        <v>Clear</v>
      </c>
    </row>
    <row r="159" spans="1:15" x14ac:dyDescent="0.25">
      <c r="A159" s="8">
        <v>157</v>
      </c>
      <c r="B159" s="9">
        <v>40550</v>
      </c>
      <c r="C159" s="6">
        <v>1</v>
      </c>
      <c r="D159" s="6" t="str">
        <f t="shared" si="12"/>
        <v>2011</v>
      </c>
      <c r="E159" s="6">
        <v>1</v>
      </c>
      <c r="F159" s="6">
        <v>19</v>
      </c>
      <c r="G159" s="6" t="b">
        <v>0</v>
      </c>
      <c r="H159" s="6">
        <v>5</v>
      </c>
      <c r="I159" s="6">
        <v>1</v>
      </c>
      <c r="J159" s="7">
        <v>0.16</v>
      </c>
      <c r="K159" s="6" t="str">
        <f t="shared" si="13"/>
        <v>Friday</v>
      </c>
      <c r="L159" s="2" t="str">
        <f t="shared" si="14"/>
        <v>January</v>
      </c>
      <c r="M159" s="2" t="str">
        <f t="shared" si="15"/>
        <v>Spring</v>
      </c>
      <c r="N159" s="2" t="str">
        <f t="shared" si="16"/>
        <v>Friday</v>
      </c>
      <c r="O159" t="str">
        <f t="shared" si="17"/>
        <v>Clear</v>
      </c>
    </row>
    <row r="160" spans="1:15" x14ac:dyDescent="0.25">
      <c r="A160" s="8">
        <v>158</v>
      </c>
      <c r="B160" s="9">
        <v>40550</v>
      </c>
      <c r="C160" s="6">
        <v>1</v>
      </c>
      <c r="D160" s="6" t="str">
        <f t="shared" si="12"/>
        <v>2011</v>
      </c>
      <c r="E160" s="6">
        <v>1</v>
      </c>
      <c r="F160" s="6">
        <v>20</v>
      </c>
      <c r="G160" s="6" t="b">
        <v>0</v>
      </c>
      <c r="H160" s="6">
        <v>5</v>
      </c>
      <c r="I160" s="6">
        <v>1</v>
      </c>
      <c r="J160" s="7">
        <v>0.18</v>
      </c>
      <c r="K160" s="6" t="str">
        <f t="shared" si="13"/>
        <v>Friday</v>
      </c>
      <c r="L160" s="2" t="str">
        <f t="shared" si="14"/>
        <v>January</v>
      </c>
      <c r="M160" s="2" t="str">
        <f t="shared" si="15"/>
        <v>Spring</v>
      </c>
      <c r="N160" s="2" t="str">
        <f t="shared" si="16"/>
        <v>Friday</v>
      </c>
      <c r="O160" t="str">
        <f t="shared" si="17"/>
        <v>Clear</v>
      </c>
    </row>
    <row r="161" spans="1:15" x14ac:dyDescent="0.25">
      <c r="A161" s="8">
        <v>159</v>
      </c>
      <c r="B161" s="9">
        <v>40550</v>
      </c>
      <c r="C161" s="6">
        <v>1</v>
      </c>
      <c r="D161" s="6" t="str">
        <f t="shared" si="12"/>
        <v>2011</v>
      </c>
      <c r="E161" s="6">
        <v>1</v>
      </c>
      <c r="F161" s="6">
        <v>21</v>
      </c>
      <c r="G161" s="6" t="b">
        <v>0</v>
      </c>
      <c r="H161" s="6">
        <v>5</v>
      </c>
      <c r="I161" s="6">
        <v>1</v>
      </c>
      <c r="J161" s="7">
        <v>0.18</v>
      </c>
      <c r="K161" s="6" t="str">
        <f t="shared" si="13"/>
        <v>Friday</v>
      </c>
      <c r="L161" s="2" t="str">
        <f t="shared" si="14"/>
        <v>January</v>
      </c>
      <c r="M161" s="2" t="str">
        <f t="shared" si="15"/>
        <v>Spring</v>
      </c>
      <c r="N161" s="2" t="str">
        <f t="shared" si="16"/>
        <v>Friday</v>
      </c>
      <c r="O161" t="str">
        <f t="shared" si="17"/>
        <v>Clear</v>
      </c>
    </row>
    <row r="162" spans="1:15" x14ac:dyDescent="0.25">
      <c r="A162" s="8">
        <v>160</v>
      </c>
      <c r="B162" s="9">
        <v>40550</v>
      </c>
      <c r="C162" s="6">
        <v>1</v>
      </c>
      <c r="D162" s="6" t="str">
        <f t="shared" si="12"/>
        <v>2011</v>
      </c>
      <c r="E162" s="6">
        <v>1</v>
      </c>
      <c r="F162" s="6">
        <v>22</v>
      </c>
      <c r="G162" s="6" t="b">
        <v>0</v>
      </c>
      <c r="H162" s="6">
        <v>5</v>
      </c>
      <c r="I162" s="6">
        <v>2</v>
      </c>
      <c r="J162" s="7">
        <v>0.18</v>
      </c>
      <c r="K162" s="6" t="str">
        <f t="shared" si="13"/>
        <v>Friday</v>
      </c>
      <c r="L162" s="2" t="str">
        <f t="shared" si="14"/>
        <v>January</v>
      </c>
      <c r="M162" s="2" t="str">
        <f t="shared" si="15"/>
        <v>Spring</v>
      </c>
      <c r="N162" s="2" t="str">
        <f t="shared" si="16"/>
        <v>Friday</v>
      </c>
      <c r="O162" t="str">
        <f t="shared" si="17"/>
        <v>Cloudy</v>
      </c>
    </row>
    <row r="163" spans="1:15" x14ac:dyDescent="0.25">
      <c r="A163" s="8">
        <v>161</v>
      </c>
      <c r="B163" s="9">
        <v>40550</v>
      </c>
      <c r="C163" s="6">
        <v>1</v>
      </c>
      <c r="D163" s="6" t="str">
        <f t="shared" si="12"/>
        <v>2011</v>
      </c>
      <c r="E163" s="6">
        <v>1</v>
      </c>
      <c r="F163" s="6">
        <v>23</v>
      </c>
      <c r="G163" s="6" t="b">
        <v>0</v>
      </c>
      <c r="H163" s="6">
        <v>5</v>
      </c>
      <c r="I163" s="6">
        <v>2</v>
      </c>
      <c r="J163" s="7">
        <v>0.18</v>
      </c>
      <c r="K163" s="6" t="str">
        <f t="shared" si="13"/>
        <v>Friday</v>
      </c>
      <c r="L163" s="2" t="str">
        <f t="shared" si="14"/>
        <v>January</v>
      </c>
      <c r="M163" s="2" t="str">
        <f t="shared" si="15"/>
        <v>Spring</v>
      </c>
      <c r="N163" s="2" t="str">
        <f t="shared" si="16"/>
        <v>Friday</v>
      </c>
      <c r="O163" t="str">
        <f t="shared" si="17"/>
        <v>Cloudy</v>
      </c>
    </row>
    <row r="164" spans="1:15" x14ac:dyDescent="0.25">
      <c r="A164" s="8">
        <v>162</v>
      </c>
      <c r="B164" s="9">
        <v>40551</v>
      </c>
      <c r="C164" s="6">
        <v>1</v>
      </c>
      <c r="D164" s="6" t="str">
        <f t="shared" si="12"/>
        <v>2011</v>
      </c>
      <c r="E164" s="6">
        <v>1</v>
      </c>
      <c r="F164" s="6">
        <v>0</v>
      </c>
      <c r="G164" s="6" t="b">
        <v>0</v>
      </c>
      <c r="H164" s="6">
        <v>6</v>
      </c>
      <c r="I164" s="6">
        <v>2</v>
      </c>
      <c r="J164" s="7">
        <v>0.18</v>
      </c>
      <c r="K164" s="6" t="str">
        <f t="shared" si="13"/>
        <v>Saturday</v>
      </c>
      <c r="L164" s="2" t="str">
        <f t="shared" si="14"/>
        <v>January</v>
      </c>
      <c r="M164" s="2" t="str">
        <f t="shared" si="15"/>
        <v>Spring</v>
      </c>
      <c r="N164" s="2" t="str">
        <f t="shared" si="16"/>
        <v>Saturday</v>
      </c>
      <c r="O164" t="str">
        <f t="shared" si="17"/>
        <v>Cloudy</v>
      </c>
    </row>
    <row r="165" spans="1:15" x14ac:dyDescent="0.25">
      <c r="A165" s="8">
        <v>163</v>
      </c>
      <c r="B165" s="9">
        <v>40551</v>
      </c>
      <c r="C165" s="6">
        <v>1</v>
      </c>
      <c r="D165" s="6" t="str">
        <f t="shared" si="12"/>
        <v>2011</v>
      </c>
      <c r="E165" s="6">
        <v>1</v>
      </c>
      <c r="F165" s="6">
        <v>1</v>
      </c>
      <c r="G165" s="6" t="b">
        <v>0</v>
      </c>
      <c r="H165" s="6">
        <v>6</v>
      </c>
      <c r="I165" s="6">
        <v>2</v>
      </c>
      <c r="J165" s="7">
        <v>0.18</v>
      </c>
      <c r="K165" s="6" t="str">
        <f t="shared" si="13"/>
        <v>Saturday</v>
      </c>
      <c r="L165" s="2" t="str">
        <f t="shared" si="14"/>
        <v>January</v>
      </c>
      <c r="M165" s="2" t="str">
        <f t="shared" si="15"/>
        <v>Spring</v>
      </c>
      <c r="N165" s="2" t="str">
        <f t="shared" si="16"/>
        <v>Saturday</v>
      </c>
      <c r="O165" t="str">
        <f t="shared" si="17"/>
        <v>Cloudy</v>
      </c>
    </row>
    <row r="166" spans="1:15" x14ac:dyDescent="0.25">
      <c r="A166" s="8">
        <v>164</v>
      </c>
      <c r="B166" s="9">
        <v>40551</v>
      </c>
      <c r="C166" s="6">
        <v>1</v>
      </c>
      <c r="D166" s="6" t="str">
        <f t="shared" si="12"/>
        <v>2011</v>
      </c>
      <c r="E166" s="6">
        <v>1</v>
      </c>
      <c r="F166" s="6">
        <v>2</v>
      </c>
      <c r="G166" s="6" t="b">
        <v>0</v>
      </c>
      <c r="H166" s="6">
        <v>6</v>
      </c>
      <c r="I166" s="6">
        <v>2</v>
      </c>
      <c r="J166" s="7">
        <v>0.18</v>
      </c>
      <c r="K166" s="6" t="str">
        <f t="shared" si="13"/>
        <v>Saturday</v>
      </c>
      <c r="L166" s="2" t="str">
        <f t="shared" si="14"/>
        <v>January</v>
      </c>
      <c r="M166" s="2" t="str">
        <f t="shared" si="15"/>
        <v>Spring</v>
      </c>
      <c r="N166" s="2" t="str">
        <f t="shared" si="16"/>
        <v>Saturday</v>
      </c>
      <c r="O166" t="str">
        <f t="shared" si="17"/>
        <v>Cloudy</v>
      </c>
    </row>
    <row r="167" spans="1:15" x14ac:dyDescent="0.25">
      <c r="A167" s="8">
        <v>165</v>
      </c>
      <c r="B167" s="9">
        <v>40551</v>
      </c>
      <c r="C167" s="6">
        <v>1</v>
      </c>
      <c r="D167" s="6" t="str">
        <f t="shared" si="12"/>
        <v>2011</v>
      </c>
      <c r="E167" s="6">
        <v>1</v>
      </c>
      <c r="F167" s="6">
        <v>3</v>
      </c>
      <c r="G167" s="6" t="b">
        <v>0</v>
      </c>
      <c r="H167" s="6">
        <v>6</v>
      </c>
      <c r="I167" s="6">
        <v>3</v>
      </c>
      <c r="J167" s="7">
        <v>0.18</v>
      </c>
      <c r="K167" s="6" t="str">
        <f t="shared" si="13"/>
        <v>Saturday</v>
      </c>
      <c r="L167" s="2" t="str">
        <f t="shared" si="14"/>
        <v>January</v>
      </c>
      <c r="M167" s="2" t="str">
        <f t="shared" si="15"/>
        <v>Spring</v>
      </c>
      <c r="N167" s="2" t="str">
        <f t="shared" si="16"/>
        <v>Saturday</v>
      </c>
      <c r="O167" t="str">
        <f t="shared" si="17"/>
        <v>Rain</v>
      </c>
    </row>
    <row r="168" spans="1:15" x14ac:dyDescent="0.25">
      <c r="A168" s="8">
        <v>166</v>
      </c>
      <c r="B168" s="9">
        <v>40551</v>
      </c>
      <c r="C168" s="6">
        <v>1</v>
      </c>
      <c r="D168" s="6" t="str">
        <f t="shared" si="12"/>
        <v>2011</v>
      </c>
      <c r="E168" s="6">
        <v>1</v>
      </c>
      <c r="F168" s="6">
        <v>4</v>
      </c>
      <c r="G168" s="6" t="b">
        <v>0</v>
      </c>
      <c r="H168" s="6">
        <v>6</v>
      </c>
      <c r="I168" s="6">
        <v>3</v>
      </c>
      <c r="J168" s="7">
        <v>0.18</v>
      </c>
      <c r="K168" s="6" t="str">
        <f t="shared" si="13"/>
        <v>Saturday</v>
      </c>
      <c r="L168" s="2" t="str">
        <f t="shared" si="14"/>
        <v>January</v>
      </c>
      <c r="M168" s="2" t="str">
        <f t="shared" si="15"/>
        <v>Spring</v>
      </c>
      <c r="N168" s="2" t="str">
        <f t="shared" si="16"/>
        <v>Saturday</v>
      </c>
      <c r="O168" t="str">
        <f t="shared" si="17"/>
        <v>Rain</v>
      </c>
    </row>
    <row r="169" spans="1:15" x14ac:dyDescent="0.25">
      <c r="A169" s="8">
        <v>167</v>
      </c>
      <c r="B169" s="9">
        <v>40551</v>
      </c>
      <c r="C169" s="6">
        <v>1</v>
      </c>
      <c r="D169" s="6" t="str">
        <f t="shared" si="12"/>
        <v>2011</v>
      </c>
      <c r="E169" s="6">
        <v>1</v>
      </c>
      <c r="F169" s="6">
        <v>5</v>
      </c>
      <c r="G169" s="6" t="b">
        <v>0</v>
      </c>
      <c r="H169" s="6">
        <v>6</v>
      </c>
      <c r="I169" s="6">
        <v>2</v>
      </c>
      <c r="J169" s="7">
        <v>0.16</v>
      </c>
      <c r="K169" s="6" t="str">
        <f t="shared" si="13"/>
        <v>Saturday</v>
      </c>
      <c r="L169" s="2" t="str">
        <f t="shared" si="14"/>
        <v>January</v>
      </c>
      <c r="M169" s="2" t="str">
        <f t="shared" si="15"/>
        <v>Spring</v>
      </c>
      <c r="N169" s="2" t="str">
        <f t="shared" si="16"/>
        <v>Saturday</v>
      </c>
      <c r="O169" t="str">
        <f t="shared" si="17"/>
        <v>Cloudy</v>
      </c>
    </row>
    <row r="170" spans="1:15" x14ac:dyDescent="0.25">
      <c r="A170" s="8">
        <v>168</v>
      </c>
      <c r="B170" s="9">
        <v>40551</v>
      </c>
      <c r="C170" s="6">
        <v>1</v>
      </c>
      <c r="D170" s="6" t="str">
        <f t="shared" si="12"/>
        <v>2011</v>
      </c>
      <c r="E170" s="6">
        <v>1</v>
      </c>
      <c r="F170" s="6">
        <v>6</v>
      </c>
      <c r="G170" s="6" t="b">
        <v>0</v>
      </c>
      <c r="H170" s="6">
        <v>6</v>
      </c>
      <c r="I170" s="6">
        <v>2</v>
      </c>
      <c r="J170" s="7">
        <v>0.16</v>
      </c>
      <c r="K170" s="6" t="str">
        <f t="shared" si="13"/>
        <v>Saturday</v>
      </c>
      <c r="L170" s="2" t="str">
        <f t="shared" si="14"/>
        <v>January</v>
      </c>
      <c r="M170" s="2" t="str">
        <f t="shared" si="15"/>
        <v>Spring</v>
      </c>
      <c r="N170" s="2" t="str">
        <f t="shared" si="16"/>
        <v>Saturday</v>
      </c>
      <c r="O170" t="str">
        <f t="shared" si="17"/>
        <v>Cloudy</v>
      </c>
    </row>
    <row r="171" spans="1:15" x14ac:dyDescent="0.25">
      <c r="A171" s="8">
        <v>169</v>
      </c>
      <c r="B171" s="9">
        <v>40551</v>
      </c>
      <c r="C171" s="6">
        <v>1</v>
      </c>
      <c r="D171" s="6" t="str">
        <f t="shared" si="12"/>
        <v>2011</v>
      </c>
      <c r="E171" s="6">
        <v>1</v>
      </c>
      <c r="F171" s="6">
        <v>7</v>
      </c>
      <c r="G171" s="6" t="b">
        <v>0</v>
      </c>
      <c r="H171" s="6">
        <v>6</v>
      </c>
      <c r="I171" s="6">
        <v>2</v>
      </c>
      <c r="J171" s="7">
        <v>0.16</v>
      </c>
      <c r="K171" s="6" t="str">
        <f t="shared" si="13"/>
        <v>Saturday</v>
      </c>
      <c r="L171" s="2" t="str">
        <f t="shared" si="14"/>
        <v>January</v>
      </c>
      <c r="M171" s="2" t="str">
        <f t="shared" si="15"/>
        <v>Spring</v>
      </c>
      <c r="N171" s="2" t="str">
        <f t="shared" si="16"/>
        <v>Saturday</v>
      </c>
      <c r="O171" t="str">
        <f t="shared" si="17"/>
        <v>Cloudy</v>
      </c>
    </row>
    <row r="172" spans="1:15" x14ac:dyDescent="0.25">
      <c r="A172" s="8">
        <v>170</v>
      </c>
      <c r="B172" s="9">
        <v>40551</v>
      </c>
      <c r="C172" s="6">
        <v>1</v>
      </c>
      <c r="D172" s="6" t="str">
        <f t="shared" si="12"/>
        <v>2011</v>
      </c>
      <c r="E172" s="6">
        <v>1</v>
      </c>
      <c r="F172" s="6">
        <v>8</v>
      </c>
      <c r="G172" s="6" t="b">
        <v>0</v>
      </c>
      <c r="H172" s="6">
        <v>6</v>
      </c>
      <c r="I172" s="6">
        <v>3</v>
      </c>
      <c r="J172" s="7">
        <v>0.16</v>
      </c>
      <c r="K172" s="6" t="str">
        <f t="shared" si="13"/>
        <v>Saturday</v>
      </c>
      <c r="L172" s="2" t="str">
        <f t="shared" si="14"/>
        <v>January</v>
      </c>
      <c r="M172" s="2" t="str">
        <f t="shared" si="15"/>
        <v>Spring</v>
      </c>
      <c r="N172" s="2" t="str">
        <f t="shared" si="16"/>
        <v>Saturday</v>
      </c>
      <c r="O172" t="str">
        <f t="shared" si="17"/>
        <v>Rain</v>
      </c>
    </row>
    <row r="173" spans="1:15" x14ac:dyDescent="0.25">
      <c r="A173" s="8">
        <v>171</v>
      </c>
      <c r="B173" s="9">
        <v>40551</v>
      </c>
      <c r="C173" s="6">
        <v>1</v>
      </c>
      <c r="D173" s="6" t="str">
        <f t="shared" si="12"/>
        <v>2011</v>
      </c>
      <c r="E173" s="6">
        <v>1</v>
      </c>
      <c r="F173" s="6">
        <v>9</v>
      </c>
      <c r="G173" s="6" t="b">
        <v>0</v>
      </c>
      <c r="H173" s="6">
        <v>6</v>
      </c>
      <c r="I173" s="6">
        <v>3</v>
      </c>
      <c r="J173" s="7">
        <v>0.16</v>
      </c>
      <c r="K173" s="6" t="str">
        <f t="shared" si="13"/>
        <v>Saturday</v>
      </c>
      <c r="L173" s="2" t="str">
        <f t="shared" si="14"/>
        <v>January</v>
      </c>
      <c r="M173" s="2" t="str">
        <f t="shared" si="15"/>
        <v>Spring</v>
      </c>
      <c r="N173" s="2" t="str">
        <f t="shared" si="16"/>
        <v>Saturday</v>
      </c>
      <c r="O173" t="str">
        <f t="shared" si="17"/>
        <v>Rain</v>
      </c>
    </row>
    <row r="174" spans="1:15" x14ac:dyDescent="0.25">
      <c r="A174" s="8">
        <v>172</v>
      </c>
      <c r="B174" s="9">
        <v>40551</v>
      </c>
      <c r="C174" s="6">
        <v>1</v>
      </c>
      <c r="D174" s="6" t="str">
        <f t="shared" si="12"/>
        <v>2011</v>
      </c>
      <c r="E174" s="6">
        <v>1</v>
      </c>
      <c r="F174" s="6">
        <v>10</v>
      </c>
      <c r="G174" s="6" t="b">
        <v>0</v>
      </c>
      <c r="H174" s="6">
        <v>6</v>
      </c>
      <c r="I174" s="6">
        <v>2</v>
      </c>
      <c r="J174" s="7">
        <v>0.18</v>
      </c>
      <c r="K174" s="6" t="str">
        <f t="shared" si="13"/>
        <v>Saturday</v>
      </c>
      <c r="L174" s="2" t="str">
        <f t="shared" si="14"/>
        <v>January</v>
      </c>
      <c r="M174" s="2" t="str">
        <f t="shared" si="15"/>
        <v>Spring</v>
      </c>
      <c r="N174" s="2" t="str">
        <f t="shared" si="16"/>
        <v>Saturday</v>
      </c>
      <c r="O174" t="str">
        <f t="shared" si="17"/>
        <v>Cloudy</v>
      </c>
    </row>
    <row r="175" spans="1:15" x14ac:dyDescent="0.25">
      <c r="A175" s="8">
        <v>173</v>
      </c>
      <c r="B175" s="9">
        <v>40551</v>
      </c>
      <c r="C175" s="6">
        <v>1</v>
      </c>
      <c r="D175" s="6" t="str">
        <f t="shared" si="12"/>
        <v>2011</v>
      </c>
      <c r="E175" s="6">
        <v>1</v>
      </c>
      <c r="F175" s="6">
        <v>11</v>
      </c>
      <c r="G175" s="6" t="b">
        <v>0</v>
      </c>
      <c r="H175" s="6">
        <v>6</v>
      </c>
      <c r="I175" s="6">
        <v>2</v>
      </c>
      <c r="J175" s="7">
        <v>0.2</v>
      </c>
      <c r="K175" s="6" t="str">
        <f t="shared" si="13"/>
        <v>Saturday</v>
      </c>
      <c r="L175" s="2" t="str">
        <f t="shared" si="14"/>
        <v>January</v>
      </c>
      <c r="M175" s="2" t="str">
        <f t="shared" si="15"/>
        <v>Spring</v>
      </c>
      <c r="N175" s="2" t="str">
        <f t="shared" si="16"/>
        <v>Saturday</v>
      </c>
      <c r="O175" t="str">
        <f t="shared" si="17"/>
        <v>Cloudy</v>
      </c>
    </row>
    <row r="176" spans="1:15" x14ac:dyDescent="0.25">
      <c r="A176" s="8">
        <v>174</v>
      </c>
      <c r="B176" s="9">
        <v>40551</v>
      </c>
      <c r="C176" s="6">
        <v>1</v>
      </c>
      <c r="D176" s="6" t="str">
        <f t="shared" si="12"/>
        <v>2011</v>
      </c>
      <c r="E176" s="6">
        <v>1</v>
      </c>
      <c r="F176" s="6">
        <v>12</v>
      </c>
      <c r="G176" s="6" t="b">
        <v>0</v>
      </c>
      <c r="H176" s="6">
        <v>6</v>
      </c>
      <c r="I176" s="6">
        <v>2</v>
      </c>
      <c r="J176" s="7">
        <v>0.2</v>
      </c>
      <c r="K176" s="6" t="str">
        <f t="shared" si="13"/>
        <v>Saturday</v>
      </c>
      <c r="L176" s="2" t="str">
        <f t="shared" si="14"/>
        <v>January</v>
      </c>
      <c r="M176" s="2" t="str">
        <f t="shared" si="15"/>
        <v>Spring</v>
      </c>
      <c r="N176" s="2" t="str">
        <f t="shared" si="16"/>
        <v>Saturday</v>
      </c>
      <c r="O176" t="str">
        <f t="shared" si="17"/>
        <v>Cloudy</v>
      </c>
    </row>
    <row r="177" spans="1:15" x14ac:dyDescent="0.25">
      <c r="A177" s="8">
        <v>175</v>
      </c>
      <c r="B177" s="9">
        <v>40551</v>
      </c>
      <c r="C177" s="6">
        <v>1</v>
      </c>
      <c r="D177" s="6" t="str">
        <f t="shared" si="12"/>
        <v>2011</v>
      </c>
      <c r="E177" s="6">
        <v>1</v>
      </c>
      <c r="F177" s="6">
        <v>13</v>
      </c>
      <c r="G177" s="6" t="b">
        <v>0</v>
      </c>
      <c r="H177" s="6">
        <v>6</v>
      </c>
      <c r="I177" s="6">
        <v>1</v>
      </c>
      <c r="J177" s="7">
        <v>0.2</v>
      </c>
      <c r="K177" s="6" t="str">
        <f t="shared" si="13"/>
        <v>Saturday</v>
      </c>
      <c r="L177" s="2" t="str">
        <f t="shared" si="14"/>
        <v>January</v>
      </c>
      <c r="M177" s="2" t="str">
        <f t="shared" si="15"/>
        <v>Spring</v>
      </c>
      <c r="N177" s="2" t="str">
        <f t="shared" si="16"/>
        <v>Saturday</v>
      </c>
      <c r="O177" t="str">
        <f t="shared" si="17"/>
        <v>Clear</v>
      </c>
    </row>
    <row r="178" spans="1:15" x14ac:dyDescent="0.25">
      <c r="A178" s="8">
        <v>176</v>
      </c>
      <c r="B178" s="9">
        <v>40551</v>
      </c>
      <c r="C178" s="6">
        <v>1</v>
      </c>
      <c r="D178" s="6" t="str">
        <f t="shared" si="12"/>
        <v>2011</v>
      </c>
      <c r="E178" s="6">
        <v>1</v>
      </c>
      <c r="F178" s="6">
        <v>14</v>
      </c>
      <c r="G178" s="6" t="b">
        <v>0</v>
      </c>
      <c r="H178" s="6">
        <v>6</v>
      </c>
      <c r="I178" s="6">
        <v>1</v>
      </c>
      <c r="J178" s="7">
        <v>0.2</v>
      </c>
      <c r="K178" s="6" t="str">
        <f t="shared" si="13"/>
        <v>Saturday</v>
      </c>
      <c r="L178" s="2" t="str">
        <f t="shared" si="14"/>
        <v>January</v>
      </c>
      <c r="M178" s="2" t="str">
        <f t="shared" si="15"/>
        <v>Spring</v>
      </c>
      <c r="N178" s="2" t="str">
        <f t="shared" si="16"/>
        <v>Saturday</v>
      </c>
      <c r="O178" t="str">
        <f t="shared" si="17"/>
        <v>Clear</v>
      </c>
    </row>
    <row r="179" spans="1:15" x14ac:dyDescent="0.25">
      <c r="A179" s="8">
        <v>177</v>
      </c>
      <c r="B179" s="9">
        <v>40551</v>
      </c>
      <c r="C179" s="6">
        <v>1</v>
      </c>
      <c r="D179" s="6" t="str">
        <f t="shared" si="12"/>
        <v>2011</v>
      </c>
      <c r="E179" s="6">
        <v>1</v>
      </c>
      <c r="F179" s="6">
        <v>15</v>
      </c>
      <c r="G179" s="6" t="b">
        <v>0</v>
      </c>
      <c r="H179" s="6">
        <v>6</v>
      </c>
      <c r="I179" s="6">
        <v>1</v>
      </c>
      <c r="J179" s="7">
        <v>0.2</v>
      </c>
      <c r="K179" s="6" t="str">
        <f t="shared" si="13"/>
        <v>Saturday</v>
      </c>
      <c r="L179" s="2" t="str">
        <f t="shared" si="14"/>
        <v>January</v>
      </c>
      <c r="M179" s="2" t="str">
        <f t="shared" si="15"/>
        <v>Spring</v>
      </c>
      <c r="N179" s="2" t="str">
        <f t="shared" si="16"/>
        <v>Saturday</v>
      </c>
      <c r="O179" t="str">
        <f t="shared" si="17"/>
        <v>Clear</v>
      </c>
    </row>
    <row r="180" spans="1:15" x14ac:dyDescent="0.25">
      <c r="A180" s="8">
        <v>178</v>
      </c>
      <c r="B180" s="9">
        <v>40551</v>
      </c>
      <c r="C180" s="6">
        <v>1</v>
      </c>
      <c r="D180" s="6" t="str">
        <f t="shared" si="12"/>
        <v>2011</v>
      </c>
      <c r="E180" s="6">
        <v>1</v>
      </c>
      <c r="F180" s="6">
        <v>16</v>
      </c>
      <c r="G180" s="6" t="b">
        <v>0</v>
      </c>
      <c r="H180" s="6">
        <v>6</v>
      </c>
      <c r="I180" s="6">
        <v>1</v>
      </c>
      <c r="J180" s="7">
        <v>0.18</v>
      </c>
      <c r="K180" s="6" t="str">
        <f t="shared" si="13"/>
        <v>Saturday</v>
      </c>
      <c r="L180" s="2" t="str">
        <f t="shared" si="14"/>
        <v>January</v>
      </c>
      <c r="M180" s="2" t="str">
        <f t="shared" si="15"/>
        <v>Spring</v>
      </c>
      <c r="N180" s="2" t="str">
        <f t="shared" si="16"/>
        <v>Saturday</v>
      </c>
      <c r="O180" t="str">
        <f t="shared" si="17"/>
        <v>Clear</v>
      </c>
    </row>
    <row r="181" spans="1:15" x14ac:dyDescent="0.25">
      <c r="A181" s="8">
        <v>179</v>
      </c>
      <c r="B181" s="9">
        <v>40551</v>
      </c>
      <c r="C181" s="6">
        <v>1</v>
      </c>
      <c r="D181" s="6" t="str">
        <f t="shared" si="12"/>
        <v>2011</v>
      </c>
      <c r="E181" s="6">
        <v>1</v>
      </c>
      <c r="F181" s="6">
        <v>17</v>
      </c>
      <c r="G181" s="6" t="b">
        <v>0</v>
      </c>
      <c r="H181" s="6">
        <v>6</v>
      </c>
      <c r="I181" s="6">
        <v>1</v>
      </c>
      <c r="J181" s="7">
        <v>0.16</v>
      </c>
      <c r="K181" s="6" t="str">
        <f t="shared" si="13"/>
        <v>Saturday</v>
      </c>
      <c r="L181" s="2" t="str">
        <f t="shared" si="14"/>
        <v>January</v>
      </c>
      <c r="M181" s="2" t="str">
        <f t="shared" si="15"/>
        <v>Spring</v>
      </c>
      <c r="N181" s="2" t="str">
        <f t="shared" si="16"/>
        <v>Saturday</v>
      </c>
      <c r="O181" t="str">
        <f t="shared" si="17"/>
        <v>Clear</v>
      </c>
    </row>
    <row r="182" spans="1:15" x14ac:dyDescent="0.25">
      <c r="A182" s="8">
        <v>180</v>
      </c>
      <c r="B182" s="9">
        <v>40551</v>
      </c>
      <c r="C182" s="6">
        <v>1</v>
      </c>
      <c r="D182" s="6" t="str">
        <f t="shared" si="12"/>
        <v>2011</v>
      </c>
      <c r="E182" s="6">
        <v>1</v>
      </c>
      <c r="F182" s="6">
        <v>18</v>
      </c>
      <c r="G182" s="6" t="b">
        <v>0</v>
      </c>
      <c r="H182" s="6">
        <v>6</v>
      </c>
      <c r="I182" s="6">
        <v>1</v>
      </c>
      <c r="J182" s="7">
        <v>0.14000000000000001</v>
      </c>
      <c r="K182" s="6" t="str">
        <f t="shared" si="13"/>
        <v>Saturday</v>
      </c>
      <c r="L182" s="2" t="str">
        <f t="shared" si="14"/>
        <v>January</v>
      </c>
      <c r="M182" s="2" t="str">
        <f t="shared" si="15"/>
        <v>Spring</v>
      </c>
      <c r="N182" s="2" t="str">
        <f t="shared" si="16"/>
        <v>Saturday</v>
      </c>
      <c r="O182" t="str">
        <f t="shared" si="17"/>
        <v>Clear</v>
      </c>
    </row>
    <row r="183" spans="1:15" x14ac:dyDescent="0.25">
      <c r="A183" s="8">
        <v>181</v>
      </c>
      <c r="B183" s="9">
        <v>40551</v>
      </c>
      <c r="C183" s="6">
        <v>1</v>
      </c>
      <c r="D183" s="6" t="str">
        <f t="shared" si="12"/>
        <v>2011</v>
      </c>
      <c r="E183" s="6">
        <v>1</v>
      </c>
      <c r="F183" s="6">
        <v>19</v>
      </c>
      <c r="G183" s="6" t="b">
        <v>0</v>
      </c>
      <c r="H183" s="6">
        <v>6</v>
      </c>
      <c r="I183" s="6">
        <v>1</v>
      </c>
      <c r="J183" s="7">
        <v>0.14000000000000001</v>
      </c>
      <c r="K183" s="6" t="str">
        <f t="shared" si="13"/>
        <v>Saturday</v>
      </c>
      <c r="L183" s="2" t="str">
        <f t="shared" si="14"/>
        <v>January</v>
      </c>
      <c r="M183" s="2" t="str">
        <f t="shared" si="15"/>
        <v>Spring</v>
      </c>
      <c r="N183" s="2" t="str">
        <f t="shared" si="16"/>
        <v>Saturday</v>
      </c>
      <c r="O183" t="str">
        <f t="shared" si="17"/>
        <v>Clear</v>
      </c>
    </row>
    <row r="184" spans="1:15" x14ac:dyDescent="0.25">
      <c r="A184" s="8">
        <v>182</v>
      </c>
      <c r="B184" s="9">
        <v>40551</v>
      </c>
      <c r="C184" s="6">
        <v>1</v>
      </c>
      <c r="D184" s="6" t="str">
        <f t="shared" si="12"/>
        <v>2011</v>
      </c>
      <c r="E184" s="6">
        <v>1</v>
      </c>
      <c r="F184" s="6">
        <v>20</v>
      </c>
      <c r="G184" s="6" t="b">
        <v>0</v>
      </c>
      <c r="H184" s="6">
        <v>6</v>
      </c>
      <c r="I184" s="6">
        <v>1</v>
      </c>
      <c r="J184" s="7">
        <v>0.12</v>
      </c>
      <c r="K184" s="6" t="str">
        <f t="shared" si="13"/>
        <v>Saturday</v>
      </c>
      <c r="L184" s="2" t="str">
        <f t="shared" si="14"/>
        <v>January</v>
      </c>
      <c r="M184" s="2" t="str">
        <f t="shared" si="15"/>
        <v>Spring</v>
      </c>
      <c r="N184" s="2" t="str">
        <f t="shared" si="16"/>
        <v>Saturday</v>
      </c>
      <c r="O184" t="str">
        <f t="shared" si="17"/>
        <v>Clear</v>
      </c>
    </row>
    <row r="185" spans="1:15" x14ac:dyDescent="0.25">
      <c r="A185" s="8">
        <v>183</v>
      </c>
      <c r="B185" s="9">
        <v>40551</v>
      </c>
      <c r="C185" s="6">
        <v>1</v>
      </c>
      <c r="D185" s="6" t="str">
        <f t="shared" si="12"/>
        <v>2011</v>
      </c>
      <c r="E185" s="6">
        <v>1</v>
      </c>
      <c r="F185" s="6">
        <v>21</v>
      </c>
      <c r="G185" s="6" t="b">
        <v>0</v>
      </c>
      <c r="H185" s="6">
        <v>6</v>
      </c>
      <c r="I185" s="6">
        <v>1</v>
      </c>
      <c r="J185" s="7">
        <v>0.12</v>
      </c>
      <c r="K185" s="6" t="str">
        <f t="shared" si="13"/>
        <v>Saturday</v>
      </c>
      <c r="L185" s="2" t="str">
        <f t="shared" si="14"/>
        <v>January</v>
      </c>
      <c r="M185" s="2" t="str">
        <f t="shared" si="15"/>
        <v>Spring</v>
      </c>
      <c r="N185" s="2" t="str">
        <f t="shared" si="16"/>
        <v>Saturday</v>
      </c>
      <c r="O185" t="str">
        <f t="shared" si="17"/>
        <v>Clear</v>
      </c>
    </row>
    <row r="186" spans="1:15" x14ac:dyDescent="0.25">
      <c r="A186" s="8">
        <v>184</v>
      </c>
      <c r="B186" s="9">
        <v>40551</v>
      </c>
      <c r="C186" s="6">
        <v>1</v>
      </c>
      <c r="D186" s="6" t="str">
        <f t="shared" si="12"/>
        <v>2011</v>
      </c>
      <c r="E186" s="6">
        <v>1</v>
      </c>
      <c r="F186" s="6">
        <v>22</v>
      </c>
      <c r="G186" s="6" t="b">
        <v>0</v>
      </c>
      <c r="H186" s="6">
        <v>6</v>
      </c>
      <c r="I186" s="6">
        <v>1</v>
      </c>
      <c r="J186" s="7">
        <v>0.12</v>
      </c>
      <c r="K186" s="6" t="str">
        <f t="shared" si="13"/>
        <v>Saturday</v>
      </c>
      <c r="L186" s="2" t="str">
        <f t="shared" si="14"/>
        <v>January</v>
      </c>
      <c r="M186" s="2" t="str">
        <f t="shared" si="15"/>
        <v>Spring</v>
      </c>
      <c r="N186" s="2" t="str">
        <f t="shared" si="16"/>
        <v>Saturday</v>
      </c>
      <c r="O186" t="str">
        <f t="shared" si="17"/>
        <v>Clear</v>
      </c>
    </row>
    <row r="187" spans="1:15" x14ac:dyDescent="0.25">
      <c r="A187" s="8">
        <v>185</v>
      </c>
      <c r="B187" s="9">
        <v>40551</v>
      </c>
      <c r="C187" s="6">
        <v>1</v>
      </c>
      <c r="D187" s="6" t="str">
        <f t="shared" si="12"/>
        <v>2011</v>
      </c>
      <c r="E187" s="6">
        <v>1</v>
      </c>
      <c r="F187" s="6">
        <v>23</v>
      </c>
      <c r="G187" s="6" t="b">
        <v>0</v>
      </c>
      <c r="H187" s="6">
        <v>6</v>
      </c>
      <c r="I187" s="6">
        <v>1</v>
      </c>
      <c r="J187" s="7">
        <v>0.1</v>
      </c>
      <c r="K187" s="6" t="str">
        <f t="shared" si="13"/>
        <v>Saturday</v>
      </c>
      <c r="L187" s="2" t="str">
        <f t="shared" si="14"/>
        <v>January</v>
      </c>
      <c r="M187" s="2" t="str">
        <f t="shared" si="15"/>
        <v>Spring</v>
      </c>
      <c r="N187" s="2" t="str">
        <f t="shared" si="16"/>
        <v>Saturday</v>
      </c>
      <c r="O187" t="str">
        <f t="shared" si="17"/>
        <v>Clear</v>
      </c>
    </row>
    <row r="188" spans="1:15" x14ac:dyDescent="0.25">
      <c r="A188" s="8">
        <v>186</v>
      </c>
      <c r="B188" s="9">
        <v>40552</v>
      </c>
      <c r="C188" s="6">
        <v>1</v>
      </c>
      <c r="D188" s="6" t="str">
        <f t="shared" si="12"/>
        <v>2011</v>
      </c>
      <c r="E188" s="6">
        <v>1</v>
      </c>
      <c r="F188" s="6">
        <v>0</v>
      </c>
      <c r="G188" s="6" t="b">
        <v>0</v>
      </c>
      <c r="H188" s="6">
        <v>0</v>
      </c>
      <c r="I188" s="6">
        <v>1</v>
      </c>
      <c r="J188" s="7">
        <v>0.1</v>
      </c>
      <c r="K188" s="6" t="str">
        <f t="shared" si="13"/>
        <v>Sunday</v>
      </c>
      <c r="L188" s="2" t="str">
        <f t="shared" si="14"/>
        <v>January</v>
      </c>
      <c r="M188" s="2" t="str">
        <f t="shared" si="15"/>
        <v>Spring</v>
      </c>
      <c r="N188" s="2" t="str">
        <f t="shared" si="16"/>
        <v>Sunday</v>
      </c>
      <c r="O188" t="str">
        <f t="shared" si="17"/>
        <v>Clear</v>
      </c>
    </row>
    <row r="189" spans="1:15" x14ac:dyDescent="0.25">
      <c r="A189" s="8">
        <v>187</v>
      </c>
      <c r="B189" s="9">
        <v>40552</v>
      </c>
      <c r="C189" s="6">
        <v>1</v>
      </c>
      <c r="D189" s="6" t="str">
        <f t="shared" si="12"/>
        <v>2011</v>
      </c>
      <c r="E189" s="6">
        <v>1</v>
      </c>
      <c r="F189" s="6">
        <v>1</v>
      </c>
      <c r="G189" s="6" t="b">
        <v>0</v>
      </c>
      <c r="H189" s="6">
        <v>0</v>
      </c>
      <c r="I189" s="6">
        <v>1</v>
      </c>
      <c r="J189" s="7">
        <v>0.1</v>
      </c>
      <c r="K189" s="6" t="str">
        <f t="shared" si="13"/>
        <v>Sunday</v>
      </c>
      <c r="L189" s="2" t="str">
        <f t="shared" si="14"/>
        <v>January</v>
      </c>
      <c r="M189" s="2" t="str">
        <f t="shared" si="15"/>
        <v>Spring</v>
      </c>
      <c r="N189" s="2" t="str">
        <f t="shared" si="16"/>
        <v>Sunday</v>
      </c>
      <c r="O189" t="str">
        <f t="shared" si="17"/>
        <v>Clear</v>
      </c>
    </row>
    <row r="190" spans="1:15" x14ac:dyDescent="0.25">
      <c r="A190" s="8">
        <v>188</v>
      </c>
      <c r="B190" s="9">
        <v>40552</v>
      </c>
      <c r="C190" s="6">
        <v>1</v>
      </c>
      <c r="D190" s="6" t="str">
        <f t="shared" si="12"/>
        <v>2011</v>
      </c>
      <c r="E190" s="6">
        <v>1</v>
      </c>
      <c r="F190" s="6">
        <v>2</v>
      </c>
      <c r="G190" s="6" t="b">
        <v>0</v>
      </c>
      <c r="H190" s="6">
        <v>0</v>
      </c>
      <c r="I190" s="6">
        <v>1</v>
      </c>
      <c r="J190" s="7">
        <v>0.1</v>
      </c>
      <c r="K190" s="6" t="str">
        <f t="shared" si="13"/>
        <v>Sunday</v>
      </c>
      <c r="L190" s="2" t="str">
        <f t="shared" si="14"/>
        <v>January</v>
      </c>
      <c r="M190" s="2" t="str">
        <f t="shared" si="15"/>
        <v>Spring</v>
      </c>
      <c r="N190" s="2" t="str">
        <f t="shared" si="16"/>
        <v>Sunday</v>
      </c>
      <c r="O190" t="str">
        <f t="shared" si="17"/>
        <v>Clear</v>
      </c>
    </row>
    <row r="191" spans="1:15" x14ac:dyDescent="0.25">
      <c r="A191" s="8">
        <v>189</v>
      </c>
      <c r="B191" s="9">
        <v>40552</v>
      </c>
      <c r="C191" s="6">
        <v>1</v>
      </c>
      <c r="D191" s="6" t="str">
        <f t="shared" si="12"/>
        <v>2011</v>
      </c>
      <c r="E191" s="6">
        <v>1</v>
      </c>
      <c r="F191" s="6">
        <v>3</v>
      </c>
      <c r="G191" s="6" t="b">
        <v>0</v>
      </c>
      <c r="H191" s="6">
        <v>0</v>
      </c>
      <c r="I191" s="6">
        <v>1</v>
      </c>
      <c r="J191" s="7">
        <v>0.1</v>
      </c>
      <c r="K191" s="6" t="str">
        <f t="shared" si="13"/>
        <v>Sunday</v>
      </c>
      <c r="L191" s="2" t="str">
        <f t="shared" si="14"/>
        <v>January</v>
      </c>
      <c r="M191" s="2" t="str">
        <f t="shared" si="15"/>
        <v>Spring</v>
      </c>
      <c r="N191" s="2" t="str">
        <f t="shared" si="16"/>
        <v>Sunday</v>
      </c>
      <c r="O191" t="str">
        <f t="shared" si="17"/>
        <v>Clear</v>
      </c>
    </row>
    <row r="192" spans="1:15" x14ac:dyDescent="0.25">
      <c r="A192" s="8">
        <v>190</v>
      </c>
      <c r="B192" s="9">
        <v>40552</v>
      </c>
      <c r="C192" s="6">
        <v>1</v>
      </c>
      <c r="D192" s="6" t="str">
        <f t="shared" si="12"/>
        <v>2011</v>
      </c>
      <c r="E192" s="6">
        <v>1</v>
      </c>
      <c r="F192" s="6">
        <v>4</v>
      </c>
      <c r="G192" s="6" t="b">
        <v>0</v>
      </c>
      <c r="H192" s="6">
        <v>0</v>
      </c>
      <c r="I192" s="6">
        <v>1</v>
      </c>
      <c r="J192" s="7">
        <v>0.08</v>
      </c>
      <c r="K192" s="6" t="str">
        <f t="shared" si="13"/>
        <v>Sunday</v>
      </c>
      <c r="L192" s="2" t="str">
        <f t="shared" si="14"/>
        <v>January</v>
      </c>
      <c r="M192" s="2" t="str">
        <f t="shared" si="15"/>
        <v>Spring</v>
      </c>
      <c r="N192" s="2" t="str">
        <f t="shared" si="16"/>
        <v>Sunday</v>
      </c>
      <c r="O192" t="str">
        <f t="shared" si="17"/>
        <v>Clear</v>
      </c>
    </row>
    <row r="193" spans="1:15" x14ac:dyDescent="0.25">
      <c r="A193" s="8">
        <v>191</v>
      </c>
      <c r="B193" s="9">
        <v>40552</v>
      </c>
      <c r="C193" s="6">
        <v>1</v>
      </c>
      <c r="D193" s="6" t="str">
        <f t="shared" si="12"/>
        <v>2011</v>
      </c>
      <c r="E193" s="6">
        <v>1</v>
      </c>
      <c r="F193" s="6">
        <v>5</v>
      </c>
      <c r="G193" s="6" t="b">
        <v>0</v>
      </c>
      <c r="H193" s="6">
        <v>0</v>
      </c>
      <c r="I193" s="6">
        <v>1</v>
      </c>
      <c r="J193" s="7">
        <v>0.08</v>
      </c>
      <c r="K193" s="6" t="str">
        <f t="shared" si="13"/>
        <v>Sunday</v>
      </c>
      <c r="L193" s="2" t="str">
        <f t="shared" si="14"/>
        <v>January</v>
      </c>
      <c r="M193" s="2" t="str">
        <f t="shared" si="15"/>
        <v>Spring</v>
      </c>
      <c r="N193" s="2" t="str">
        <f t="shared" si="16"/>
        <v>Sunday</v>
      </c>
      <c r="O193" t="str">
        <f t="shared" si="17"/>
        <v>Clear</v>
      </c>
    </row>
    <row r="194" spans="1:15" x14ac:dyDescent="0.25">
      <c r="A194" s="8">
        <v>192</v>
      </c>
      <c r="B194" s="9">
        <v>40552</v>
      </c>
      <c r="C194" s="6">
        <v>1</v>
      </c>
      <c r="D194" s="6" t="str">
        <f t="shared" si="12"/>
        <v>2011</v>
      </c>
      <c r="E194" s="6">
        <v>1</v>
      </c>
      <c r="F194" s="6">
        <v>6</v>
      </c>
      <c r="G194" s="6" t="b">
        <v>0</v>
      </c>
      <c r="H194" s="6">
        <v>0</v>
      </c>
      <c r="I194" s="6">
        <v>1</v>
      </c>
      <c r="J194" s="7">
        <v>0.1</v>
      </c>
      <c r="K194" s="6" t="str">
        <f t="shared" si="13"/>
        <v>Sunday</v>
      </c>
      <c r="L194" s="2" t="str">
        <f t="shared" si="14"/>
        <v>January</v>
      </c>
      <c r="M194" s="2" t="str">
        <f t="shared" si="15"/>
        <v>Spring</v>
      </c>
      <c r="N194" s="2" t="str">
        <f t="shared" si="16"/>
        <v>Sunday</v>
      </c>
      <c r="O194" t="str">
        <f t="shared" si="17"/>
        <v>Clear</v>
      </c>
    </row>
    <row r="195" spans="1:15" x14ac:dyDescent="0.25">
      <c r="A195" s="8">
        <v>193</v>
      </c>
      <c r="B195" s="9">
        <v>40552</v>
      </c>
      <c r="C195" s="6">
        <v>1</v>
      </c>
      <c r="D195" s="6" t="str">
        <f t="shared" si="12"/>
        <v>2011</v>
      </c>
      <c r="E195" s="6">
        <v>1</v>
      </c>
      <c r="F195" s="6">
        <v>7</v>
      </c>
      <c r="G195" s="6" t="b">
        <v>0</v>
      </c>
      <c r="H195" s="6">
        <v>0</v>
      </c>
      <c r="I195" s="6">
        <v>1</v>
      </c>
      <c r="J195" s="7">
        <v>0.08</v>
      </c>
      <c r="K195" s="6" t="str">
        <f t="shared" si="13"/>
        <v>Sunday</v>
      </c>
      <c r="L195" s="2" t="str">
        <f t="shared" si="14"/>
        <v>January</v>
      </c>
      <c r="M195" s="2" t="str">
        <f t="shared" si="15"/>
        <v>Spring</v>
      </c>
      <c r="N195" s="2" t="str">
        <f t="shared" si="16"/>
        <v>Sunday</v>
      </c>
      <c r="O195" t="str">
        <f t="shared" si="17"/>
        <v>Clear</v>
      </c>
    </row>
    <row r="196" spans="1:15" x14ac:dyDescent="0.25">
      <c r="A196" s="8">
        <v>194</v>
      </c>
      <c r="B196" s="9">
        <v>40552</v>
      </c>
      <c r="C196" s="6">
        <v>1</v>
      </c>
      <c r="D196" s="6" t="str">
        <f t="shared" ref="D196:D259" si="18">TEXT(B196,"yyyy")</f>
        <v>2011</v>
      </c>
      <c r="E196" s="6">
        <v>1</v>
      </c>
      <c r="F196" s="6">
        <v>8</v>
      </c>
      <c r="G196" s="6" t="b">
        <v>0</v>
      </c>
      <c r="H196" s="6">
        <v>0</v>
      </c>
      <c r="I196" s="6">
        <v>1</v>
      </c>
      <c r="J196" s="7">
        <v>0.1</v>
      </c>
      <c r="K196" s="6" t="str">
        <f t="shared" ref="K196:K259" si="19">TEXT(B196,"dddd")</f>
        <v>Sunday</v>
      </c>
      <c r="L196" s="2" t="str">
        <f t="shared" ref="L196:L259" si="20">TEXT(B196,"mmmm")</f>
        <v>January</v>
      </c>
      <c r="M196" s="2" t="str">
        <f t="shared" ref="M196:M259" si="21">IF(C196=1,"Spring",IF(C196=2,"Summer",IF(C196=3,"Fall","Winter")))</f>
        <v>Spring</v>
      </c>
      <c r="N196" s="2" t="str">
        <f t="shared" ref="N196:N259" si="22">IF(H196=0,"Sunday",IF(H196=1,"Monday",IF(H196=2,"Tuesday",IF(H196=3,"Wednesday",IF(H196=4,"Thursday",IF(H196=5,"Friday","Saturday"))))))</f>
        <v>Sunday</v>
      </c>
      <c r="O196" t="str">
        <f t="shared" si="17"/>
        <v>Clear</v>
      </c>
    </row>
    <row r="197" spans="1:15" x14ac:dyDescent="0.25">
      <c r="A197" s="8">
        <v>195</v>
      </c>
      <c r="B197" s="9">
        <v>40552</v>
      </c>
      <c r="C197" s="6">
        <v>1</v>
      </c>
      <c r="D197" s="6" t="str">
        <f t="shared" si="18"/>
        <v>2011</v>
      </c>
      <c r="E197" s="6">
        <v>1</v>
      </c>
      <c r="F197" s="6">
        <v>9</v>
      </c>
      <c r="G197" s="6" t="b">
        <v>0</v>
      </c>
      <c r="H197" s="6">
        <v>0</v>
      </c>
      <c r="I197" s="6">
        <v>1</v>
      </c>
      <c r="J197" s="7">
        <v>0.12</v>
      </c>
      <c r="K197" s="6" t="str">
        <f t="shared" si="19"/>
        <v>Sunday</v>
      </c>
      <c r="L197" s="2" t="str">
        <f t="shared" si="20"/>
        <v>January</v>
      </c>
      <c r="M197" s="2" t="str">
        <f t="shared" si="21"/>
        <v>Spring</v>
      </c>
      <c r="N197" s="2" t="str">
        <f t="shared" si="22"/>
        <v>Sunday</v>
      </c>
      <c r="O197" t="str">
        <f t="shared" ref="O197:O260" si="23">IF(I197=1,"Clear",IF(I197=2,"Cloudy",IF(I197=3,"Rain","Heavy Rain")))</f>
        <v>Clear</v>
      </c>
    </row>
    <row r="198" spans="1:15" x14ac:dyDescent="0.25">
      <c r="A198" s="8">
        <v>196</v>
      </c>
      <c r="B198" s="9">
        <v>40552</v>
      </c>
      <c r="C198" s="6">
        <v>1</v>
      </c>
      <c r="D198" s="6" t="str">
        <f t="shared" si="18"/>
        <v>2011</v>
      </c>
      <c r="E198" s="6">
        <v>1</v>
      </c>
      <c r="F198" s="6">
        <v>10</v>
      </c>
      <c r="G198" s="6" t="b">
        <v>0</v>
      </c>
      <c r="H198" s="6">
        <v>0</v>
      </c>
      <c r="I198" s="6">
        <v>1</v>
      </c>
      <c r="J198" s="7">
        <v>0.14000000000000001</v>
      </c>
      <c r="K198" s="6" t="str">
        <f t="shared" si="19"/>
        <v>Sunday</v>
      </c>
      <c r="L198" s="2" t="str">
        <f t="shared" si="20"/>
        <v>January</v>
      </c>
      <c r="M198" s="2" t="str">
        <f t="shared" si="21"/>
        <v>Spring</v>
      </c>
      <c r="N198" s="2" t="str">
        <f t="shared" si="22"/>
        <v>Sunday</v>
      </c>
      <c r="O198" t="str">
        <f t="shared" si="23"/>
        <v>Clear</v>
      </c>
    </row>
    <row r="199" spans="1:15" x14ac:dyDescent="0.25">
      <c r="A199" s="8">
        <v>197</v>
      </c>
      <c r="B199" s="9">
        <v>40552</v>
      </c>
      <c r="C199" s="6">
        <v>1</v>
      </c>
      <c r="D199" s="6" t="str">
        <f t="shared" si="18"/>
        <v>2011</v>
      </c>
      <c r="E199" s="6">
        <v>1</v>
      </c>
      <c r="F199" s="6">
        <v>11</v>
      </c>
      <c r="G199" s="6" t="b">
        <v>0</v>
      </c>
      <c r="H199" s="6">
        <v>0</v>
      </c>
      <c r="I199" s="6">
        <v>1</v>
      </c>
      <c r="J199" s="7">
        <v>0.16</v>
      </c>
      <c r="K199" s="6" t="str">
        <f t="shared" si="19"/>
        <v>Sunday</v>
      </c>
      <c r="L199" s="2" t="str">
        <f t="shared" si="20"/>
        <v>January</v>
      </c>
      <c r="M199" s="2" t="str">
        <f t="shared" si="21"/>
        <v>Spring</v>
      </c>
      <c r="N199" s="2" t="str">
        <f t="shared" si="22"/>
        <v>Sunday</v>
      </c>
      <c r="O199" t="str">
        <f t="shared" si="23"/>
        <v>Clear</v>
      </c>
    </row>
    <row r="200" spans="1:15" x14ac:dyDescent="0.25">
      <c r="A200" s="8">
        <v>198</v>
      </c>
      <c r="B200" s="9">
        <v>40552</v>
      </c>
      <c r="C200" s="6">
        <v>1</v>
      </c>
      <c r="D200" s="6" t="str">
        <f t="shared" si="18"/>
        <v>2011</v>
      </c>
      <c r="E200" s="6">
        <v>1</v>
      </c>
      <c r="F200" s="6">
        <v>12</v>
      </c>
      <c r="G200" s="6" t="b">
        <v>0</v>
      </c>
      <c r="H200" s="6">
        <v>0</v>
      </c>
      <c r="I200" s="6">
        <v>1</v>
      </c>
      <c r="J200" s="7">
        <v>0.18</v>
      </c>
      <c r="K200" s="6" t="str">
        <f t="shared" si="19"/>
        <v>Sunday</v>
      </c>
      <c r="L200" s="2" t="str">
        <f t="shared" si="20"/>
        <v>January</v>
      </c>
      <c r="M200" s="2" t="str">
        <f t="shared" si="21"/>
        <v>Spring</v>
      </c>
      <c r="N200" s="2" t="str">
        <f t="shared" si="22"/>
        <v>Sunday</v>
      </c>
      <c r="O200" t="str">
        <f t="shared" si="23"/>
        <v>Clear</v>
      </c>
    </row>
    <row r="201" spans="1:15" x14ac:dyDescent="0.25">
      <c r="A201" s="8">
        <v>199</v>
      </c>
      <c r="B201" s="9">
        <v>40552</v>
      </c>
      <c r="C201" s="6">
        <v>1</v>
      </c>
      <c r="D201" s="6" t="str">
        <f t="shared" si="18"/>
        <v>2011</v>
      </c>
      <c r="E201" s="6">
        <v>1</v>
      </c>
      <c r="F201" s="6">
        <v>13</v>
      </c>
      <c r="G201" s="6" t="b">
        <v>0</v>
      </c>
      <c r="H201" s="6">
        <v>0</v>
      </c>
      <c r="I201" s="6">
        <v>1</v>
      </c>
      <c r="J201" s="7">
        <v>0.2</v>
      </c>
      <c r="K201" s="6" t="str">
        <f t="shared" si="19"/>
        <v>Sunday</v>
      </c>
      <c r="L201" s="2" t="str">
        <f t="shared" si="20"/>
        <v>January</v>
      </c>
      <c r="M201" s="2" t="str">
        <f t="shared" si="21"/>
        <v>Spring</v>
      </c>
      <c r="N201" s="2" t="str">
        <f t="shared" si="22"/>
        <v>Sunday</v>
      </c>
      <c r="O201" t="str">
        <f t="shared" si="23"/>
        <v>Clear</v>
      </c>
    </row>
    <row r="202" spans="1:15" x14ac:dyDescent="0.25">
      <c r="A202" s="8">
        <v>200</v>
      </c>
      <c r="B202" s="9">
        <v>40552</v>
      </c>
      <c r="C202" s="6">
        <v>1</v>
      </c>
      <c r="D202" s="6" t="str">
        <f t="shared" si="18"/>
        <v>2011</v>
      </c>
      <c r="E202" s="6">
        <v>1</v>
      </c>
      <c r="F202" s="6">
        <v>14</v>
      </c>
      <c r="G202" s="6" t="b">
        <v>0</v>
      </c>
      <c r="H202" s="6">
        <v>0</v>
      </c>
      <c r="I202" s="6">
        <v>1</v>
      </c>
      <c r="J202" s="7">
        <v>0.22</v>
      </c>
      <c r="K202" s="6" t="str">
        <f t="shared" si="19"/>
        <v>Sunday</v>
      </c>
      <c r="L202" s="2" t="str">
        <f t="shared" si="20"/>
        <v>January</v>
      </c>
      <c r="M202" s="2" t="str">
        <f t="shared" si="21"/>
        <v>Spring</v>
      </c>
      <c r="N202" s="2" t="str">
        <f t="shared" si="22"/>
        <v>Sunday</v>
      </c>
      <c r="O202" t="str">
        <f t="shared" si="23"/>
        <v>Clear</v>
      </c>
    </row>
    <row r="203" spans="1:15" x14ac:dyDescent="0.25">
      <c r="A203" s="8">
        <v>201</v>
      </c>
      <c r="B203" s="9">
        <v>40552</v>
      </c>
      <c r="C203" s="6">
        <v>1</v>
      </c>
      <c r="D203" s="6" t="str">
        <f t="shared" si="18"/>
        <v>2011</v>
      </c>
      <c r="E203" s="6">
        <v>1</v>
      </c>
      <c r="F203" s="6">
        <v>15</v>
      </c>
      <c r="G203" s="6" t="b">
        <v>0</v>
      </c>
      <c r="H203" s="6">
        <v>0</v>
      </c>
      <c r="I203" s="6">
        <v>1</v>
      </c>
      <c r="J203" s="7">
        <v>0.22</v>
      </c>
      <c r="K203" s="6" t="str">
        <f t="shared" si="19"/>
        <v>Sunday</v>
      </c>
      <c r="L203" s="2" t="str">
        <f t="shared" si="20"/>
        <v>January</v>
      </c>
      <c r="M203" s="2" t="str">
        <f t="shared" si="21"/>
        <v>Spring</v>
      </c>
      <c r="N203" s="2" t="str">
        <f t="shared" si="22"/>
        <v>Sunday</v>
      </c>
      <c r="O203" t="str">
        <f t="shared" si="23"/>
        <v>Clear</v>
      </c>
    </row>
    <row r="204" spans="1:15" x14ac:dyDescent="0.25">
      <c r="A204" s="8">
        <v>202</v>
      </c>
      <c r="B204" s="9">
        <v>40552</v>
      </c>
      <c r="C204" s="6">
        <v>1</v>
      </c>
      <c r="D204" s="6" t="str">
        <f t="shared" si="18"/>
        <v>2011</v>
      </c>
      <c r="E204" s="6">
        <v>1</v>
      </c>
      <c r="F204" s="6">
        <v>16</v>
      </c>
      <c r="G204" s="6" t="b">
        <v>0</v>
      </c>
      <c r="H204" s="6">
        <v>0</v>
      </c>
      <c r="I204" s="6">
        <v>1</v>
      </c>
      <c r="J204" s="7">
        <v>0.2</v>
      </c>
      <c r="K204" s="6" t="str">
        <f t="shared" si="19"/>
        <v>Sunday</v>
      </c>
      <c r="L204" s="2" t="str">
        <f t="shared" si="20"/>
        <v>January</v>
      </c>
      <c r="M204" s="2" t="str">
        <f t="shared" si="21"/>
        <v>Spring</v>
      </c>
      <c r="N204" s="2" t="str">
        <f t="shared" si="22"/>
        <v>Sunday</v>
      </c>
      <c r="O204" t="str">
        <f t="shared" si="23"/>
        <v>Clear</v>
      </c>
    </row>
    <row r="205" spans="1:15" x14ac:dyDescent="0.25">
      <c r="A205" s="8">
        <v>203</v>
      </c>
      <c r="B205" s="9">
        <v>40552</v>
      </c>
      <c r="C205" s="6">
        <v>1</v>
      </c>
      <c r="D205" s="6" t="str">
        <f t="shared" si="18"/>
        <v>2011</v>
      </c>
      <c r="E205" s="6">
        <v>1</v>
      </c>
      <c r="F205" s="6">
        <v>17</v>
      </c>
      <c r="G205" s="6" t="b">
        <v>0</v>
      </c>
      <c r="H205" s="6">
        <v>0</v>
      </c>
      <c r="I205" s="6">
        <v>1</v>
      </c>
      <c r="J205" s="7">
        <v>0.18</v>
      </c>
      <c r="K205" s="6" t="str">
        <f t="shared" si="19"/>
        <v>Sunday</v>
      </c>
      <c r="L205" s="2" t="str">
        <f t="shared" si="20"/>
        <v>January</v>
      </c>
      <c r="M205" s="2" t="str">
        <f t="shared" si="21"/>
        <v>Spring</v>
      </c>
      <c r="N205" s="2" t="str">
        <f t="shared" si="22"/>
        <v>Sunday</v>
      </c>
      <c r="O205" t="str">
        <f t="shared" si="23"/>
        <v>Clear</v>
      </c>
    </row>
    <row r="206" spans="1:15" x14ac:dyDescent="0.25">
      <c r="A206" s="8">
        <v>204</v>
      </c>
      <c r="B206" s="9">
        <v>40552</v>
      </c>
      <c r="C206" s="6">
        <v>1</v>
      </c>
      <c r="D206" s="6" t="str">
        <f t="shared" si="18"/>
        <v>2011</v>
      </c>
      <c r="E206" s="6">
        <v>1</v>
      </c>
      <c r="F206" s="6">
        <v>18</v>
      </c>
      <c r="G206" s="6" t="b">
        <v>0</v>
      </c>
      <c r="H206" s="6">
        <v>0</v>
      </c>
      <c r="I206" s="6">
        <v>1</v>
      </c>
      <c r="J206" s="7">
        <v>0.16</v>
      </c>
      <c r="K206" s="6" t="str">
        <f t="shared" si="19"/>
        <v>Sunday</v>
      </c>
      <c r="L206" s="2" t="str">
        <f t="shared" si="20"/>
        <v>January</v>
      </c>
      <c r="M206" s="2" t="str">
        <f t="shared" si="21"/>
        <v>Spring</v>
      </c>
      <c r="N206" s="2" t="str">
        <f t="shared" si="22"/>
        <v>Sunday</v>
      </c>
      <c r="O206" t="str">
        <f t="shared" si="23"/>
        <v>Clear</v>
      </c>
    </row>
    <row r="207" spans="1:15" x14ac:dyDescent="0.25">
      <c r="A207" s="8">
        <v>205</v>
      </c>
      <c r="B207" s="9">
        <v>40552</v>
      </c>
      <c r="C207" s="6">
        <v>1</v>
      </c>
      <c r="D207" s="6" t="str">
        <f t="shared" si="18"/>
        <v>2011</v>
      </c>
      <c r="E207" s="6">
        <v>1</v>
      </c>
      <c r="F207" s="6">
        <v>19</v>
      </c>
      <c r="G207" s="6" t="b">
        <v>0</v>
      </c>
      <c r="H207" s="6">
        <v>0</v>
      </c>
      <c r="I207" s="6">
        <v>1</v>
      </c>
      <c r="J207" s="7">
        <v>0.16</v>
      </c>
      <c r="K207" s="6" t="str">
        <f t="shared" si="19"/>
        <v>Sunday</v>
      </c>
      <c r="L207" s="2" t="str">
        <f t="shared" si="20"/>
        <v>January</v>
      </c>
      <c r="M207" s="2" t="str">
        <f t="shared" si="21"/>
        <v>Spring</v>
      </c>
      <c r="N207" s="2" t="str">
        <f t="shared" si="22"/>
        <v>Sunday</v>
      </c>
      <c r="O207" t="str">
        <f t="shared" si="23"/>
        <v>Clear</v>
      </c>
    </row>
    <row r="208" spans="1:15" x14ac:dyDescent="0.25">
      <c r="A208" s="8">
        <v>206</v>
      </c>
      <c r="B208" s="9">
        <v>40552</v>
      </c>
      <c r="C208" s="6">
        <v>1</v>
      </c>
      <c r="D208" s="6" t="str">
        <f t="shared" si="18"/>
        <v>2011</v>
      </c>
      <c r="E208" s="6">
        <v>1</v>
      </c>
      <c r="F208" s="6">
        <v>20</v>
      </c>
      <c r="G208" s="6" t="b">
        <v>0</v>
      </c>
      <c r="H208" s="6">
        <v>0</v>
      </c>
      <c r="I208" s="6">
        <v>1</v>
      </c>
      <c r="J208" s="7">
        <v>0.14000000000000001</v>
      </c>
      <c r="K208" s="6" t="str">
        <f t="shared" si="19"/>
        <v>Sunday</v>
      </c>
      <c r="L208" s="2" t="str">
        <f t="shared" si="20"/>
        <v>January</v>
      </c>
      <c r="M208" s="2" t="str">
        <f t="shared" si="21"/>
        <v>Spring</v>
      </c>
      <c r="N208" s="2" t="str">
        <f t="shared" si="22"/>
        <v>Sunday</v>
      </c>
      <c r="O208" t="str">
        <f t="shared" si="23"/>
        <v>Clear</v>
      </c>
    </row>
    <row r="209" spans="1:15" x14ac:dyDescent="0.25">
      <c r="A209" s="8">
        <v>207</v>
      </c>
      <c r="B209" s="9">
        <v>40552</v>
      </c>
      <c r="C209" s="6">
        <v>1</v>
      </c>
      <c r="D209" s="6" t="str">
        <f t="shared" si="18"/>
        <v>2011</v>
      </c>
      <c r="E209" s="6">
        <v>1</v>
      </c>
      <c r="F209" s="6">
        <v>21</v>
      </c>
      <c r="G209" s="6" t="b">
        <v>0</v>
      </c>
      <c r="H209" s="6">
        <v>0</v>
      </c>
      <c r="I209" s="6">
        <v>1</v>
      </c>
      <c r="J209" s="7">
        <v>0.14000000000000001</v>
      </c>
      <c r="K209" s="6" t="str">
        <f t="shared" si="19"/>
        <v>Sunday</v>
      </c>
      <c r="L209" s="2" t="str">
        <f t="shared" si="20"/>
        <v>January</v>
      </c>
      <c r="M209" s="2" t="str">
        <f t="shared" si="21"/>
        <v>Spring</v>
      </c>
      <c r="N209" s="2" t="str">
        <f t="shared" si="22"/>
        <v>Sunday</v>
      </c>
      <c r="O209" t="str">
        <f t="shared" si="23"/>
        <v>Clear</v>
      </c>
    </row>
    <row r="210" spans="1:15" x14ac:dyDescent="0.25">
      <c r="A210" s="8">
        <v>208</v>
      </c>
      <c r="B210" s="9">
        <v>40552</v>
      </c>
      <c r="C210" s="6">
        <v>1</v>
      </c>
      <c r="D210" s="6" t="str">
        <f t="shared" si="18"/>
        <v>2011</v>
      </c>
      <c r="E210" s="6">
        <v>1</v>
      </c>
      <c r="F210" s="6">
        <v>22</v>
      </c>
      <c r="G210" s="6" t="b">
        <v>0</v>
      </c>
      <c r="H210" s="6">
        <v>0</v>
      </c>
      <c r="I210" s="6">
        <v>1</v>
      </c>
      <c r="J210" s="7">
        <v>0.14000000000000001</v>
      </c>
      <c r="K210" s="6" t="str">
        <f t="shared" si="19"/>
        <v>Sunday</v>
      </c>
      <c r="L210" s="2" t="str">
        <f t="shared" si="20"/>
        <v>January</v>
      </c>
      <c r="M210" s="2" t="str">
        <f t="shared" si="21"/>
        <v>Spring</v>
      </c>
      <c r="N210" s="2" t="str">
        <f t="shared" si="22"/>
        <v>Sunday</v>
      </c>
      <c r="O210" t="str">
        <f t="shared" si="23"/>
        <v>Clear</v>
      </c>
    </row>
    <row r="211" spans="1:15" x14ac:dyDescent="0.25">
      <c r="A211" s="8">
        <v>209</v>
      </c>
      <c r="B211" s="9">
        <v>40552</v>
      </c>
      <c r="C211" s="6">
        <v>1</v>
      </c>
      <c r="D211" s="6" t="str">
        <f t="shared" si="18"/>
        <v>2011</v>
      </c>
      <c r="E211" s="6">
        <v>1</v>
      </c>
      <c r="F211" s="6">
        <v>23</v>
      </c>
      <c r="G211" s="6" t="b">
        <v>0</v>
      </c>
      <c r="H211" s="6">
        <v>0</v>
      </c>
      <c r="I211" s="6">
        <v>1</v>
      </c>
      <c r="J211" s="7">
        <v>0.12</v>
      </c>
      <c r="K211" s="6" t="str">
        <f t="shared" si="19"/>
        <v>Sunday</v>
      </c>
      <c r="L211" s="2" t="str">
        <f t="shared" si="20"/>
        <v>January</v>
      </c>
      <c r="M211" s="2" t="str">
        <f t="shared" si="21"/>
        <v>Spring</v>
      </c>
      <c r="N211" s="2" t="str">
        <f t="shared" si="22"/>
        <v>Sunday</v>
      </c>
      <c r="O211" t="str">
        <f t="shared" si="23"/>
        <v>Clear</v>
      </c>
    </row>
    <row r="212" spans="1:15" x14ac:dyDescent="0.25">
      <c r="A212" s="8">
        <v>210</v>
      </c>
      <c r="B212" s="9">
        <v>40553</v>
      </c>
      <c r="C212" s="6">
        <v>1</v>
      </c>
      <c r="D212" s="6" t="str">
        <f t="shared" si="18"/>
        <v>2011</v>
      </c>
      <c r="E212" s="6">
        <v>1</v>
      </c>
      <c r="F212" s="6">
        <v>0</v>
      </c>
      <c r="G212" s="6" t="b">
        <v>0</v>
      </c>
      <c r="H212" s="6">
        <v>1</v>
      </c>
      <c r="I212" s="6">
        <v>1</v>
      </c>
      <c r="J212" s="7">
        <v>0.12</v>
      </c>
      <c r="K212" s="6" t="str">
        <f t="shared" si="19"/>
        <v>Monday</v>
      </c>
      <c r="L212" s="2" t="str">
        <f t="shared" si="20"/>
        <v>January</v>
      </c>
      <c r="M212" s="2" t="str">
        <f t="shared" si="21"/>
        <v>Spring</v>
      </c>
      <c r="N212" s="2" t="str">
        <f t="shared" si="22"/>
        <v>Monday</v>
      </c>
      <c r="O212" t="str">
        <f t="shared" si="23"/>
        <v>Clear</v>
      </c>
    </row>
    <row r="213" spans="1:15" x14ac:dyDescent="0.25">
      <c r="A213" s="8">
        <v>211</v>
      </c>
      <c r="B213" s="9">
        <v>40553</v>
      </c>
      <c r="C213" s="6">
        <v>1</v>
      </c>
      <c r="D213" s="6" t="str">
        <f t="shared" si="18"/>
        <v>2011</v>
      </c>
      <c r="E213" s="6">
        <v>1</v>
      </c>
      <c r="F213" s="6">
        <v>1</v>
      </c>
      <c r="G213" s="6" t="b">
        <v>0</v>
      </c>
      <c r="H213" s="6">
        <v>1</v>
      </c>
      <c r="I213" s="6">
        <v>1</v>
      </c>
      <c r="J213" s="7">
        <v>0.12</v>
      </c>
      <c r="K213" s="6" t="str">
        <f t="shared" si="19"/>
        <v>Monday</v>
      </c>
      <c r="L213" s="2" t="str">
        <f t="shared" si="20"/>
        <v>January</v>
      </c>
      <c r="M213" s="2" t="str">
        <f t="shared" si="21"/>
        <v>Spring</v>
      </c>
      <c r="N213" s="2" t="str">
        <f t="shared" si="22"/>
        <v>Monday</v>
      </c>
      <c r="O213" t="str">
        <f t="shared" si="23"/>
        <v>Clear</v>
      </c>
    </row>
    <row r="214" spans="1:15" x14ac:dyDescent="0.25">
      <c r="A214" s="8">
        <v>212</v>
      </c>
      <c r="B214" s="9">
        <v>40553</v>
      </c>
      <c r="C214" s="6">
        <v>1</v>
      </c>
      <c r="D214" s="6" t="str">
        <f t="shared" si="18"/>
        <v>2011</v>
      </c>
      <c r="E214" s="6">
        <v>1</v>
      </c>
      <c r="F214" s="6">
        <v>2</v>
      </c>
      <c r="G214" s="6" t="b">
        <v>0</v>
      </c>
      <c r="H214" s="6">
        <v>1</v>
      </c>
      <c r="I214" s="6">
        <v>1</v>
      </c>
      <c r="J214" s="7">
        <v>0.12</v>
      </c>
      <c r="K214" s="6" t="str">
        <f t="shared" si="19"/>
        <v>Monday</v>
      </c>
      <c r="L214" s="2" t="str">
        <f t="shared" si="20"/>
        <v>January</v>
      </c>
      <c r="M214" s="2" t="str">
        <f t="shared" si="21"/>
        <v>Spring</v>
      </c>
      <c r="N214" s="2" t="str">
        <f t="shared" si="22"/>
        <v>Monday</v>
      </c>
      <c r="O214" t="str">
        <f t="shared" si="23"/>
        <v>Clear</v>
      </c>
    </row>
    <row r="215" spans="1:15" x14ac:dyDescent="0.25">
      <c r="A215" s="8">
        <v>213</v>
      </c>
      <c r="B215" s="9">
        <v>40553</v>
      </c>
      <c r="C215" s="6">
        <v>1</v>
      </c>
      <c r="D215" s="6" t="str">
        <f t="shared" si="18"/>
        <v>2011</v>
      </c>
      <c r="E215" s="6">
        <v>1</v>
      </c>
      <c r="F215" s="6">
        <v>3</v>
      </c>
      <c r="G215" s="6" t="b">
        <v>0</v>
      </c>
      <c r="H215" s="6">
        <v>1</v>
      </c>
      <c r="I215" s="6">
        <v>1</v>
      </c>
      <c r="J215" s="7">
        <v>0.12</v>
      </c>
      <c r="K215" s="6" t="str">
        <f t="shared" si="19"/>
        <v>Monday</v>
      </c>
      <c r="L215" s="2" t="str">
        <f t="shared" si="20"/>
        <v>January</v>
      </c>
      <c r="M215" s="2" t="str">
        <f t="shared" si="21"/>
        <v>Spring</v>
      </c>
      <c r="N215" s="2" t="str">
        <f t="shared" si="22"/>
        <v>Monday</v>
      </c>
      <c r="O215" t="str">
        <f t="shared" si="23"/>
        <v>Clear</v>
      </c>
    </row>
    <row r="216" spans="1:15" x14ac:dyDescent="0.25">
      <c r="A216" s="8">
        <v>214</v>
      </c>
      <c r="B216" s="9">
        <v>40553</v>
      </c>
      <c r="C216" s="6">
        <v>1</v>
      </c>
      <c r="D216" s="6" t="str">
        <f t="shared" si="18"/>
        <v>2011</v>
      </c>
      <c r="E216" s="6">
        <v>1</v>
      </c>
      <c r="F216" s="6">
        <v>4</v>
      </c>
      <c r="G216" s="6" t="b">
        <v>0</v>
      </c>
      <c r="H216" s="6">
        <v>1</v>
      </c>
      <c r="I216" s="6">
        <v>1</v>
      </c>
      <c r="J216" s="7">
        <v>0.1</v>
      </c>
      <c r="K216" s="6" t="str">
        <f t="shared" si="19"/>
        <v>Monday</v>
      </c>
      <c r="L216" s="2" t="str">
        <f t="shared" si="20"/>
        <v>January</v>
      </c>
      <c r="M216" s="2" t="str">
        <f t="shared" si="21"/>
        <v>Spring</v>
      </c>
      <c r="N216" s="2" t="str">
        <f t="shared" si="22"/>
        <v>Monday</v>
      </c>
      <c r="O216" t="str">
        <f t="shared" si="23"/>
        <v>Clear</v>
      </c>
    </row>
    <row r="217" spans="1:15" x14ac:dyDescent="0.25">
      <c r="A217" s="8">
        <v>215</v>
      </c>
      <c r="B217" s="9">
        <v>40553</v>
      </c>
      <c r="C217" s="6">
        <v>1</v>
      </c>
      <c r="D217" s="6" t="str">
        <f t="shared" si="18"/>
        <v>2011</v>
      </c>
      <c r="E217" s="6">
        <v>1</v>
      </c>
      <c r="F217" s="6">
        <v>5</v>
      </c>
      <c r="G217" s="6" t="b">
        <v>0</v>
      </c>
      <c r="H217" s="6">
        <v>1</v>
      </c>
      <c r="I217" s="6">
        <v>1</v>
      </c>
      <c r="J217" s="7">
        <v>0.1</v>
      </c>
      <c r="K217" s="6" t="str">
        <f t="shared" si="19"/>
        <v>Monday</v>
      </c>
      <c r="L217" s="2" t="str">
        <f t="shared" si="20"/>
        <v>January</v>
      </c>
      <c r="M217" s="2" t="str">
        <f t="shared" si="21"/>
        <v>Spring</v>
      </c>
      <c r="N217" s="2" t="str">
        <f t="shared" si="22"/>
        <v>Monday</v>
      </c>
      <c r="O217" t="str">
        <f t="shared" si="23"/>
        <v>Clear</v>
      </c>
    </row>
    <row r="218" spans="1:15" x14ac:dyDescent="0.25">
      <c r="A218" s="8">
        <v>216</v>
      </c>
      <c r="B218" s="9">
        <v>40553</v>
      </c>
      <c r="C218" s="6">
        <v>1</v>
      </c>
      <c r="D218" s="6" t="str">
        <f t="shared" si="18"/>
        <v>2011</v>
      </c>
      <c r="E218" s="6">
        <v>1</v>
      </c>
      <c r="F218" s="6">
        <v>6</v>
      </c>
      <c r="G218" s="6" t="b">
        <v>0</v>
      </c>
      <c r="H218" s="6">
        <v>1</v>
      </c>
      <c r="I218" s="6">
        <v>1</v>
      </c>
      <c r="J218" s="7">
        <v>0.12</v>
      </c>
      <c r="K218" s="6" t="str">
        <f t="shared" si="19"/>
        <v>Monday</v>
      </c>
      <c r="L218" s="2" t="str">
        <f t="shared" si="20"/>
        <v>January</v>
      </c>
      <c r="M218" s="2" t="str">
        <f t="shared" si="21"/>
        <v>Spring</v>
      </c>
      <c r="N218" s="2" t="str">
        <f t="shared" si="22"/>
        <v>Monday</v>
      </c>
      <c r="O218" t="str">
        <f t="shared" si="23"/>
        <v>Clear</v>
      </c>
    </row>
    <row r="219" spans="1:15" x14ac:dyDescent="0.25">
      <c r="A219" s="8">
        <v>217</v>
      </c>
      <c r="B219" s="9">
        <v>40553</v>
      </c>
      <c r="C219" s="6">
        <v>1</v>
      </c>
      <c r="D219" s="6" t="str">
        <f t="shared" si="18"/>
        <v>2011</v>
      </c>
      <c r="E219" s="6">
        <v>1</v>
      </c>
      <c r="F219" s="6">
        <v>7</v>
      </c>
      <c r="G219" s="6" t="b">
        <v>0</v>
      </c>
      <c r="H219" s="6">
        <v>1</v>
      </c>
      <c r="I219" s="6">
        <v>1</v>
      </c>
      <c r="J219" s="7">
        <v>0.12</v>
      </c>
      <c r="K219" s="6" t="str">
        <f t="shared" si="19"/>
        <v>Monday</v>
      </c>
      <c r="L219" s="2" t="str">
        <f t="shared" si="20"/>
        <v>January</v>
      </c>
      <c r="M219" s="2" t="str">
        <f t="shared" si="21"/>
        <v>Spring</v>
      </c>
      <c r="N219" s="2" t="str">
        <f t="shared" si="22"/>
        <v>Monday</v>
      </c>
      <c r="O219" t="str">
        <f t="shared" si="23"/>
        <v>Clear</v>
      </c>
    </row>
    <row r="220" spans="1:15" x14ac:dyDescent="0.25">
      <c r="A220" s="8">
        <v>218</v>
      </c>
      <c r="B220" s="9">
        <v>40553</v>
      </c>
      <c r="C220" s="6">
        <v>1</v>
      </c>
      <c r="D220" s="6" t="str">
        <f t="shared" si="18"/>
        <v>2011</v>
      </c>
      <c r="E220" s="6">
        <v>1</v>
      </c>
      <c r="F220" s="6">
        <v>8</v>
      </c>
      <c r="G220" s="6" t="b">
        <v>0</v>
      </c>
      <c r="H220" s="6">
        <v>1</v>
      </c>
      <c r="I220" s="6">
        <v>2</v>
      </c>
      <c r="J220" s="7">
        <v>0.12</v>
      </c>
      <c r="K220" s="6" t="str">
        <f t="shared" si="19"/>
        <v>Monday</v>
      </c>
      <c r="L220" s="2" t="str">
        <f t="shared" si="20"/>
        <v>January</v>
      </c>
      <c r="M220" s="2" t="str">
        <f t="shared" si="21"/>
        <v>Spring</v>
      </c>
      <c r="N220" s="2" t="str">
        <f t="shared" si="22"/>
        <v>Monday</v>
      </c>
      <c r="O220" t="str">
        <f t="shared" si="23"/>
        <v>Cloudy</v>
      </c>
    </row>
    <row r="221" spans="1:15" x14ac:dyDescent="0.25">
      <c r="A221" s="8">
        <v>219</v>
      </c>
      <c r="B221" s="9">
        <v>40553</v>
      </c>
      <c r="C221" s="6">
        <v>1</v>
      </c>
      <c r="D221" s="6" t="str">
        <f t="shared" si="18"/>
        <v>2011</v>
      </c>
      <c r="E221" s="6">
        <v>1</v>
      </c>
      <c r="F221" s="6">
        <v>9</v>
      </c>
      <c r="G221" s="6" t="b">
        <v>0</v>
      </c>
      <c r="H221" s="6">
        <v>1</v>
      </c>
      <c r="I221" s="6">
        <v>2</v>
      </c>
      <c r="J221" s="7">
        <v>0.14000000000000001</v>
      </c>
      <c r="K221" s="6" t="str">
        <f t="shared" si="19"/>
        <v>Monday</v>
      </c>
      <c r="L221" s="2" t="str">
        <f t="shared" si="20"/>
        <v>January</v>
      </c>
      <c r="M221" s="2" t="str">
        <f t="shared" si="21"/>
        <v>Spring</v>
      </c>
      <c r="N221" s="2" t="str">
        <f t="shared" si="22"/>
        <v>Monday</v>
      </c>
      <c r="O221" t="str">
        <f t="shared" si="23"/>
        <v>Cloudy</v>
      </c>
    </row>
    <row r="222" spans="1:15" x14ac:dyDescent="0.25">
      <c r="A222" s="8">
        <v>220</v>
      </c>
      <c r="B222" s="9">
        <v>40553</v>
      </c>
      <c r="C222" s="6">
        <v>1</v>
      </c>
      <c r="D222" s="6" t="str">
        <f t="shared" si="18"/>
        <v>2011</v>
      </c>
      <c r="E222" s="6">
        <v>1</v>
      </c>
      <c r="F222" s="6">
        <v>10</v>
      </c>
      <c r="G222" s="6" t="b">
        <v>0</v>
      </c>
      <c r="H222" s="6">
        <v>1</v>
      </c>
      <c r="I222" s="6">
        <v>2</v>
      </c>
      <c r="J222" s="7">
        <v>0.14000000000000001</v>
      </c>
      <c r="K222" s="6" t="str">
        <f t="shared" si="19"/>
        <v>Monday</v>
      </c>
      <c r="L222" s="2" t="str">
        <f t="shared" si="20"/>
        <v>January</v>
      </c>
      <c r="M222" s="2" t="str">
        <f t="shared" si="21"/>
        <v>Spring</v>
      </c>
      <c r="N222" s="2" t="str">
        <f t="shared" si="22"/>
        <v>Monday</v>
      </c>
      <c r="O222" t="str">
        <f t="shared" si="23"/>
        <v>Cloudy</v>
      </c>
    </row>
    <row r="223" spans="1:15" x14ac:dyDescent="0.25">
      <c r="A223" s="8">
        <v>221</v>
      </c>
      <c r="B223" s="9">
        <v>40553</v>
      </c>
      <c r="C223" s="6">
        <v>1</v>
      </c>
      <c r="D223" s="6" t="str">
        <f t="shared" si="18"/>
        <v>2011</v>
      </c>
      <c r="E223" s="6">
        <v>1</v>
      </c>
      <c r="F223" s="6">
        <v>11</v>
      </c>
      <c r="G223" s="6" t="b">
        <v>0</v>
      </c>
      <c r="H223" s="6">
        <v>1</v>
      </c>
      <c r="I223" s="6">
        <v>2</v>
      </c>
      <c r="J223" s="7">
        <v>0.16</v>
      </c>
      <c r="K223" s="6" t="str">
        <f t="shared" si="19"/>
        <v>Monday</v>
      </c>
      <c r="L223" s="2" t="str">
        <f t="shared" si="20"/>
        <v>January</v>
      </c>
      <c r="M223" s="2" t="str">
        <f t="shared" si="21"/>
        <v>Spring</v>
      </c>
      <c r="N223" s="2" t="str">
        <f t="shared" si="22"/>
        <v>Monday</v>
      </c>
      <c r="O223" t="str">
        <f t="shared" si="23"/>
        <v>Cloudy</v>
      </c>
    </row>
    <row r="224" spans="1:15" x14ac:dyDescent="0.25">
      <c r="A224" s="8">
        <v>222</v>
      </c>
      <c r="B224" s="9">
        <v>40553</v>
      </c>
      <c r="C224" s="6">
        <v>1</v>
      </c>
      <c r="D224" s="6" t="str">
        <f t="shared" si="18"/>
        <v>2011</v>
      </c>
      <c r="E224" s="6">
        <v>1</v>
      </c>
      <c r="F224" s="6">
        <v>12</v>
      </c>
      <c r="G224" s="6" t="b">
        <v>0</v>
      </c>
      <c r="H224" s="6">
        <v>1</v>
      </c>
      <c r="I224" s="6">
        <v>2</v>
      </c>
      <c r="J224" s="7">
        <v>0.2</v>
      </c>
      <c r="K224" s="6" t="str">
        <f t="shared" si="19"/>
        <v>Monday</v>
      </c>
      <c r="L224" s="2" t="str">
        <f t="shared" si="20"/>
        <v>January</v>
      </c>
      <c r="M224" s="2" t="str">
        <f t="shared" si="21"/>
        <v>Spring</v>
      </c>
      <c r="N224" s="2" t="str">
        <f t="shared" si="22"/>
        <v>Monday</v>
      </c>
      <c r="O224" t="str">
        <f t="shared" si="23"/>
        <v>Cloudy</v>
      </c>
    </row>
    <row r="225" spans="1:15" x14ac:dyDescent="0.25">
      <c r="A225" s="8">
        <v>223</v>
      </c>
      <c r="B225" s="9">
        <v>40553</v>
      </c>
      <c r="C225" s="6">
        <v>1</v>
      </c>
      <c r="D225" s="6" t="str">
        <f t="shared" si="18"/>
        <v>2011</v>
      </c>
      <c r="E225" s="6">
        <v>1</v>
      </c>
      <c r="F225" s="6">
        <v>13</v>
      </c>
      <c r="G225" s="6" t="b">
        <v>0</v>
      </c>
      <c r="H225" s="6">
        <v>1</v>
      </c>
      <c r="I225" s="6">
        <v>2</v>
      </c>
      <c r="J225" s="7">
        <v>0.2</v>
      </c>
      <c r="K225" s="6" t="str">
        <f t="shared" si="19"/>
        <v>Monday</v>
      </c>
      <c r="L225" s="2" t="str">
        <f t="shared" si="20"/>
        <v>January</v>
      </c>
      <c r="M225" s="2" t="str">
        <f t="shared" si="21"/>
        <v>Spring</v>
      </c>
      <c r="N225" s="2" t="str">
        <f t="shared" si="22"/>
        <v>Monday</v>
      </c>
      <c r="O225" t="str">
        <f t="shared" si="23"/>
        <v>Cloudy</v>
      </c>
    </row>
    <row r="226" spans="1:15" x14ac:dyDescent="0.25">
      <c r="A226" s="8">
        <v>224</v>
      </c>
      <c r="B226" s="9">
        <v>40553</v>
      </c>
      <c r="C226" s="6">
        <v>1</v>
      </c>
      <c r="D226" s="6" t="str">
        <f t="shared" si="18"/>
        <v>2011</v>
      </c>
      <c r="E226" s="6">
        <v>1</v>
      </c>
      <c r="F226" s="6">
        <v>14</v>
      </c>
      <c r="G226" s="6" t="b">
        <v>0</v>
      </c>
      <c r="H226" s="6">
        <v>1</v>
      </c>
      <c r="I226" s="6">
        <v>2</v>
      </c>
      <c r="J226" s="7">
        <v>0.2</v>
      </c>
      <c r="K226" s="6" t="str">
        <f t="shared" si="19"/>
        <v>Monday</v>
      </c>
      <c r="L226" s="2" t="str">
        <f t="shared" si="20"/>
        <v>January</v>
      </c>
      <c r="M226" s="2" t="str">
        <f t="shared" si="21"/>
        <v>Spring</v>
      </c>
      <c r="N226" s="2" t="str">
        <f t="shared" si="22"/>
        <v>Monday</v>
      </c>
      <c r="O226" t="str">
        <f t="shared" si="23"/>
        <v>Cloudy</v>
      </c>
    </row>
    <row r="227" spans="1:15" x14ac:dyDescent="0.25">
      <c r="A227" s="8">
        <v>225</v>
      </c>
      <c r="B227" s="9">
        <v>40553</v>
      </c>
      <c r="C227" s="6">
        <v>1</v>
      </c>
      <c r="D227" s="6" t="str">
        <f t="shared" si="18"/>
        <v>2011</v>
      </c>
      <c r="E227" s="6">
        <v>1</v>
      </c>
      <c r="F227" s="6">
        <v>15</v>
      </c>
      <c r="G227" s="6" t="b">
        <v>0</v>
      </c>
      <c r="H227" s="6">
        <v>1</v>
      </c>
      <c r="I227" s="6">
        <v>2</v>
      </c>
      <c r="J227" s="7">
        <v>0.2</v>
      </c>
      <c r="K227" s="6" t="str">
        <f t="shared" si="19"/>
        <v>Monday</v>
      </c>
      <c r="L227" s="2" t="str">
        <f t="shared" si="20"/>
        <v>January</v>
      </c>
      <c r="M227" s="2" t="str">
        <f t="shared" si="21"/>
        <v>Spring</v>
      </c>
      <c r="N227" s="2" t="str">
        <f t="shared" si="22"/>
        <v>Monday</v>
      </c>
      <c r="O227" t="str">
        <f t="shared" si="23"/>
        <v>Cloudy</v>
      </c>
    </row>
    <row r="228" spans="1:15" x14ac:dyDescent="0.25">
      <c r="A228" s="8">
        <v>226</v>
      </c>
      <c r="B228" s="9">
        <v>40553</v>
      </c>
      <c r="C228" s="6">
        <v>1</v>
      </c>
      <c r="D228" s="6" t="str">
        <f t="shared" si="18"/>
        <v>2011</v>
      </c>
      <c r="E228" s="6">
        <v>1</v>
      </c>
      <c r="F228" s="6">
        <v>16</v>
      </c>
      <c r="G228" s="6" t="b">
        <v>0</v>
      </c>
      <c r="H228" s="6">
        <v>1</v>
      </c>
      <c r="I228" s="6">
        <v>1</v>
      </c>
      <c r="J228" s="7">
        <v>0.2</v>
      </c>
      <c r="K228" s="6" t="str">
        <f t="shared" si="19"/>
        <v>Monday</v>
      </c>
      <c r="L228" s="2" t="str">
        <f t="shared" si="20"/>
        <v>January</v>
      </c>
      <c r="M228" s="2" t="str">
        <f t="shared" si="21"/>
        <v>Spring</v>
      </c>
      <c r="N228" s="2" t="str">
        <f t="shared" si="22"/>
        <v>Monday</v>
      </c>
      <c r="O228" t="str">
        <f t="shared" si="23"/>
        <v>Clear</v>
      </c>
    </row>
    <row r="229" spans="1:15" x14ac:dyDescent="0.25">
      <c r="A229" s="8">
        <v>227</v>
      </c>
      <c r="B229" s="9">
        <v>40553</v>
      </c>
      <c r="C229" s="6">
        <v>1</v>
      </c>
      <c r="D229" s="6" t="str">
        <f t="shared" si="18"/>
        <v>2011</v>
      </c>
      <c r="E229" s="6">
        <v>1</v>
      </c>
      <c r="F229" s="6">
        <v>17</v>
      </c>
      <c r="G229" s="6" t="b">
        <v>0</v>
      </c>
      <c r="H229" s="6">
        <v>1</v>
      </c>
      <c r="I229" s="6">
        <v>1</v>
      </c>
      <c r="J229" s="7">
        <v>0.2</v>
      </c>
      <c r="K229" s="6" t="str">
        <f t="shared" si="19"/>
        <v>Monday</v>
      </c>
      <c r="L229" s="2" t="str">
        <f t="shared" si="20"/>
        <v>January</v>
      </c>
      <c r="M229" s="2" t="str">
        <f t="shared" si="21"/>
        <v>Spring</v>
      </c>
      <c r="N229" s="2" t="str">
        <f t="shared" si="22"/>
        <v>Monday</v>
      </c>
      <c r="O229" t="str">
        <f t="shared" si="23"/>
        <v>Clear</v>
      </c>
    </row>
    <row r="230" spans="1:15" x14ac:dyDescent="0.25">
      <c r="A230" s="8">
        <v>228</v>
      </c>
      <c r="B230" s="9">
        <v>40553</v>
      </c>
      <c r="C230" s="6">
        <v>1</v>
      </c>
      <c r="D230" s="6" t="str">
        <f t="shared" si="18"/>
        <v>2011</v>
      </c>
      <c r="E230" s="6">
        <v>1</v>
      </c>
      <c r="F230" s="6">
        <v>18</v>
      </c>
      <c r="G230" s="6" t="b">
        <v>0</v>
      </c>
      <c r="H230" s="6">
        <v>1</v>
      </c>
      <c r="I230" s="6">
        <v>1</v>
      </c>
      <c r="J230" s="7">
        <v>0.2</v>
      </c>
      <c r="K230" s="6" t="str">
        <f t="shared" si="19"/>
        <v>Monday</v>
      </c>
      <c r="L230" s="2" t="str">
        <f t="shared" si="20"/>
        <v>January</v>
      </c>
      <c r="M230" s="2" t="str">
        <f t="shared" si="21"/>
        <v>Spring</v>
      </c>
      <c r="N230" s="2" t="str">
        <f t="shared" si="22"/>
        <v>Monday</v>
      </c>
      <c r="O230" t="str">
        <f t="shared" si="23"/>
        <v>Clear</v>
      </c>
    </row>
    <row r="231" spans="1:15" x14ac:dyDescent="0.25">
      <c r="A231" s="8">
        <v>229</v>
      </c>
      <c r="B231" s="9">
        <v>40553</v>
      </c>
      <c r="C231" s="6">
        <v>1</v>
      </c>
      <c r="D231" s="6" t="str">
        <f t="shared" si="18"/>
        <v>2011</v>
      </c>
      <c r="E231" s="6">
        <v>1</v>
      </c>
      <c r="F231" s="6">
        <v>19</v>
      </c>
      <c r="G231" s="6" t="b">
        <v>0</v>
      </c>
      <c r="H231" s="6">
        <v>1</v>
      </c>
      <c r="I231" s="6">
        <v>1</v>
      </c>
      <c r="J231" s="7">
        <v>0.16</v>
      </c>
      <c r="K231" s="6" t="str">
        <f t="shared" si="19"/>
        <v>Monday</v>
      </c>
      <c r="L231" s="2" t="str">
        <f t="shared" si="20"/>
        <v>January</v>
      </c>
      <c r="M231" s="2" t="str">
        <f t="shared" si="21"/>
        <v>Spring</v>
      </c>
      <c r="N231" s="2" t="str">
        <f t="shared" si="22"/>
        <v>Monday</v>
      </c>
      <c r="O231" t="str">
        <f t="shared" si="23"/>
        <v>Clear</v>
      </c>
    </row>
    <row r="232" spans="1:15" x14ac:dyDescent="0.25">
      <c r="A232" s="8">
        <v>230</v>
      </c>
      <c r="B232" s="9">
        <v>40553</v>
      </c>
      <c r="C232" s="6">
        <v>1</v>
      </c>
      <c r="D232" s="6" t="str">
        <f t="shared" si="18"/>
        <v>2011</v>
      </c>
      <c r="E232" s="6">
        <v>1</v>
      </c>
      <c r="F232" s="6">
        <v>20</v>
      </c>
      <c r="G232" s="6" t="b">
        <v>0</v>
      </c>
      <c r="H232" s="6">
        <v>1</v>
      </c>
      <c r="I232" s="6">
        <v>1</v>
      </c>
      <c r="J232" s="7">
        <v>0.16</v>
      </c>
      <c r="K232" s="6" t="str">
        <f t="shared" si="19"/>
        <v>Monday</v>
      </c>
      <c r="L232" s="2" t="str">
        <f t="shared" si="20"/>
        <v>January</v>
      </c>
      <c r="M232" s="2" t="str">
        <f t="shared" si="21"/>
        <v>Spring</v>
      </c>
      <c r="N232" s="2" t="str">
        <f t="shared" si="22"/>
        <v>Monday</v>
      </c>
      <c r="O232" t="str">
        <f t="shared" si="23"/>
        <v>Clear</v>
      </c>
    </row>
    <row r="233" spans="1:15" x14ac:dyDescent="0.25">
      <c r="A233" s="8">
        <v>231</v>
      </c>
      <c r="B233" s="9">
        <v>40553</v>
      </c>
      <c r="C233" s="6">
        <v>1</v>
      </c>
      <c r="D233" s="6" t="str">
        <f t="shared" si="18"/>
        <v>2011</v>
      </c>
      <c r="E233" s="6">
        <v>1</v>
      </c>
      <c r="F233" s="6">
        <v>21</v>
      </c>
      <c r="G233" s="6" t="b">
        <v>0</v>
      </c>
      <c r="H233" s="6">
        <v>1</v>
      </c>
      <c r="I233" s="6">
        <v>1</v>
      </c>
      <c r="J233" s="7">
        <v>0.14000000000000001</v>
      </c>
      <c r="K233" s="6" t="str">
        <f t="shared" si="19"/>
        <v>Monday</v>
      </c>
      <c r="L233" s="2" t="str">
        <f t="shared" si="20"/>
        <v>January</v>
      </c>
      <c r="M233" s="2" t="str">
        <f t="shared" si="21"/>
        <v>Spring</v>
      </c>
      <c r="N233" s="2" t="str">
        <f t="shared" si="22"/>
        <v>Monday</v>
      </c>
      <c r="O233" t="str">
        <f t="shared" si="23"/>
        <v>Clear</v>
      </c>
    </row>
    <row r="234" spans="1:15" x14ac:dyDescent="0.25">
      <c r="A234" s="8">
        <v>232</v>
      </c>
      <c r="B234" s="9">
        <v>40553</v>
      </c>
      <c r="C234" s="6">
        <v>1</v>
      </c>
      <c r="D234" s="6" t="str">
        <f t="shared" si="18"/>
        <v>2011</v>
      </c>
      <c r="E234" s="6">
        <v>1</v>
      </c>
      <c r="F234" s="6">
        <v>22</v>
      </c>
      <c r="G234" s="6" t="b">
        <v>0</v>
      </c>
      <c r="H234" s="6">
        <v>1</v>
      </c>
      <c r="I234" s="6">
        <v>1</v>
      </c>
      <c r="J234" s="7">
        <v>0.14000000000000001</v>
      </c>
      <c r="K234" s="6" t="str">
        <f t="shared" si="19"/>
        <v>Monday</v>
      </c>
      <c r="L234" s="2" t="str">
        <f t="shared" si="20"/>
        <v>January</v>
      </c>
      <c r="M234" s="2" t="str">
        <f t="shared" si="21"/>
        <v>Spring</v>
      </c>
      <c r="N234" s="2" t="str">
        <f t="shared" si="22"/>
        <v>Monday</v>
      </c>
      <c r="O234" t="str">
        <f t="shared" si="23"/>
        <v>Clear</v>
      </c>
    </row>
    <row r="235" spans="1:15" x14ac:dyDescent="0.25">
      <c r="A235" s="8">
        <v>233</v>
      </c>
      <c r="B235" s="9">
        <v>40553</v>
      </c>
      <c r="C235" s="6">
        <v>1</v>
      </c>
      <c r="D235" s="6" t="str">
        <f t="shared" si="18"/>
        <v>2011</v>
      </c>
      <c r="E235" s="6">
        <v>1</v>
      </c>
      <c r="F235" s="6">
        <v>23</v>
      </c>
      <c r="G235" s="6" t="b">
        <v>0</v>
      </c>
      <c r="H235" s="6">
        <v>1</v>
      </c>
      <c r="I235" s="6">
        <v>1</v>
      </c>
      <c r="J235" s="7">
        <v>0.14000000000000001</v>
      </c>
      <c r="K235" s="6" t="str">
        <f t="shared" si="19"/>
        <v>Monday</v>
      </c>
      <c r="L235" s="2" t="str">
        <f t="shared" si="20"/>
        <v>January</v>
      </c>
      <c r="M235" s="2" t="str">
        <f t="shared" si="21"/>
        <v>Spring</v>
      </c>
      <c r="N235" s="2" t="str">
        <f t="shared" si="22"/>
        <v>Monday</v>
      </c>
      <c r="O235" t="str">
        <f t="shared" si="23"/>
        <v>Clear</v>
      </c>
    </row>
    <row r="236" spans="1:15" x14ac:dyDescent="0.25">
      <c r="A236" s="8">
        <v>234</v>
      </c>
      <c r="B236" s="9">
        <v>40554</v>
      </c>
      <c r="C236" s="6">
        <v>1</v>
      </c>
      <c r="D236" s="6" t="str">
        <f t="shared" si="18"/>
        <v>2011</v>
      </c>
      <c r="E236" s="6">
        <v>1</v>
      </c>
      <c r="F236" s="6">
        <v>0</v>
      </c>
      <c r="G236" s="6" t="b">
        <v>0</v>
      </c>
      <c r="H236" s="6">
        <v>2</v>
      </c>
      <c r="I236" s="6">
        <v>1</v>
      </c>
      <c r="J236" s="7">
        <v>0.14000000000000001</v>
      </c>
      <c r="K236" s="6" t="str">
        <f t="shared" si="19"/>
        <v>Tuesday</v>
      </c>
      <c r="L236" s="2" t="str">
        <f t="shared" si="20"/>
        <v>January</v>
      </c>
      <c r="M236" s="2" t="str">
        <f t="shared" si="21"/>
        <v>Spring</v>
      </c>
      <c r="N236" s="2" t="str">
        <f t="shared" si="22"/>
        <v>Tuesday</v>
      </c>
      <c r="O236" t="str">
        <f t="shared" si="23"/>
        <v>Clear</v>
      </c>
    </row>
    <row r="237" spans="1:15" x14ac:dyDescent="0.25">
      <c r="A237" s="8">
        <v>235</v>
      </c>
      <c r="B237" s="9">
        <v>40554</v>
      </c>
      <c r="C237" s="6">
        <v>1</v>
      </c>
      <c r="D237" s="6" t="str">
        <f t="shared" si="18"/>
        <v>2011</v>
      </c>
      <c r="E237" s="6">
        <v>1</v>
      </c>
      <c r="F237" s="6">
        <v>1</v>
      </c>
      <c r="G237" s="6" t="b">
        <v>0</v>
      </c>
      <c r="H237" s="6">
        <v>2</v>
      </c>
      <c r="I237" s="6">
        <v>1</v>
      </c>
      <c r="J237" s="7">
        <v>0.14000000000000001</v>
      </c>
      <c r="K237" s="6" t="str">
        <f t="shared" si="19"/>
        <v>Tuesday</v>
      </c>
      <c r="L237" s="2" t="str">
        <f t="shared" si="20"/>
        <v>January</v>
      </c>
      <c r="M237" s="2" t="str">
        <f t="shared" si="21"/>
        <v>Spring</v>
      </c>
      <c r="N237" s="2" t="str">
        <f t="shared" si="22"/>
        <v>Tuesday</v>
      </c>
      <c r="O237" t="str">
        <f t="shared" si="23"/>
        <v>Clear</v>
      </c>
    </row>
    <row r="238" spans="1:15" x14ac:dyDescent="0.25">
      <c r="A238" s="8">
        <v>236</v>
      </c>
      <c r="B238" s="9">
        <v>40554</v>
      </c>
      <c r="C238" s="6">
        <v>1</v>
      </c>
      <c r="D238" s="6" t="str">
        <f t="shared" si="18"/>
        <v>2011</v>
      </c>
      <c r="E238" s="6">
        <v>1</v>
      </c>
      <c r="F238" s="6">
        <v>2</v>
      </c>
      <c r="G238" s="6" t="b">
        <v>0</v>
      </c>
      <c r="H238" s="6">
        <v>2</v>
      </c>
      <c r="I238" s="6">
        <v>2</v>
      </c>
      <c r="J238" s="7">
        <v>0.16</v>
      </c>
      <c r="K238" s="6" t="str">
        <f t="shared" si="19"/>
        <v>Tuesday</v>
      </c>
      <c r="L238" s="2" t="str">
        <f t="shared" si="20"/>
        <v>January</v>
      </c>
      <c r="M238" s="2" t="str">
        <f t="shared" si="21"/>
        <v>Spring</v>
      </c>
      <c r="N238" s="2" t="str">
        <f t="shared" si="22"/>
        <v>Tuesday</v>
      </c>
      <c r="O238" t="str">
        <f t="shared" si="23"/>
        <v>Cloudy</v>
      </c>
    </row>
    <row r="239" spans="1:15" x14ac:dyDescent="0.25">
      <c r="A239" s="8">
        <v>237</v>
      </c>
      <c r="B239" s="9">
        <v>40554</v>
      </c>
      <c r="C239" s="6">
        <v>1</v>
      </c>
      <c r="D239" s="6" t="str">
        <f t="shared" si="18"/>
        <v>2011</v>
      </c>
      <c r="E239" s="6">
        <v>1</v>
      </c>
      <c r="F239" s="6">
        <v>5</v>
      </c>
      <c r="G239" s="6" t="b">
        <v>0</v>
      </c>
      <c r="H239" s="6">
        <v>2</v>
      </c>
      <c r="I239" s="6">
        <v>2</v>
      </c>
      <c r="J239" s="7">
        <v>0.16</v>
      </c>
      <c r="K239" s="6" t="str">
        <f t="shared" si="19"/>
        <v>Tuesday</v>
      </c>
      <c r="L239" s="2" t="str">
        <f t="shared" si="20"/>
        <v>January</v>
      </c>
      <c r="M239" s="2" t="str">
        <f t="shared" si="21"/>
        <v>Spring</v>
      </c>
      <c r="N239" s="2" t="str">
        <f t="shared" si="22"/>
        <v>Tuesday</v>
      </c>
      <c r="O239" t="str">
        <f t="shared" si="23"/>
        <v>Cloudy</v>
      </c>
    </row>
    <row r="240" spans="1:15" x14ac:dyDescent="0.25">
      <c r="A240" s="8">
        <v>238</v>
      </c>
      <c r="B240" s="9">
        <v>40554</v>
      </c>
      <c r="C240" s="6">
        <v>1</v>
      </c>
      <c r="D240" s="6" t="str">
        <f t="shared" si="18"/>
        <v>2011</v>
      </c>
      <c r="E240" s="6">
        <v>1</v>
      </c>
      <c r="F240" s="6">
        <v>6</v>
      </c>
      <c r="G240" s="6" t="b">
        <v>0</v>
      </c>
      <c r="H240" s="6">
        <v>2</v>
      </c>
      <c r="I240" s="6">
        <v>2</v>
      </c>
      <c r="J240" s="7">
        <v>0.16</v>
      </c>
      <c r="K240" s="6" t="str">
        <f t="shared" si="19"/>
        <v>Tuesday</v>
      </c>
      <c r="L240" s="2" t="str">
        <f t="shared" si="20"/>
        <v>January</v>
      </c>
      <c r="M240" s="2" t="str">
        <f t="shared" si="21"/>
        <v>Spring</v>
      </c>
      <c r="N240" s="2" t="str">
        <f t="shared" si="22"/>
        <v>Tuesday</v>
      </c>
      <c r="O240" t="str">
        <f t="shared" si="23"/>
        <v>Cloudy</v>
      </c>
    </row>
    <row r="241" spans="1:15" x14ac:dyDescent="0.25">
      <c r="A241" s="8">
        <v>239</v>
      </c>
      <c r="B241" s="9">
        <v>40554</v>
      </c>
      <c r="C241" s="6">
        <v>1</v>
      </c>
      <c r="D241" s="6" t="str">
        <f t="shared" si="18"/>
        <v>2011</v>
      </c>
      <c r="E241" s="6">
        <v>1</v>
      </c>
      <c r="F241" s="6">
        <v>7</v>
      </c>
      <c r="G241" s="6" t="b">
        <v>0</v>
      </c>
      <c r="H241" s="6">
        <v>2</v>
      </c>
      <c r="I241" s="6">
        <v>2</v>
      </c>
      <c r="J241" s="7">
        <v>0.16</v>
      </c>
      <c r="K241" s="6" t="str">
        <f t="shared" si="19"/>
        <v>Tuesday</v>
      </c>
      <c r="L241" s="2" t="str">
        <f t="shared" si="20"/>
        <v>January</v>
      </c>
      <c r="M241" s="2" t="str">
        <f t="shared" si="21"/>
        <v>Spring</v>
      </c>
      <c r="N241" s="2" t="str">
        <f t="shared" si="22"/>
        <v>Tuesday</v>
      </c>
      <c r="O241" t="str">
        <f t="shared" si="23"/>
        <v>Cloudy</v>
      </c>
    </row>
    <row r="242" spans="1:15" x14ac:dyDescent="0.25">
      <c r="A242" s="8">
        <v>240</v>
      </c>
      <c r="B242" s="9">
        <v>40554</v>
      </c>
      <c r="C242" s="6">
        <v>1</v>
      </c>
      <c r="D242" s="6" t="str">
        <f t="shared" si="18"/>
        <v>2011</v>
      </c>
      <c r="E242" s="6">
        <v>1</v>
      </c>
      <c r="F242" s="6">
        <v>8</v>
      </c>
      <c r="G242" s="6" t="b">
        <v>0</v>
      </c>
      <c r="H242" s="6">
        <v>2</v>
      </c>
      <c r="I242" s="6">
        <v>2</v>
      </c>
      <c r="J242" s="7">
        <v>0.18</v>
      </c>
      <c r="K242" s="6" t="str">
        <f t="shared" si="19"/>
        <v>Tuesday</v>
      </c>
      <c r="L242" s="2" t="str">
        <f t="shared" si="20"/>
        <v>January</v>
      </c>
      <c r="M242" s="2" t="str">
        <f t="shared" si="21"/>
        <v>Spring</v>
      </c>
      <c r="N242" s="2" t="str">
        <f t="shared" si="22"/>
        <v>Tuesday</v>
      </c>
      <c r="O242" t="str">
        <f t="shared" si="23"/>
        <v>Cloudy</v>
      </c>
    </row>
    <row r="243" spans="1:15" x14ac:dyDescent="0.25">
      <c r="A243" s="8">
        <v>241</v>
      </c>
      <c r="B243" s="9">
        <v>40554</v>
      </c>
      <c r="C243" s="6">
        <v>1</v>
      </c>
      <c r="D243" s="6" t="str">
        <f t="shared" si="18"/>
        <v>2011</v>
      </c>
      <c r="E243" s="6">
        <v>1</v>
      </c>
      <c r="F243" s="6">
        <v>9</v>
      </c>
      <c r="G243" s="6" t="b">
        <v>0</v>
      </c>
      <c r="H243" s="6">
        <v>2</v>
      </c>
      <c r="I243" s="6">
        <v>2</v>
      </c>
      <c r="J243" s="7">
        <v>0.18</v>
      </c>
      <c r="K243" s="6" t="str">
        <f t="shared" si="19"/>
        <v>Tuesday</v>
      </c>
      <c r="L243" s="2" t="str">
        <f t="shared" si="20"/>
        <v>January</v>
      </c>
      <c r="M243" s="2" t="str">
        <f t="shared" si="21"/>
        <v>Spring</v>
      </c>
      <c r="N243" s="2" t="str">
        <f t="shared" si="22"/>
        <v>Tuesday</v>
      </c>
      <c r="O243" t="str">
        <f t="shared" si="23"/>
        <v>Cloudy</v>
      </c>
    </row>
    <row r="244" spans="1:15" x14ac:dyDescent="0.25">
      <c r="A244" s="8">
        <v>242</v>
      </c>
      <c r="B244" s="9">
        <v>40554</v>
      </c>
      <c r="C244" s="6">
        <v>1</v>
      </c>
      <c r="D244" s="6" t="str">
        <f t="shared" si="18"/>
        <v>2011</v>
      </c>
      <c r="E244" s="6">
        <v>1</v>
      </c>
      <c r="F244" s="6">
        <v>10</v>
      </c>
      <c r="G244" s="6" t="b">
        <v>0</v>
      </c>
      <c r="H244" s="6">
        <v>2</v>
      </c>
      <c r="I244" s="6">
        <v>2</v>
      </c>
      <c r="J244" s="7">
        <v>0.2</v>
      </c>
      <c r="K244" s="6" t="str">
        <f t="shared" si="19"/>
        <v>Tuesday</v>
      </c>
      <c r="L244" s="2" t="str">
        <f t="shared" si="20"/>
        <v>January</v>
      </c>
      <c r="M244" s="2" t="str">
        <f t="shared" si="21"/>
        <v>Spring</v>
      </c>
      <c r="N244" s="2" t="str">
        <f t="shared" si="22"/>
        <v>Tuesday</v>
      </c>
      <c r="O244" t="str">
        <f t="shared" si="23"/>
        <v>Cloudy</v>
      </c>
    </row>
    <row r="245" spans="1:15" x14ac:dyDescent="0.25">
      <c r="A245" s="8">
        <v>243</v>
      </c>
      <c r="B245" s="9">
        <v>40554</v>
      </c>
      <c r="C245" s="6">
        <v>1</v>
      </c>
      <c r="D245" s="6" t="str">
        <f t="shared" si="18"/>
        <v>2011</v>
      </c>
      <c r="E245" s="6">
        <v>1</v>
      </c>
      <c r="F245" s="6">
        <v>11</v>
      </c>
      <c r="G245" s="6" t="b">
        <v>0</v>
      </c>
      <c r="H245" s="6">
        <v>2</v>
      </c>
      <c r="I245" s="6">
        <v>2</v>
      </c>
      <c r="J245" s="7">
        <v>0.2</v>
      </c>
      <c r="K245" s="6" t="str">
        <f t="shared" si="19"/>
        <v>Tuesday</v>
      </c>
      <c r="L245" s="2" t="str">
        <f t="shared" si="20"/>
        <v>January</v>
      </c>
      <c r="M245" s="2" t="str">
        <f t="shared" si="21"/>
        <v>Spring</v>
      </c>
      <c r="N245" s="2" t="str">
        <f t="shared" si="22"/>
        <v>Tuesday</v>
      </c>
      <c r="O245" t="str">
        <f t="shared" si="23"/>
        <v>Cloudy</v>
      </c>
    </row>
    <row r="246" spans="1:15" x14ac:dyDescent="0.25">
      <c r="A246" s="8">
        <v>244</v>
      </c>
      <c r="B246" s="9">
        <v>40554</v>
      </c>
      <c r="C246" s="6">
        <v>1</v>
      </c>
      <c r="D246" s="6" t="str">
        <f t="shared" si="18"/>
        <v>2011</v>
      </c>
      <c r="E246" s="6">
        <v>1</v>
      </c>
      <c r="F246" s="6">
        <v>12</v>
      </c>
      <c r="G246" s="6" t="b">
        <v>0</v>
      </c>
      <c r="H246" s="6">
        <v>2</v>
      </c>
      <c r="I246" s="6">
        <v>2</v>
      </c>
      <c r="J246" s="7">
        <v>0.2</v>
      </c>
      <c r="K246" s="6" t="str">
        <f t="shared" si="19"/>
        <v>Tuesday</v>
      </c>
      <c r="L246" s="2" t="str">
        <f t="shared" si="20"/>
        <v>January</v>
      </c>
      <c r="M246" s="2" t="str">
        <f t="shared" si="21"/>
        <v>Spring</v>
      </c>
      <c r="N246" s="2" t="str">
        <f t="shared" si="22"/>
        <v>Tuesday</v>
      </c>
      <c r="O246" t="str">
        <f t="shared" si="23"/>
        <v>Cloudy</v>
      </c>
    </row>
    <row r="247" spans="1:15" x14ac:dyDescent="0.25">
      <c r="A247" s="8">
        <v>245</v>
      </c>
      <c r="B247" s="9">
        <v>40554</v>
      </c>
      <c r="C247" s="6">
        <v>1</v>
      </c>
      <c r="D247" s="6" t="str">
        <f t="shared" si="18"/>
        <v>2011</v>
      </c>
      <c r="E247" s="6">
        <v>1</v>
      </c>
      <c r="F247" s="6">
        <v>13</v>
      </c>
      <c r="G247" s="6" t="b">
        <v>0</v>
      </c>
      <c r="H247" s="6">
        <v>2</v>
      </c>
      <c r="I247" s="6">
        <v>2</v>
      </c>
      <c r="J247" s="7">
        <v>0.2</v>
      </c>
      <c r="K247" s="6" t="str">
        <f t="shared" si="19"/>
        <v>Tuesday</v>
      </c>
      <c r="L247" s="2" t="str">
        <f t="shared" si="20"/>
        <v>January</v>
      </c>
      <c r="M247" s="2" t="str">
        <f t="shared" si="21"/>
        <v>Spring</v>
      </c>
      <c r="N247" s="2" t="str">
        <f t="shared" si="22"/>
        <v>Tuesday</v>
      </c>
      <c r="O247" t="str">
        <f t="shared" si="23"/>
        <v>Cloudy</v>
      </c>
    </row>
    <row r="248" spans="1:15" x14ac:dyDescent="0.25">
      <c r="A248" s="8">
        <v>246</v>
      </c>
      <c r="B248" s="9">
        <v>40554</v>
      </c>
      <c r="C248" s="6">
        <v>1</v>
      </c>
      <c r="D248" s="6" t="str">
        <f t="shared" si="18"/>
        <v>2011</v>
      </c>
      <c r="E248" s="6">
        <v>1</v>
      </c>
      <c r="F248" s="6">
        <v>14</v>
      </c>
      <c r="G248" s="6" t="b">
        <v>0</v>
      </c>
      <c r="H248" s="6">
        <v>2</v>
      </c>
      <c r="I248" s="6">
        <v>2</v>
      </c>
      <c r="J248" s="7">
        <v>0.2</v>
      </c>
      <c r="K248" s="6" t="str">
        <f t="shared" si="19"/>
        <v>Tuesday</v>
      </c>
      <c r="L248" s="2" t="str">
        <f t="shared" si="20"/>
        <v>January</v>
      </c>
      <c r="M248" s="2" t="str">
        <f t="shared" si="21"/>
        <v>Spring</v>
      </c>
      <c r="N248" s="2" t="str">
        <f t="shared" si="22"/>
        <v>Tuesday</v>
      </c>
      <c r="O248" t="str">
        <f t="shared" si="23"/>
        <v>Cloudy</v>
      </c>
    </row>
    <row r="249" spans="1:15" x14ac:dyDescent="0.25">
      <c r="A249" s="8">
        <v>247</v>
      </c>
      <c r="B249" s="9">
        <v>40554</v>
      </c>
      <c r="C249" s="6">
        <v>1</v>
      </c>
      <c r="D249" s="6" t="str">
        <f t="shared" si="18"/>
        <v>2011</v>
      </c>
      <c r="E249" s="6">
        <v>1</v>
      </c>
      <c r="F249" s="6">
        <v>15</v>
      </c>
      <c r="G249" s="6" t="b">
        <v>0</v>
      </c>
      <c r="H249" s="6">
        <v>2</v>
      </c>
      <c r="I249" s="6">
        <v>2</v>
      </c>
      <c r="J249" s="7">
        <v>0.16</v>
      </c>
      <c r="K249" s="6" t="str">
        <f t="shared" si="19"/>
        <v>Tuesday</v>
      </c>
      <c r="L249" s="2" t="str">
        <f t="shared" si="20"/>
        <v>January</v>
      </c>
      <c r="M249" s="2" t="str">
        <f t="shared" si="21"/>
        <v>Spring</v>
      </c>
      <c r="N249" s="2" t="str">
        <f t="shared" si="22"/>
        <v>Tuesday</v>
      </c>
      <c r="O249" t="str">
        <f t="shared" si="23"/>
        <v>Cloudy</v>
      </c>
    </row>
    <row r="250" spans="1:15" x14ac:dyDescent="0.25">
      <c r="A250" s="8">
        <v>248</v>
      </c>
      <c r="B250" s="9">
        <v>40554</v>
      </c>
      <c r="C250" s="6">
        <v>1</v>
      </c>
      <c r="D250" s="6" t="str">
        <f t="shared" si="18"/>
        <v>2011</v>
      </c>
      <c r="E250" s="6">
        <v>1</v>
      </c>
      <c r="F250" s="6">
        <v>16</v>
      </c>
      <c r="G250" s="6" t="b">
        <v>0</v>
      </c>
      <c r="H250" s="6">
        <v>2</v>
      </c>
      <c r="I250" s="6">
        <v>2</v>
      </c>
      <c r="J250" s="7">
        <v>0.16</v>
      </c>
      <c r="K250" s="6" t="str">
        <f t="shared" si="19"/>
        <v>Tuesday</v>
      </c>
      <c r="L250" s="2" t="str">
        <f t="shared" si="20"/>
        <v>January</v>
      </c>
      <c r="M250" s="2" t="str">
        <f t="shared" si="21"/>
        <v>Spring</v>
      </c>
      <c r="N250" s="2" t="str">
        <f t="shared" si="22"/>
        <v>Tuesday</v>
      </c>
      <c r="O250" t="str">
        <f t="shared" si="23"/>
        <v>Cloudy</v>
      </c>
    </row>
    <row r="251" spans="1:15" x14ac:dyDescent="0.25">
      <c r="A251" s="8">
        <v>249</v>
      </c>
      <c r="B251" s="9">
        <v>40554</v>
      </c>
      <c r="C251" s="6">
        <v>1</v>
      </c>
      <c r="D251" s="6" t="str">
        <f t="shared" si="18"/>
        <v>2011</v>
      </c>
      <c r="E251" s="6">
        <v>1</v>
      </c>
      <c r="F251" s="6">
        <v>17</v>
      </c>
      <c r="G251" s="6" t="b">
        <v>0</v>
      </c>
      <c r="H251" s="6">
        <v>2</v>
      </c>
      <c r="I251" s="6">
        <v>2</v>
      </c>
      <c r="J251" s="7">
        <v>0.16</v>
      </c>
      <c r="K251" s="6" t="str">
        <f t="shared" si="19"/>
        <v>Tuesday</v>
      </c>
      <c r="L251" s="2" t="str">
        <f t="shared" si="20"/>
        <v>January</v>
      </c>
      <c r="M251" s="2" t="str">
        <f t="shared" si="21"/>
        <v>Spring</v>
      </c>
      <c r="N251" s="2" t="str">
        <f t="shared" si="22"/>
        <v>Tuesday</v>
      </c>
      <c r="O251" t="str">
        <f t="shared" si="23"/>
        <v>Cloudy</v>
      </c>
    </row>
    <row r="252" spans="1:15" x14ac:dyDescent="0.25">
      <c r="A252" s="8">
        <v>250</v>
      </c>
      <c r="B252" s="9">
        <v>40554</v>
      </c>
      <c r="C252" s="6">
        <v>1</v>
      </c>
      <c r="D252" s="6" t="str">
        <f t="shared" si="18"/>
        <v>2011</v>
      </c>
      <c r="E252" s="6">
        <v>1</v>
      </c>
      <c r="F252" s="6">
        <v>18</v>
      </c>
      <c r="G252" s="6" t="b">
        <v>0</v>
      </c>
      <c r="H252" s="6">
        <v>2</v>
      </c>
      <c r="I252" s="6">
        <v>3</v>
      </c>
      <c r="J252" s="7">
        <v>0.16</v>
      </c>
      <c r="K252" s="6" t="str">
        <f t="shared" si="19"/>
        <v>Tuesday</v>
      </c>
      <c r="L252" s="2" t="str">
        <f t="shared" si="20"/>
        <v>January</v>
      </c>
      <c r="M252" s="2" t="str">
        <f t="shared" si="21"/>
        <v>Spring</v>
      </c>
      <c r="N252" s="2" t="str">
        <f t="shared" si="22"/>
        <v>Tuesday</v>
      </c>
      <c r="O252" t="str">
        <f t="shared" si="23"/>
        <v>Rain</v>
      </c>
    </row>
    <row r="253" spans="1:15" x14ac:dyDescent="0.25">
      <c r="A253" s="8">
        <v>251</v>
      </c>
      <c r="B253" s="9">
        <v>40554</v>
      </c>
      <c r="C253" s="6">
        <v>1</v>
      </c>
      <c r="D253" s="6" t="str">
        <f t="shared" si="18"/>
        <v>2011</v>
      </c>
      <c r="E253" s="6">
        <v>1</v>
      </c>
      <c r="F253" s="6">
        <v>19</v>
      </c>
      <c r="G253" s="6" t="b">
        <v>0</v>
      </c>
      <c r="H253" s="6">
        <v>2</v>
      </c>
      <c r="I253" s="6">
        <v>3</v>
      </c>
      <c r="J253" s="7">
        <v>0.16</v>
      </c>
      <c r="K253" s="6" t="str">
        <f t="shared" si="19"/>
        <v>Tuesday</v>
      </c>
      <c r="L253" s="2" t="str">
        <f t="shared" si="20"/>
        <v>January</v>
      </c>
      <c r="M253" s="2" t="str">
        <f t="shared" si="21"/>
        <v>Spring</v>
      </c>
      <c r="N253" s="2" t="str">
        <f t="shared" si="22"/>
        <v>Tuesday</v>
      </c>
      <c r="O253" t="str">
        <f t="shared" si="23"/>
        <v>Rain</v>
      </c>
    </row>
    <row r="254" spans="1:15" x14ac:dyDescent="0.25">
      <c r="A254" s="8">
        <v>252</v>
      </c>
      <c r="B254" s="9">
        <v>40554</v>
      </c>
      <c r="C254" s="6">
        <v>1</v>
      </c>
      <c r="D254" s="6" t="str">
        <f t="shared" si="18"/>
        <v>2011</v>
      </c>
      <c r="E254" s="6">
        <v>1</v>
      </c>
      <c r="F254" s="6">
        <v>20</v>
      </c>
      <c r="G254" s="6" t="b">
        <v>0</v>
      </c>
      <c r="H254" s="6">
        <v>2</v>
      </c>
      <c r="I254" s="6">
        <v>3</v>
      </c>
      <c r="J254" s="7">
        <v>0.16</v>
      </c>
      <c r="K254" s="6" t="str">
        <f t="shared" si="19"/>
        <v>Tuesday</v>
      </c>
      <c r="L254" s="2" t="str">
        <f t="shared" si="20"/>
        <v>January</v>
      </c>
      <c r="M254" s="2" t="str">
        <f t="shared" si="21"/>
        <v>Spring</v>
      </c>
      <c r="N254" s="2" t="str">
        <f t="shared" si="22"/>
        <v>Tuesday</v>
      </c>
      <c r="O254" t="str">
        <f t="shared" si="23"/>
        <v>Rain</v>
      </c>
    </row>
    <row r="255" spans="1:15" x14ac:dyDescent="0.25">
      <c r="A255" s="8">
        <v>253</v>
      </c>
      <c r="B255" s="9">
        <v>40554</v>
      </c>
      <c r="C255" s="6">
        <v>1</v>
      </c>
      <c r="D255" s="6" t="str">
        <f t="shared" si="18"/>
        <v>2011</v>
      </c>
      <c r="E255" s="6">
        <v>1</v>
      </c>
      <c r="F255" s="6">
        <v>21</v>
      </c>
      <c r="G255" s="6" t="b">
        <v>0</v>
      </c>
      <c r="H255" s="6">
        <v>2</v>
      </c>
      <c r="I255" s="6">
        <v>3</v>
      </c>
      <c r="J255" s="7">
        <v>0.16</v>
      </c>
      <c r="K255" s="6" t="str">
        <f t="shared" si="19"/>
        <v>Tuesday</v>
      </c>
      <c r="L255" s="2" t="str">
        <f t="shared" si="20"/>
        <v>January</v>
      </c>
      <c r="M255" s="2" t="str">
        <f t="shared" si="21"/>
        <v>Spring</v>
      </c>
      <c r="N255" s="2" t="str">
        <f t="shared" si="22"/>
        <v>Tuesday</v>
      </c>
      <c r="O255" t="str">
        <f t="shared" si="23"/>
        <v>Rain</v>
      </c>
    </row>
    <row r="256" spans="1:15" x14ac:dyDescent="0.25">
      <c r="A256" s="8">
        <v>254</v>
      </c>
      <c r="B256" s="9">
        <v>40554</v>
      </c>
      <c r="C256" s="6">
        <v>1</v>
      </c>
      <c r="D256" s="6" t="str">
        <f t="shared" si="18"/>
        <v>2011</v>
      </c>
      <c r="E256" s="6">
        <v>1</v>
      </c>
      <c r="F256" s="6">
        <v>22</v>
      </c>
      <c r="G256" s="6" t="b">
        <v>0</v>
      </c>
      <c r="H256" s="6">
        <v>2</v>
      </c>
      <c r="I256" s="6">
        <v>3</v>
      </c>
      <c r="J256" s="7">
        <v>0.16</v>
      </c>
      <c r="K256" s="6" t="str">
        <f t="shared" si="19"/>
        <v>Tuesday</v>
      </c>
      <c r="L256" s="2" t="str">
        <f t="shared" si="20"/>
        <v>January</v>
      </c>
      <c r="M256" s="2" t="str">
        <f t="shared" si="21"/>
        <v>Spring</v>
      </c>
      <c r="N256" s="2" t="str">
        <f t="shared" si="22"/>
        <v>Tuesday</v>
      </c>
      <c r="O256" t="str">
        <f t="shared" si="23"/>
        <v>Rain</v>
      </c>
    </row>
    <row r="257" spans="1:15" x14ac:dyDescent="0.25">
      <c r="A257" s="8">
        <v>255</v>
      </c>
      <c r="B257" s="9">
        <v>40554</v>
      </c>
      <c r="C257" s="6">
        <v>1</v>
      </c>
      <c r="D257" s="6" t="str">
        <f t="shared" si="18"/>
        <v>2011</v>
      </c>
      <c r="E257" s="6">
        <v>1</v>
      </c>
      <c r="F257" s="6">
        <v>23</v>
      </c>
      <c r="G257" s="6" t="b">
        <v>0</v>
      </c>
      <c r="H257" s="6">
        <v>2</v>
      </c>
      <c r="I257" s="6">
        <v>3</v>
      </c>
      <c r="J257" s="7">
        <v>0.16</v>
      </c>
      <c r="K257" s="6" t="str">
        <f t="shared" si="19"/>
        <v>Tuesday</v>
      </c>
      <c r="L257" s="2" t="str">
        <f t="shared" si="20"/>
        <v>January</v>
      </c>
      <c r="M257" s="2" t="str">
        <f t="shared" si="21"/>
        <v>Spring</v>
      </c>
      <c r="N257" s="2" t="str">
        <f t="shared" si="22"/>
        <v>Tuesday</v>
      </c>
      <c r="O257" t="str">
        <f t="shared" si="23"/>
        <v>Rain</v>
      </c>
    </row>
    <row r="258" spans="1:15" x14ac:dyDescent="0.25">
      <c r="A258" s="8">
        <v>256</v>
      </c>
      <c r="B258" s="9">
        <v>40555</v>
      </c>
      <c r="C258" s="6">
        <v>1</v>
      </c>
      <c r="D258" s="6" t="str">
        <f t="shared" si="18"/>
        <v>2011</v>
      </c>
      <c r="E258" s="6">
        <v>1</v>
      </c>
      <c r="F258" s="6">
        <v>0</v>
      </c>
      <c r="G258" s="6" t="b">
        <v>0</v>
      </c>
      <c r="H258" s="6">
        <v>3</v>
      </c>
      <c r="I258" s="6">
        <v>2</v>
      </c>
      <c r="J258" s="7">
        <v>0.16</v>
      </c>
      <c r="K258" s="6" t="str">
        <f t="shared" si="19"/>
        <v>Wednesday</v>
      </c>
      <c r="L258" s="2" t="str">
        <f t="shared" si="20"/>
        <v>January</v>
      </c>
      <c r="M258" s="2" t="str">
        <f t="shared" si="21"/>
        <v>Spring</v>
      </c>
      <c r="N258" s="2" t="str">
        <f t="shared" si="22"/>
        <v>Wednesday</v>
      </c>
      <c r="O258" t="str">
        <f t="shared" si="23"/>
        <v>Cloudy</v>
      </c>
    </row>
    <row r="259" spans="1:15" x14ac:dyDescent="0.25">
      <c r="A259" s="8">
        <v>257</v>
      </c>
      <c r="B259" s="9">
        <v>40555</v>
      </c>
      <c r="C259" s="6">
        <v>1</v>
      </c>
      <c r="D259" s="6" t="str">
        <f t="shared" si="18"/>
        <v>2011</v>
      </c>
      <c r="E259" s="6">
        <v>1</v>
      </c>
      <c r="F259" s="6">
        <v>1</v>
      </c>
      <c r="G259" s="6" t="b">
        <v>0</v>
      </c>
      <c r="H259" s="6">
        <v>3</v>
      </c>
      <c r="I259" s="6">
        <v>2</v>
      </c>
      <c r="J259" s="7">
        <v>0.16</v>
      </c>
      <c r="K259" s="6" t="str">
        <f t="shared" si="19"/>
        <v>Wednesday</v>
      </c>
      <c r="L259" s="2" t="str">
        <f t="shared" si="20"/>
        <v>January</v>
      </c>
      <c r="M259" s="2" t="str">
        <f t="shared" si="21"/>
        <v>Spring</v>
      </c>
      <c r="N259" s="2" t="str">
        <f t="shared" si="22"/>
        <v>Wednesday</v>
      </c>
      <c r="O259" t="str">
        <f t="shared" si="23"/>
        <v>Cloudy</v>
      </c>
    </row>
    <row r="260" spans="1:15" x14ac:dyDescent="0.25">
      <c r="A260" s="8">
        <v>258</v>
      </c>
      <c r="B260" s="9">
        <v>40555</v>
      </c>
      <c r="C260" s="6">
        <v>1</v>
      </c>
      <c r="D260" s="6" t="str">
        <f t="shared" ref="D260:D323" si="24">TEXT(B260,"yyyy")</f>
        <v>2011</v>
      </c>
      <c r="E260" s="6">
        <v>1</v>
      </c>
      <c r="F260" s="6">
        <v>2</v>
      </c>
      <c r="G260" s="6" t="b">
        <v>0</v>
      </c>
      <c r="H260" s="6">
        <v>3</v>
      </c>
      <c r="I260" s="6">
        <v>1</v>
      </c>
      <c r="J260" s="7">
        <v>0.14000000000000001</v>
      </c>
      <c r="K260" s="6" t="str">
        <f t="shared" ref="K260:K323" si="25">TEXT(B260,"dddd")</f>
        <v>Wednesday</v>
      </c>
      <c r="L260" s="2" t="str">
        <f t="shared" ref="L260:L323" si="26">TEXT(B260,"mmmm")</f>
        <v>January</v>
      </c>
      <c r="M260" s="2" t="str">
        <f t="shared" ref="M260:M323" si="27">IF(C260=1,"Spring",IF(C260=2,"Summer",IF(C260=3,"Fall","Winter")))</f>
        <v>Spring</v>
      </c>
      <c r="N260" s="2" t="str">
        <f t="shared" ref="N260:N323" si="28">IF(H260=0,"Sunday",IF(H260=1,"Monday",IF(H260=2,"Tuesday",IF(H260=3,"Wednesday",IF(H260=4,"Thursday",IF(H260=5,"Friday","Saturday"))))))</f>
        <v>Wednesday</v>
      </c>
      <c r="O260" t="str">
        <f t="shared" si="23"/>
        <v>Clear</v>
      </c>
    </row>
    <row r="261" spans="1:15" x14ac:dyDescent="0.25">
      <c r="A261" s="8">
        <v>259</v>
      </c>
      <c r="B261" s="9">
        <v>40555</v>
      </c>
      <c r="C261" s="6">
        <v>1</v>
      </c>
      <c r="D261" s="6" t="str">
        <f t="shared" si="24"/>
        <v>2011</v>
      </c>
      <c r="E261" s="6">
        <v>1</v>
      </c>
      <c r="F261" s="6">
        <v>5</v>
      </c>
      <c r="G261" s="6" t="b">
        <v>0</v>
      </c>
      <c r="H261" s="6">
        <v>3</v>
      </c>
      <c r="I261" s="6">
        <v>1</v>
      </c>
      <c r="J261" s="7">
        <v>0.14000000000000001</v>
      </c>
      <c r="K261" s="6" t="str">
        <f t="shared" si="25"/>
        <v>Wednesday</v>
      </c>
      <c r="L261" s="2" t="str">
        <f t="shared" si="26"/>
        <v>January</v>
      </c>
      <c r="M261" s="2" t="str">
        <f t="shared" si="27"/>
        <v>Spring</v>
      </c>
      <c r="N261" s="2" t="str">
        <f t="shared" si="28"/>
        <v>Wednesday</v>
      </c>
      <c r="O261" t="str">
        <f t="shared" ref="O261:O324" si="29">IF(I261=1,"Clear",IF(I261=2,"Cloudy",IF(I261=3,"Rain","Heavy Rain")))</f>
        <v>Clear</v>
      </c>
    </row>
    <row r="262" spans="1:15" x14ac:dyDescent="0.25">
      <c r="A262" s="8">
        <v>260</v>
      </c>
      <c r="B262" s="9">
        <v>40555</v>
      </c>
      <c r="C262" s="6">
        <v>1</v>
      </c>
      <c r="D262" s="6" t="str">
        <f t="shared" si="24"/>
        <v>2011</v>
      </c>
      <c r="E262" s="6">
        <v>1</v>
      </c>
      <c r="F262" s="6">
        <v>6</v>
      </c>
      <c r="G262" s="6" t="b">
        <v>0</v>
      </c>
      <c r="H262" s="6">
        <v>3</v>
      </c>
      <c r="I262" s="6">
        <v>1</v>
      </c>
      <c r="J262" s="7">
        <v>0.12</v>
      </c>
      <c r="K262" s="6" t="str">
        <f t="shared" si="25"/>
        <v>Wednesday</v>
      </c>
      <c r="L262" s="2" t="str">
        <f t="shared" si="26"/>
        <v>January</v>
      </c>
      <c r="M262" s="2" t="str">
        <f t="shared" si="27"/>
        <v>Spring</v>
      </c>
      <c r="N262" s="2" t="str">
        <f t="shared" si="28"/>
        <v>Wednesday</v>
      </c>
      <c r="O262" t="str">
        <f t="shared" si="29"/>
        <v>Clear</v>
      </c>
    </row>
    <row r="263" spans="1:15" x14ac:dyDescent="0.25">
      <c r="A263" s="8">
        <v>261</v>
      </c>
      <c r="B263" s="9">
        <v>40555</v>
      </c>
      <c r="C263" s="6">
        <v>1</v>
      </c>
      <c r="D263" s="6" t="str">
        <f t="shared" si="24"/>
        <v>2011</v>
      </c>
      <c r="E263" s="6">
        <v>1</v>
      </c>
      <c r="F263" s="6">
        <v>7</v>
      </c>
      <c r="G263" s="6" t="b">
        <v>0</v>
      </c>
      <c r="H263" s="6">
        <v>3</v>
      </c>
      <c r="I263" s="6">
        <v>1</v>
      </c>
      <c r="J263" s="7">
        <v>0.14000000000000001</v>
      </c>
      <c r="K263" s="6" t="str">
        <f t="shared" si="25"/>
        <v>Wednesday</v>
      </c>
      <c r="L263" s="2" t="str">
        <f t="shared" si="26"/>
        <v>January</v>
      </c>
      <c r="M263" s="2" t="str">
        <f t="shared" si="27"/>
        <v>Spring</v>
      </c>
      <c r="N263" s="2" t="str">
        <f t="shared" si="28"/>
        <v>Wednesday</v>
      </c>
      <c r="O263" t="str">
        <f t="shared" si="29"/>
        <v>Clear</v>
      </c>
    </row>
    <row r="264" spans="1:15" x14ac:dyDescent="0.25">
      <c r="A264" s="8">
        <v>262</v>
      </c>
      <c r="B264" s="9">
        <v>40555</v>
      </c>
      <c r="C264" s="6">
        <v>1</v>
      </c>
      <c r="D264" s="6" t="str">
        <f t="shared" si="24"/>
        <v>2011</v>
      </c>
      <c r="E264" s="6">
        <v>1</v>
      </c>
      <c r="F264" s="6">
        <v>8</v>
      </c>
      <c r="G264" s="6" t="b">
        <v>0</v>
      </c>
      <c r="H264" s="6">
        <v>3</v>
      </c>
      <c r="I264" s="6">
        <v>1</v>
      </c>
      <c r="J264" s="7">
        <v>0.16</v>
      </c>
      <c r="K264" s="6" t="str">
        <f t="shared" si="25"/>
        <v>Wednesday</v>
      </c>
      <c r="L264" s="2" t="str">
        <f t="shared" si="26"/>
        <v>January</v>
      </c>
      <c r="M264" s="2" t="str">
        <f t="shared" si="27"/>
        <v>Spring</v>
      </c>
      <c r="N264" s="2" t="str">
        <f t="shared" si="28"/>
        <v>Wednesday</v>
      </c>
      <c r="O264" t="str">
        <f t="shared" si="29"/>
        <v>Clear</v>
      </c>
    </row>
    <row r="265" spans="1:15" x14ac:dyDescent="0.25">
      <c r="A265" s="8">
        <v>263</v>
      </c>
      <c r="B265" s="9">
        <v>40555</v>
      </c>
      <c r="C265" s="6">
        <v>1</v>
      </c>
      <c r="D265" s="6" t="str">
        <f t="shared" si="24"/>
        <v>2011</v>
      </c>
      <c r="E265" s="6">
        <v>1</v>
      </c>
      <c r="F265" s="6">
        <v>9</v>
      </c>
      <c r="G265" s="6" t="b">
        <v>0</v>
      </c>
      <c r="H265" s="6">
        <v>3</v>
      </c>
      <c r="I265" s="6">
        <v>1</v>
      </c>
      <c r="J265" s="7">
        <v>0.16</v>
      </c>
      <c r="K265" s="6" t="str">
        <f t="shared" si="25"/>
        <v>Wednesday</v>
      </c>
      <c r="L265" s="2" t="str">
        <f t="shared" si="26"/>
        <v>January</v>
      </c>
      <c r="M265" s="2" t="str">
        <f t="shared" si="27"/>
        <v>Spring</v>
      </c>
      <c r="N265" s="2" t="str">
        <f t="shared" si="28"/>
        <v>Wednesday</v>
      </c>
      <c r="O265" t="str">
        <f t="shared" si="29"/>
        <v>Clear</v>
      </c>
    </row>
    <row r="266" spans="1:15" x14ac:dyDescent="0.25">
      <c r="A266" s="8">
        <v>264</v>
      </c>
      <c r="B266" s="9">
        <v>40555</v>
      </c>
      <c r="C266" s="6">
        <v>1</v>
      </c>
      <c r="D266" s="6" t="str">
        <f t="shared" si="24"/>
        <v>2011</v>
      </c>
      <c r="E266" s="6">
        <v>1</v>
      </c>
      <c r="F266" s="6">
        <v>10</v>
      </c>
      <c r="G266" s="6" t="b">
        <v>0</v>
      </c>
      <c r="H266" s="6">
        <v>3</v>
      </c>
      <c r="I266" s="6">
        <v>1</v>
      </c>
      <c r="J266" s="7">
        <v>0.18</v>
      </c>
      <c r="K266" s="6" t="str">
        <f t="shared" si="25"/>
        <v>Wednesday</v>
      </c>
      <c r="L266" s="2" t="str">
        <f t="shared" si="26"/>
        <v>January</v>
      </c>
      <c r="M266" s="2" t="str">
        <f t="shared" si="27"/>
        <v>Spring</v>
      </c>
      <c r="N266" s="2" t="str">
        <f t="shared" si="28"/>
        <v>Wednesday</v>
      </c>
      <c r="O266" t="str">
        <f t="shared" si="29"/>
        <v>Clear</v>
      </c>
    </row>
    <row r="267" spans="1:15" x14ac:dyDescent="0.25">
      <c r="A267" s="8">
        <v>265</v>
      </c>
      <c r="B267" s="9">
        <v>40555</v>
      </c>
      <c r="C267" s="6">
        <v>1</v>
      </c>
      <c r="D267" s="6" t="str">
        <f t="shared" si="24"/>
        <v>2011</v>
      </c>
      <c r="E267" s="6">
        <v>1</v>
      </c>
      <c r="F267" s="6">
        <v>11</v>
      </c>
      <c r="G267" s="6" t="b">
        <v>0</v>
      </c>
      <c r="H267" s="6">
        <v>3</v>
      </c>
      <c r="I267" s="6">
        <v>1</v>
      </c>
      <c r="J267" s="7">
        <v>0.2</v>
      </c>
      <c r="K267" s="6" t="str">
        <f t="shared" si="25"/>
        <v>Wednesday</v>
      </c>
      <c r="L267" s="2" t="str">
        <f t="shared" si="26"/>
        <v>January</v>
      </c>
      <c r="M267" s="2" t="str">
        <f t="shared" si="27"/>
        <v>Spring</v>
      </c>
      <c r="N267" s="2" t="str">
        <f t="shared" si="28"/>
        <v>Wednesday</v>
      </c>
      <c r="O267" t="str">
        <f t="shared" si="29"/>
        <v>Clear</v>
      </c>
    </row>
    <row r="268" spans="1:15" x14ac:dyDescent="0.25">
      <c r="A268" s="8">
        <v>266</v>
      </c>
      <c r="B268" s="9">
        <v>40555</v>
      </c>
      <c r="C268" s="6">
        <v>1</v>
      </c>
      <c r="D268" s="6" t="str">
        <f t="shared" si="24"/>
        <v>2011</v>
      </c>
      <c r="E268" s="6">
        <v>1</v>
      </c>
      <c r="F268" s="6">
        <v>12</v>
      </c>
      <c r="G268" s="6" t="b">
        <v>0</v>
      </c>
      <c r="H268" s="6">
        <v>3</v>
      </c>
      <c r="I268" s="6">
        <v>1</v>
      </c>
      <c r="J268" s="7">
        <v>0.2</v>
      </c>
      <c r="K268" s="6" t="str">
        <f t="shared" si="25"/>
        <v>Wednesday</v>
      </c>
      <c r="L268" s="2" t="str">
        <f t="shared" si="26"/>
        <v>January</v>
      </c>
      <c r="M268" s="2" t="str">
        <f t="shared" si="27"/>
        <v>Spring</v>
      </c>
      <c r="N268" s="2" t="str">
        <f t="shared" si="28"/>
        <v>Wednesday</v>
      </c>
      <c r="O268" t="str">
        <f t="shared" si="29"/>
        <v>Clear</v>
      </c>
    </row>
    <row r="269" spans="1:15" x14ac:dyDescent="0.25">
      <c r="A269" s="8">
        <v>267</v>
      </c>
      <c r="B269" s="9">
        <v>40555</v>
      </c>
      <c r="C269" s="6">
        <v>1</v>
      </c>
      <c r="D269" s="6" t="str">
        <f t="shared" si="24"/>
        <v>2011</v>
      </c>
      <c r="E269" s="6">
        <v>1</v>
      </c>
      <c r="F269" s="6">
        <v>13</v>
      </c>
      <c r="G269" s="6" t="b">
        <v>0</v>
      </c>
      <c r="H269" s="6">
        <v>3</v>
      </c>
      <c r="I269" s="6">
        <v>1</v>
      </c>
      <c r="J269" s="7">
        <v>0.22</v>
      </c>
      <c r="K269" s="6" t="str">
        <f t="shared" si="25"/>
        <v>Wednesday</v>
      </c>
      <c r="L269" s="2" t="str">
        <f t="shared" si="26"/>
        <v>January</v>
      </c>
      <c r="M269" s="2" t="str">
        <f t="shared" si="27"/>
        <v>Spring</v>
      </c>
      <c r="N269" s="2" t="str">
        <f t="shared" si="28"/>
        <v>Wednesday</v>
      </c>
      <c r="O269" t="str">
        <f t="shared" si="29"/>
        <v>Clear</v>
      </c>
    </row>
    <row r="270" spans="1:15" x14ac:dyDescent="0.25">
      <c r="A270" s="8">
        <v>268</v>
      </c>
      <c r="B270" s="9">
        <v>40555</v>
      </c>
      <c r="C270" s="6">
        <v>1</v>
      </c>
      <c r="D270" s="6" t="str">
        <f t="shared" si="24"/>
        <v>2011</v>
      </c>
      <c r="E270" s="6">
        <v>1</v>
      </c>
      <c r="F270" s="6">
        <v>14</v>
      </c>
      <c r="G270" s="6" t="b">
        <v>0</v>
      </c>
      <c r="H270" s="6">
        <v>3</v>
      </c>
      <c r="I270" s="6">
        <v>1</v>
      </c>
      <c r="J270" s="7">
        <v>0.2</v>
      </c>
      <c r="K270" s="6" t="str">
        <f t="shared" si="25"/>
        <v>Wednesday</v>
      </c>
      <c r="L270" s="2" t="str">
        <f t="shared" si="26"/>
        <v>January</v>
      </c>
      <c r="M270" s="2" t="str">
        <f t="shared" si="27"/>
        <v>Spring</v>
      </c>
      <c r="N270" s="2" t="str">
        <f t="shared" si="28"/>
        <v>Wednesday</v>
      </c>
      <c r="O270" t="str">
        <f t="shared" si="29"/>
        <v>Clear</v>
      </c>
    </row>
    <row r="271" spans="1:15" x14ac:dyDescent="0.25">
      <c r="A271" s="8">
        <v>269</v>
      </c>
      <c r="B271" s="9">
        <v>40555</v>
      </c>
      <c r="C271" s="6">
        <v>1</v>
      </c>
      <c r="D271" s="6" t="str">
        <f t="shared" si="24"/>
        <v>2011</v>
      </c>
      <c r="E271" s="6">
        <v>1</v>
      </c>
      <c r="F271" s="6">
        <v>15</v>
      </c>
      <c r="G271" s="6" t="b">
        <v>0</v>
      </c>
      <c r="H271" s="6">
        <v>3</v>
      </c>
      <c r="I271" s="6">
        <v>1</v>
      </c>
      <c r="J271" s="7">
        <v>0.2</v>
      </c>
      <c r="K271" s="6" t="str">
        <f t="shared" si="25"/>
        <v>Wednesday</v>
      </c>
      <c r="L271" s="2" t="str">
        <f t="shared" si="26"/>
        <v>January</v>
      </c>
      <c r="M271" s="2" t="str">
        <f t="shared" si="27"/>
        <v>Spring</v>
      </c>
      <c r="N271" s="2" t="str">
        <f t="shared" si="28"/>
        <v>Wednesday</v>
      </c>
      <c r="O271" t="str">
        <f t="shared" si="29"/>
        <v>Clear</v>
      </c>
    </row>
    <row r="272" spans="1:15" x14ac:dyDescent="0.25">
      <c r="A272" s="8">
        <v>270</v>
      </c>
      <c r="B272" s="9">
        <v>40555</v>
      </c>
      <c r="C272" s="6">
        <v>1</v>
      </c>
      <c r="D272" s="6" t="str">
        <f t="shared" si="24"/>
        <v>2011</v>
      </c>
      <c r="E272" s="6">
        <v>1</v>
      </c>
      <c r="F272" s="6">
        <v>16</v>
      </c>
      <c r="G272" s="6" t="b">
        <v>0</v>
      </c>
      <c r="H272" s="6">
        <v>3</v>
      </c>
      <c r="I272" s="6">
        <v>1</v>
      </c>
      <c r="J272" s="7">
        <v>0.22</v>
      </c>
      <c r="K272" s="6" t="str">
        <f t="shared" si="25"/>
        <v>Wednesday</v>
      </c>
      <c r="L272" s="2" t="str">
        <f t="shared" si="26"/>
        <v>January</v>
      </c>
      <c r="M272" s="2" t="str">
        <f t="shared" si="27"/>
        <v>Spring</v>
      </c>
      <c r="N272" s="2" t="str">
        <f t="shared" si="28"/>
        <v>Wednesday</v>
      </c>
      <c r="O272" t="str">
        <f t="shared" si="29"/>
        <v>Clear</v>
      </c>
    </row>
    <row r="273" spans="1:15" x14ac:dyDescent="0.25">
      <c r="A273" s="8">
        <v>271</v>
      </c>
      <c r="B273" s="9">
        <v>40555</v>
      </c>
      <c r="C273" s="6">
        <v>1</v>
      </c>
      <c r="D273" s="6" t="str">
        <f t="shared" si="24"/>
        <v>2011</v>
      </c>
      <c r="E273" s="6">
        <v>1</v>
      </c>
      <c r="F273" s="6">
        <v>17</v>
      </c>
      <c r="G273" s="6" t="b">
        <v>0</v>
      </c>
      <c r="H273" s="6">
        <v>3</v>
      </c>
      <c r="I273" s="6">
        <v>1</v>
      </c>
      <c r="J273" s="7">
        <v>0.2</v>
      </c>
      <c r="K273" s="6" t="str">
        <f t="shared" si="25"/>
        <v>Wednesday</v>
      </c>
      <c r="L273" s="2" t="str">
        <f t="shared" si="26"/>
        <v>January</v>
      </c>
      <c r="M273" s="2" t="str">
        <f t="shared" si="27"/>
        <v>Spring</v>
      </c>
      <c r="N273" s="2" t="str">
        <f t="shared" si="28"/>
        <v>Wednesday</v>
      </c>
      <c r="O273" t="str">
        <f t="shared" si="29"/>
        <v>Clear</v>
      </c>
    </row>
    <row r="274" spans="1:15" x14ac:dyDescent="0.25">
      <c r="A274" s="8">
        <v>272</v>
      </c>
      <c r="B274" s="9">
        <v>40555</v>
      </c>
      <c r="C274" s="6">
        <v>1</v>
      </c>
      <c r="D274" s="6" t="str">
        <f t="shared" si="24"/>
        <v>2011</v>
      </c>
      <c r="E274" s="6">
        <v>1</v>
      </c>
      <c r="F274" s="6">
        <v>18</v>
      </c>
      <c r="G274" s="6" t="b">
        <v>0</v>
      </c>
      <c r="H274" s="6">
        <v>3</v>
      </c>
      <c r="I274" s="6">
        <v>1</v>
      </c>
      <c r="J274" s="7">
        <v>0.2</v>
      </c>
      <c r="K274" s="6" t="str">
        <f t="shared" si="25"/>
        <v>Wednesday</v>
      </c>
      <c r="L274" s="2" t="str">
        <f t="shared" si="26"/>
        <v>January</v>
      </c>
      <c r="M274" s="2" t="str">
        <f t="shared" si="27"/>
        <v>Spring</v>
      </c>
      <c r="N274" s="2" t="str">
        <f t="shared" si="28"/>
        <v>Wednesday</v>
      </c>
      <c r="O274" t="str">
        <f t="shared" si="29"/>
        <v>Clear</v>
      </c>
    </row>
    <row r="275" spans="1:15" x14ac:dyDescent="0.25">
      <c r="A275" s="8">
        <v>273</v>
      </c>
      <c r="B275" s="9">
        <v>40555</v>
      </c>
      <c r="C275" s="6">
        <v>1</v>
      </c>
      <c r="D275" s="6" t="str">
        <f t="shared" si="24"/>
        <v>2011</v>
      </c>
      <c r="E275" s="6">
        <v>1</v>
      </c>
      <c r="F275" s="6">
        <v>19</v>
      </c>
      <c r="G275" s="6" t="b">
        <v>0</v>
      </c>
      <c r="H275" s="6">
        <v>3</v>
      </c>
      <c r="I275" s="6">
        <v>1</v>
      </c>
      <c r="J275" s="7">
        <v>0.18</v>
      </c>
      <c r="K275" s="6" t="str">
        <f t="shared" si="25"/>
        <v>Wednesday</v>
      </c>
      <c r="L275" s="2" t="str">
        <f t="shared" si="26"/>
        <v>January</v>
      </c>
      <c r="M275" s="2" t="str">
        <f t="shared" si="27"/>
        <v>Spring</v>
      </c>
      <c r="N275" s="2" t="str">
        <f t="shared" si="28"/>
        <v>Wednesday</v>
      </c>
      <c r="O275" t="str">
        <f t="shared" si="29"/>
        <v>Clear</v>
      </c>
    </row>
    <row r="276" spans="1:15" x14ac:dyDescent="0.25">
      <c r="A276" s="8">
        <v>274</v>
      </c>
      <c r="B276" s="9">
        <v>40555</v>
      </c>
      <c r="C276" s="6">
        <v>1</v>
      </c>
      <c r="D276" s="6" t="str">
        <f t="shared" si="24"/>
        <v>2011</v>
      </c>
      <c r="E276" s="6">
        <v>1</v>
      </c>
      <c r="F276" s="6">
        <v>20</v>
      </c>
      <c r="G276" s="6" t="b">
        <v>0</v>
      </c>
      <c r="H276" s="6">
        <v>3</v>
      </c>
      <c r="I276" s="6">
        <v>1</v>
      </c>
      <c r="J276" s="7">
        <v>0.16</v>
      </c>
      <c r="K276" s="6" t="str">
        <f t="shared" si="25"/>
        <v>Wednesday</v>
      </c>
      <c r="L276" s="2" t="str">
        <f t="shared" si="26"/>
        <v>January</v>
      </c>
      <c r="M276" s="2" t="str">
        <f t="shared" si="27"/>
        <v>Spring</v>
      </c>
      <c r="N276" s="2" t="str">
        <f t="shared" si="28"/>
        <v>Wednesday</v>
      </c>
      <c r="O276" t="str">
        <f t="shared" si="29"/>
        <v>Clear</v>
      </c>
    </row>
    <row r="277" spans="1:15" x14ac:dyDescent="0.25">
      <c r="A277" s="8">
        <v>275</v>
      </c>
      <c r="B277" s="9">
        <v>40555</v>
      </c>
      <c r="C277" s="6">
        <v>1</v>
      </c>
      <c r="D277" s="6" t="str">
        <f t="shared" si="24"/>
        <v>2011</v>
      </c>
      <c r="E277" s="6">
        <v>1</v>
      </c>
      <c r="F277" s="6">
        <v>21</v>
      </c>
      <c r="G277" s="6" t="b">
        <v>0</v>
      </c>
      <c r="H277" s="6">
        <v>3</v>
      </c>
      <c r="I277" s="6">
        <v>1</v>
      </c>
      <c r="J277" s="7">
        <v>0.16</v>
      </c>
      <c r="K277" s="6" t="str">
        <f t="shared" si="25"/>
        <v>Wednesday</v>
      </c>
      <c r="L277" s="2" t="str">
        <f t="shared" si="26"/>
        <v>January</v>
      </c>
      <c r="M277" s="2" t="str">
        <f t="shared" si="27"/>
        <v>Spring</v>
      </c>
      <c r="N277" s="2" t="str">
        <f t="shared" si="28"/>
        <v>Wednesday</v>
      </c>
      <c r="O277" t="str">
        <f t="shared" si="29"/>
        <v>Clear</v>
      </c>
    </row>
    <row r="278" spans="1:15" x14ac:dyDescent="0.25">
      <c r="A278" s="8">
        <v>276</v>
      </c>
      <c r="B278" s="9">
        <v>40555</v>
      </c>
      <c r="C278" s="6">
        <v>1</v>
      </c>
      <c r="D278" s="6" t="str">
        <f t="shared" si="24"/>
        <v>2011</v>
      </c>
      <c r="E278" s="6">
        <v>1</v>
      </c>
      <c r="F278" s="6">
        <v>22</v>
      </c>
      <c r="G278" s="6" t="b">
        <v>0</v>
      </c>
      <c r="H278" s="6">
        <v>3</v>
      </c>
      <c r="I278" s="6">
        <v>1</v>
      </c>
      <c r="J278" s="7">
        <v>0.16</v>
      </c>
      <c r="K278" s="6" t="str">
        <f t="shared" si="25"/>
        <v>Wednesday</v>
      </c>
      <c r="L278" s="2" t="str">
        <f t="shared" si="26"/>
        <v>January</v>
      </c>
      <c r="M278" s="2" t="str">
        <f t="shared" si="27"/>
        <v>Spring</v>
      </c>
      <c r="N278" s="2" t="str">
        <f t="shared" si="28"/>
        <v>Wednesday</v>
      </c>
      <c r="O278" t="str">
        <f t="shared" si="29"/>
        <v>Clear</v>
      </c>
    </row>
    <row r="279" spans="1:15" x14ac:dyDescent="0.25">
      <c r="A279" s="8">
        <v>277</v>
      </c>
      <c r="B279" s="9">
        <v>40555</v>
      </c>
      <c r="C279" s="6">
        <v>1</v>
      </c>
      <c r="D279" s="6" t="str">
        <f t="shared" si="24"/>
        <v>2011</v>
      </c>
      <c r="E279" s="6">
        <v>1</v>
      </c>
      <c r="F279" s="6">
        <v>23</v>
      </c>
      <c r="G279" s="6" t="b">
        <v>0</v>
      </c>
      <c r="H279" s="6">
        <v>3</v>
      </c>
      <c r="I279" s="6">
        <v>1</v>
      </c>
      <c r="J279" s="7">
        <v>0.14000000000000001</v>
      </c>
      <c r="K279" s="6" t="str">
        <f t="shared" si="25"/>
        <v>Wednesday</v>
      </c>
      <c r="L279" s="2" t="str">
        <f t="shared" si="26"/>
        <v>January</v>
      </c>
      <c r="M279" s="2" t="str">
        <f t="shared" si="27"/>
        <v>Spring</v>
      </c>
      <c r="N279" s="2" t="str">
        <f t="shared" si="28"/>
        <v>Wednesday</v>
      </c>
      <c r="O279" t="str">
        <f t="shared" si="29"/>
        <v>Clear</v>
      </c>
    </row>
    <row r="280" spans="1:15" x14ac:dyDescent="0.25">
      <c r="A280" s="8">
        <v>278</v>
      </c>
      <c r="B280" s="9">
        <v>40556</v>
      </c>
      <c r="C280" s="6">
        <v>1</v>
      </c>
      <c r="D280" s="6" t="str">
        <f t="shared" si="24"/>
        <v>2011</v>
      </c>
      <c r="E280" s="6">
        <v>1</v>
      </c>
      <c r="F280" s="6">
        <v>0</v>
      </c>
      <c r="G280" s="6" t="b">
        <v>0</v>
      </c>
      <c r="H280" s="6">
        <v>4</v>
      </c>
      <c r="I280" s="6">
        <v>1</v>
      </c>
      <c r="J280" s="7">
        <v>0.14000000000000001</v>
      </c>
      <c r="K280" s="6" t="str">
        <f t="shared" si="25"/>
        <v>Thursday</v>
      </c>
      <c r="L280" s="2" t="str">
        <f t="shared" si="26"/>
        <v>January</v>
      </c>
      <c r="M280" s="2" t="str">
        <f t="shared" si="27"/>
        <v>Spring</v>
      </c>
      <c r="N280" s="2" t="str">
        <f t="shared" si="28"/>
        <v>Thursday</v>
      </c>
      <c r="O280" t="str">
        <f t="shared" si="29"/>
        <v>Clear</v>
      </c>
    </row>
    <row r="281" spans="1:15" x14ac:dyDescent="0.25">
      <c r="A281" s="8">
        <v>279</v>
      </c>
      <c r="B281" s="9">
        <v>40556</v>
      </c>
      <c r="C281" s="6">
        <v>1</v>
      </c>
      <c r="D281" s="6" t="str">
        <f t="shared" si="24"/>
        <v>2011</v>
      </c>
      <c r="E281" s="6">
        <v>1</v>
      </c>
      <c r="F281" s="6">
        <v>1</v>
      </c>
      <c r="G281" s="6" t="b">
        <v>0</v>
      </c>
      <c r="H281" s="6">
        <v>4</v>
      </c>
      <c r="I281" s="6">
        <v>1</v>
      </c>
      <c r="J281" s="7">
        <v>0.14000000000000001</v>
      </c>
      <c r="K281" s="6" t="str">
        <f t="shared" si="25"/>
        <v>Thursday</v>
      </c>
      <c r="L281" s="2" t="str">
        <f t="shared" si="26"/>
        <v>January</v>
      </c>
      <c r="M281" s="2" t="str">
        <f t="shared" si="27"/>
        <v>Spring</v>
      </c>
      <c r="N281" s="2" t="str">
        <f t="shared" si="28"/>
        <v>Thursday</v>
      </c>
      <c r="O281" t="str">
        <f t="shared" si="29"/>
        <v>Clear</v>
      </c>
    </row>
    <row r="282" spans="1:15" x14ac:dyDescent="0.25">
      <c r="A282" s="8">
        <v>280</v>
      </c>
      <c r="B282" s="9">
        <v>40556</v>
      </c>
      <c r="C282" s="6">
        <v>1</v>
      </c>
      <c r="D282" s="6" t="str">
        <f t="shared" si="24"/>
        <v>2011</v>
      </c>
      <c r="E282" s="6">
        <v>1</v>
      </c>
      <c r="F282" s="6">
        <v>2</v>
      </c>
      <c r="G282" s="6" t="b">
        <v>0</v>
      </c>
      <c r="H282" s="6">
        <v>4</v>
      </c>
      <c r="I282" s="6">
        <v>1</v>
      </c>
      <c r="J282" s="7">
        <v>0.14000000000000001</v>
      </c>
      <c r="K282" s="6" t="str">
        <f t="shared" si="25"/>
        <v>Thursday</v>
      </c>
      <c r="L282" s="2" t="str">
        <f t="shared" si="26"/>
        <v>January</v>
      </c>
      <c r="M282" s="2" t="str">
        <f t="shared" si="27"/>
        <v>Spring</v>
      </c>
      <c r="N282" s="2" t="str">
        <f t="shared" si="28"/>
        <v>Thursday</v>
      </c>
      <c r="O282" t="str">
        <f t="shared" si="29"/>
        <v>Clear</v>
      </c>
    </row>
    <row r="283" spans="1:15" x14ac:dyDescent="0.25">
      <c r="A283" s="8">
        <v>281</v>
      </c>
      <c r="B283" s="9">
        <v>40556</v>
      </c>
      <c r="C283" s="6">
        <v>1</v>
      </c>
      <c r="D283" s="6" t="str">
        <f t="shared" si="24"/>
        <v>2011</v>
      </c>
      <c r="E283" s="6">
        <v>1</v>
      </c>
      <c r="F283" s="6">
        <v>3</v>
      </c>
      <c r="G283" s="6" t="b">
        <v>0</v>
      </c>
      <c r="H283" s="6">
        <v>4</v>
      </c>
      <c r="I283" s="6">
        <v>1</v>
      </c>
      <c r="J283" s="7">
        <v>0.14000000000000001</v>
      </c>
      <c r="K283" s="6" t="str">
        <f t="shared" si="25"/>
        <v>Thursday</v>
      </c>
      <c r="L283" s="2" t="str">
        <f t="shared" si="26"/>
        <v>January</v>
      </c>
      <c r="M283" s="2" t="str">
        <f t="shared" si="27"/>
        <v>Spring</v>
      </c>
      <c r="N283" s="2" t="str">
        <f t="shared" si="28"/>
        <v>Thursday</v>
      </c>
      <c r="O283" t="str">
        <f t="shared" si="29"/>
        <v>Clear</v>
      </c>
    </row>
    <row r="284" spans="1:15" x14ac:dyDescent="0.25">
      <c r="A284" s="8">
        <v>282</v>
      </c>
      <c r="B284" s="9">
        <v>40556</v>
      </c>
      <c r="C284" s="6">
        <v>1</v>
      </c>
      <c r="D284" s="6" t="str">
        <f t="shared" si="24"/>
        <v>2011</v>
      </c>
      <c r="E284" s="6">
        <v>1</v>
      </c>
      <c r="F284" s="6">
        <v>4</v>
      </c>
      <c r="G284" s="6" t="b">
        <v>0</v>
      </c>
      <c r="H284" s="6">
        <v>4</v>
      </c>
      <c r="I284" s="6">
        <v>1</v>
      </c>
      <c r="J284" s="7">
        <v>0.14000000000000001</v>
      </c>
      <c r="K284" s="6" t="str">
        <f t="shared" si="25"/>
        <v>Thursday</v>
      </c>
      <c r="L284" s="2" t="str">
        <f t="shared" si="26"/>
        <v>January</v>
      </c>
      <c r="M284" s="2" t="str">
        <f t="shared" si="27"/>
        <v>Spring</v>
      </c>
      <c r="N284" s="2" t="str">
        <f t="shared" si="28"/>
        <v>Thursday</v>
      </c>
      <c r="O284" t="str">
        <f t="shared" si="29"/>
        <v>Clear</v>
      </c>
    </row>
    <row r="285" spans="1:15" x14ac:dyDescent="0.25">
      <c r="A285" s="8">
        <v>283</v>
      </c>
      <c r="B285" s="9">
        <v>40556</v>
      </c>
      <c r="C285" s="6">
        <v>1</v>
      </c>
      <c r="D285" s="6" t="str">
        <f t="shared" si="24"/>
        <v>2011</v>
      </c>
      <c r="E285" s="6">
        <v>1</v>
      </c>
      <c r="F285" s="6">
        <v>5</v>
      </c>
      <c r="G285" s="6" t="b">
        <v>0</v>
      </c>
      <c r="H285" s="6">
        <v>4</v>
      </c>
      <c r="I285" s="6">
        <v>1</v>
      </c>
      <c r="J285" s="7">
        <v>0.14000000000000001</v>
      </c>
      <c r="K285" s="6" t="str">
        <f t="shared" si="25"/>
        <v>Thursday</v>
      </c>
      <c r="L285" s="2" t="str">
        <f t="shared" si="26"/>
        <v>January</v>
      </c>
      <c r="M285" s="2" t="str">
        <f t="shared" si="27"/>
        <v>Spring</v>
      </c>
      <c r="N285" s="2" t="str">
        <f t="shared" si="28"/>
        <v>Thursday</v>
      </c>
      <c r="O285" t="str">
        <f t="shared" si="29"/>
        <v>Clear</v>
      </c>
    </row>
    <row r="286" spans="1:15" x14ac:dyDescent="0.25">
      <c r="A286" s="8">
        <v>284</v>
      </c>
      <c r="B286" s="9">
        <v>40556</v>
      </c>
      <c r="C286" s="6">
        <v>1</v>
      </c>
      <c r="D286" s="6" t="str">
        <f t="shared" si="24"/>
        <v>2011</v>
      </c>
      <c r="E286" s="6">
        <v>1</v>
      </c>
      <c r="F286" s="6">
        <v>6</v>
      </c>
      <c r="G286" s="6" t="b">
        <v>0</v>
      </c>
      <c r="H286" s="6">
        <v>4</v>
      </c>
      <c r="I286" s="6">
        <v>1</v>
      </c>
      <c r="J286" s="7">
        <v>0.12</v>
      </c>
      <c r="K286" s="6" t="str">
        <f t="shared" si="25"/>
        <v>Thursday</v>
      </c>
      <c r="L286" s="2" t="str">
        <f t="shared" si="26"/>
        <v>January</v>
      </c>
      <c r="M286" s="2" t="str">
        <f t="shared" si="27"/>
        <v>Spring</v>
      </c>
      <c r="N286" s="2" t="str">
        <f t="shared" si="28"/>
        <v>Thursday</v>
      </c>
      <c r="O286" t="str">
        <f t="shared" si="29"/>
        <v>Clear</v>
      </c>
    </row>
    <row r="287" spans="1:15" x14ac:dyDescent="0.25">
      <c r="A287" s="8">
        <v>285</v>
      </c>
      <c r="B287" s="9">
        <v>40556</v>
      </c>
      <c r="C287" s="6">
        <v>1</v>
      </c>
      <c r="D287" s="6" t="str">
        <f t="shared" si="24"/>
        <v>2011</v>
      </c>
      <c r="E287" s="6">
        <v>1</v>
      </c>
      <c r="F287" s="6">
        <v>7</v>
      </c>
      <c r="G287" s="6" t="b">
        <v>0</v>
      </c>
      <c r="H287" s="6">
        <v>4</v>
      </c>
      <c r="I287" s="6">
        <v>1</v>
      </c>
      <c r="J287" s="7">
        <v>0.12</v>
      </c>
      <c r="K287" s="6" t="str">
        <f t="shared" si="25"/>
        <v>Thursday</v>
      </c>
      <c r="L287" s="2" t="str">
        <f t="shared" si="26"/>
        <v>January</v>
      </c>
      <c r="M287" s="2" t="str">
        <f t="shared" si="27"/>
        <v>Spring</v>
      </c>
      <c r="N287" s="2" t="str">
        <f t="shared" si="28"/>
        <v>Thursday</v>
      </c>
      <c r="O287" t="str">
        <f t="shared" si="29"/>
        <v>Clear</v>
      </c>
    </row>
    <row r="288" spans="1:15" x14ac:dyDescent="0.25">
      <c r="A288" s="8">
        <v>286</v>
      </c>
      <c r="B288" s="9">
        <v>40556</v>
      </c>
      <c r="C288" s="6">
        <v>1</v>
      </c>
      <c r="D288" s="6" t="str">
        <f t="shared" si="24"/>
        <v>2011</v>
      </c>
      <c r="E288" s="6">
        <v>1</v>
      </c>
      <c r="F288" s="6">
        <v>8</v>
      </c>
      <c r="G288" s="6" t="b">
        <v>0</v>
      </c>
      <c r="H288" s="6">
        <v>4</v>
      </c>
      <c r="I288" s="6">
        <v>1</v>
      </c>
      <c r="J288" s="7">
        <v>0.14000000000000001</v>
      </c>
      <c r="K288" s="6" t="str">
        <f t="shared" si="25"/>
        <v>Thursday</v>
      </c>
      <c r="L288" s="2" t="str">
        <f t="shared" si="26"/>
        <v>January</v>
      </c>
      <c r="M288" s="2" t="str">
        <f t="shared" si="27"/>
        <v>Spring</v>
      </c>
      <c r="N288" s="2" t="str">
        <f t="shared" si="28"/>
        <v>Thursday</v>
      </c>
      <c r="O288" t="str">
        <f t="shared" si="29"/>
        <v>Clear</v>
      </c>
    </row>
    <row r="289" spans="1:15" x14ac:dyDescent="0.25">
      <c r="A289" s="8">
        <v>287</v>
      </c>
      <c r="B289" s="9">
        <v>40556</v>
      </c>
      <c r="C289" s="6">
        <v>1</v>
      </c>
      <c r="D289" s="6" t="str">
        <f t="shared" si="24"/>
        <v>2011</v>
      </c>
      <c r="E289" s="6">
        <v>1</v>
      </c>
      <c r="F289" s="6">
        <v>9</v>
      </c>
      <c r="G289" s="6" t="b">
        <v>0</v>
      </c>
      <c r="H289" s="6">
        <v>4</v>
      </c>
      <c r="I289" s="6">
        <v>1</v>
      </c>
      <c r="J289" s="7">
        <v>0.14000000000000001</v>
      </c>
      <c r="K289" s="6" t="str">
        <f t="shared" si="25"/>
        <v>Thursday</v>
      </c>
      <c r="L289" s="2" t="str">
        <f t="shared" si="26"/>
        <v>January</v>
      </c>
      <c r="M289" s="2" t="str">
        <f t="shared" si="27"/>
        <v>Spring</v>
      </c>
      <c r="N289" s="2" t="str">
        <f t="shared" si="28"/>
        <v>Thursday</v>
      </c>
      <c r="O289" t="str">
        <f t="shared" si="29"/>
        <v>Clear</v>
      </c>
    </row>
    <row r="290" spans="1:15" x14ac:dyDescent="0.25">
      <c r="A290" s="8">
        <v>288</v>
      </c>
      <c r="B290" s="9">
        <v>40556</v>
      </c>
      <c r="C290" s="6">
        <v>1</v>
      </c>
      <c r="D290" s="6" t="str">
        <f t="shared" si="24"/>
        <v>2011</v>
      </c>
      <c r="E290" s="6">
        <v>1</v>
      </c>
      <c r="F290" s="6">
        <v>10</v>
      </c>
      <c r="G290" s="6" t="b">
        <v>0</v>
      </c>
      <c r="H290" s="6">
        <v>4</v>
      </c>
      <c r="I290" s="6">
        <v>2</v>
      </c>
      <c r="J290" s="7">
        <v>0.16</v>
      </c>
      <c r="K290" s="6" t="str">
        <f t="shared" si="25"/>
        <v>Thursday</v>
      </c>
      <c r="L290" s="2" t="str">
        <f t="shared" si="26"/>
        <v>January</v>
      </c>
      <c r="M290" s="2" t="str">
        <f t="shared" si="27"/>
        <v>Spring</v>
      </c>
      <c r="N290" s="2" t="str">
        <f t="shared" si="28"/>
        <v>Thursday</v>
      </c>
      <c r="O290" t="str">
        <f t="shared" si="29"/>
        <v>Cloudy</v>
      </c>
    </row>
    <row r="291" spans="1:15" x14ac:dyDescent="0.25">
      <c r="A291" s="8">
        <v>289</v>
      </c>
      <c r="B291" s="9">
        <v>40556</v>
      </c>
      <c r="C291" s="6">
        <v>1</v>
      </c>
      <c r="D291" s="6" t="str">
        <f t="shared" si="24"/>
        <v>2011</v>
      </c>
      <c r="E291" s="6">
        <v>1</v>
      </c>
      <c r="F291" s="6">
        <v>11</v>
      </c>
      <c r="G291" s="6" t="b">
        <v>0</v>
      </c>
      <c r="H291" s="6">
        <v>4</v>
      </c>
      <c r="I291" s="6">
        <v>2</v>
      </c>
      <c r="J291" s="7">
        <v>0.2</v>
      </c>
      <c r="K291" s="6" t="str">
        <f t="shared" si="25"/>
        <v>Thursday</v>
      </c>
      <c r="L291" s="2" t="str">
        <f t="shared" si="26"/>
        <v>January</v>
      </c>
      <c r="M291" s="2" t="str">
        <f t="shared" si="27"/>
        <v>Spring</v>
      </c>
      <c r="N291" s="2" t="str">
        <f t="shared" si="28"/>
        <v>Thursday</v>
      </c>
      <c r="O291" t="str">
        <f t="shared" si="29"/>
        <v>Cloudy</v>
      </c>
    </row>
    <row r="292" spans="1:15" x14ac:dyDescent="0.25">
      <c r="A292" s="8">
        <v>290</v>
      </c>
      <c r="B292" s="9">
        <v>40556</v>
      </c>
      <c r="C292" s="6">
        <v>1</v>
      </c>
      <c r="D292" s="6" t="str">
        <f t="shared" si="24"/>
        <v>2011</v>
      </c>
      <c r="E292" s="6">
        <v>1</v>
      </c>
      <c r="F292" s="6">
        <v>12</v>
      </c>
      <c r="G292" s="6" t="b">
        <v>0</v>
      </c>
      <c r="H292" s="6">
        <v>4</v>
      </c>
      <c r="I292" s="6">
        <v>1</v>
      </c>
      <c r="J292" s="7">
        <v>0.2</v>
      </c>
      <c r="K292" s="6" t="str">
        <f t="shared" si="25"/>
        <v>Thursday</v>
      </c>
      <c r="L292" s="2" t="str">
        <f t="shared" si="26"/>
        <v>January</v>
      </c>
      <c r="M292" s="2" t="str">
        <f t="shared" si="27"/>
        <v>Spring</v>
      </c>
      <c r="N292" s="2" t="str">
        <f t="shared" si="28"/>
        <v>Thursday</v>
      </c>
      <c r="O292" t="str">
        <f t="shared" si="29"/>
        <v>Clear</v>
      </c>
    </row>
    <row r="293" spans="1:15" x14ac:dyDescent="0.25">
      <c r="A293" s="8">
        <v>291</v>
      </c>
      <c r="B293" s="9">
        <v>40556</v>
      </c>
      <c r="C293" s="6">
        <v>1</v>
      </c>
      <c r="D293" s="6" t="str">
        <f t="shared" si="24"/>
        <v>2011</v>
      </c>
      <c r="E293" s="6">
        <v>1</v>
      </c>
      <c r="F293" s="6">
        <v>13</v>
      </c>
      <c r="G293" s="6" t="b">
        <v>0</v>
      </c>
      <c r="H293" s="6">
        <v>4</v>
      </c>
      <c r="I293" s="6">
        <v>1</v>
      </c>
      <c r="J293" s="7">
        <v>0.22</v>
      </c>
      <c r="K293" s="6" t="str">
        <f t="shared" si="25"/>
        <v>Thursday</v>
      </c>
      <c r="L293" s="2" t="str">
        <f t="shared" si="26"/>
        <v>January</v>
      </c>
      <c r="M293" s="2" t="str">
        <f t="shared" si="27"/>
        <v>Spring</v>
      </c>
      <c r="N293" s="2" t="str">
        <f t="shared" si="28"/>
        <v>Thursday</v>
      </c>
      <c r="O293" t="str">
        <f t="shared" si="29"/>
        <v>Clear</v>
      </c>
    </row>
    <row r="294" spans="1:15" x14ac:dyDescent="0.25">
      <c r="A294" s="8">
        <v>292</v>
      </c>
      <c r="B294" s="9">
        <v>40556</v>
      </c>
      <c r="C294" s="6">
        <v>1</v>
      </c>
      <c r="D294" s="6" t="str">
        <f t="shared" si="24"/>
        <v>2011</v>
      </c>
      <c r="E294" s="6">
        <v>1</v>
      </c>
      <c r="F294" s="6">
        <v>14</v>
      </c>
      <c r="G294" s="6" t="b">
        <v>0</v>
      </c>
      <c r="H294" s="6">
        <v>4</v>
      </c>
      <c r="I294" s="6">
        <v>1</v>
      </c>
      <c r="J294" s="7">
        <v>0.22</v>
      </c>
      <c r="K294" s="6" t="str">
        <f t="shared" si="25"/>
        <v>Thursday</v>
      </c>
      <c r="L294" s="2" t="str">
        <f t="shared" si="26"/>
        <v>January</v>
      </c>
      <c r="M294" s="2" t="str">
        <f t="shared" si="27"/>
        <v>Spring</v>
      </c>
      <c r="N294" s="2" t="str">
        <f t="shared" si="28"/>
        <v>Thursday</v>
      </c>
      <c r="O294" t="str">
        <f t="shared" si="29"/>
        <v>Clear</v>
      </c>
    </row>
    <row r="295" spans="1:15" x14ac:dyDescent="0.25">
      <c r="A295" s="8">
        <v>293</v>
      </c>
      <c r="B295" s="9">
        <v>40556</v>
      </c>
      <c r="C295" s="6">
        <v>1</v>
      </c>
      <c r="D295" s="6" t="str">
        <f t="shared" si="24"/>
        <v>2011</v>
      </c>
      <c r="E295" s="6">
        <v>1</v>
      </c>
      <c r="F295" s="6">
        <v>15</v>
      </c>
      <c r="G295" s="6" t="b">
        <v>0</v>
      </c>
      <c r="H295" s="6">
        <v>4</v>
      </c>
      <c r="I295" s="6">
        <v>1</v>
      </c>
      <c r="J295" s="7">
        <v>0.24</v>
      </c>
      <c r="K295" s="6" t="str">
        <f t="shared" si="25"/>
        <v>Thursday</v>
      </c>
      <c r="L295" s="2" t="str">
        <f t="shared" si="26"/>
        <v>January</v>
      </c>
      <c r="M295" s="2" t="str">
        <f t="shared" si="27"/>
        <v>Spring</v>
      </c>
      <c r="N295" s="2" t="str">
        <f t="shared" si="28"/>
        <v>Thursday</v>
      </c>
      <c r="O295" t="str">
        <f t="shared" si="29"/>
        <v>Clear</v>
      </c>
    </row>
    <row r="296" spans="1:15" x14ac:dyDescent="0.25">
      <c r="A296" s="8">
        <v>294</v>
      </c>
      <c r="B296" s="9">
        <v>40556</v>
      </c>
      <c r="C296" s="6">
        <v>1</v>
      </c>
      <c r="D296" s="6" t="str">
        <f t="shared" si="24"/>
        <v>2011</v>
      </c>
      <c r="E296" s="6">
        <v>1</v>
      </c>
      <c r="F296" s="6">
        <v>16</v>
      </c>
      <c r="G296" s="6" t="b">
        <v>0</v>
      </c>
      <c r="H296" s="6">
        <v>4</v>
      </c>
      <c r="I296" s="6">
        <v>1</v>
      </c>
      <c r="J296" s="7">
        <v>0.24</v>
      </c>
      <c r="K296" s="6" t="str">
        <f t="shared" si="25"/>
        <v>Thursday</v>
      </c>
      <c r="L296" s="2" t="str">
        <f t="shared" si="26"/>
        <v>January</v>
      </c>
      <c r="M296" s="2" t="str">
        <f t="shared" si="27"/>
        <v>Spring</v>
      </c>
      <c r="N296" s="2" t="str">
        <f t="shared" si="28"/>
        <v>Thursday</v>
      </c>
      <c r="O296" t="str">
        <f t="shared" si="29"/>
        <v>Clear</v>
      </c>
    </row>
    <row r="297" spans="1:15" x14ac:dyDescent="0.25">
      <c r="A297" s="8">
        <v>295</v>
      </c>
      <c r="B297" s="9">
        <v>40556</v>
      </c>
      <c r="C297" s="6">
        <v>1</v>
      </c>
      <c r="D297" s="6" t="str">
        <f t="shared" si="24"/>
        <v>2011</v>
      </c>
      <c r="E297" s="6">
        <v>1</v>
      </c>
      <c r="F297" s="6">
        <v>17</v>
      </c>
      <c r="G297" s="6" t="b">
        <v>0</v>
      </c>
      <c r="H297" s="6">
        <v>4</v>
      </c>
      <c r="I297" s="6">
        <v>1</v>
      </c>
      <c r="J297" s="7">
        <v>0.2</v>
      </c>
      <c r="K297" s="6" t="str">
        <f t="shared" si="25"/>
        <v>Thursday</v>
      </c>
      <c r="L297" s="2" t="str">
        <f t="shared" si="26"/>
        <v>January</v>
      </c>
      <c r="M297" s="2" t="str">
        <f t="shared" si="27"/>
        <v>Spring</v>
      </c>
      <c r="N297" s="2" t="str">
        <f t="shared" si="28"/>
        <v>Thursday</v>
      </c>
      <c r="O297" t="str">
        <f t="shared" si="29"/>
        <v>Clear</v>
      </c>
    </row>
    <row r="298" spans="1:15" x14ac:dyDescent="0.25">
      <c r="A298" s="8">
        <v>296</v>
      </c>
      <c r="B298" s="9">
        <v>40556</v>
      </c>
      <c r="C298" s="6">
        <v>1</v>
      </c>
      <c r="D298" s="6" t="str">
        <f t="shared" si="24"/>
        <v>2011</v>
      </c>
      <c r="E298" s="6">
        <v>1</v>
      </c>
      <c r="F298" s="6">
        <v>18</v>
      </c>
      <c r="G298" s="6" t="b">
        <v>0</v>
      </c>
      <c r="H298" s="6">
        <v>4</v>
      </c>
      <c r="I298" s="6">
        <v>1</v>
      </c>
      <c r="J298" s="7">
        <v>0.2</v>
      </c>
      <c r="K298" s="6" t="str">
        <f t="shared" si="25"/>
        <v>Thursday</v>
      </c>
      <c r="L298" s="2" t="str">
        <f t="shared" si="26"/>
        <v>January</v>
      </c>
      <c r="M298" s="2" t="str">
        <f t="shared" si="27"/>
        <v>Spring</v>
      </c>
      <c r="N298" s="2" t="str">
        <f t="shared" si="28"/>
        <v>Thursday</v>
      </c>
      <c r="O298" t="str">
        <f t="shared" si="29"/>
        <v>Clear</v>
      </c>
    </row>
    <row r="299" spans="1:15" x14ac:dyDescent="0.25">
      <c r="A299" s="8">
        <v>297</v>
      </c>
      <c r="B299" s="9">
        <v>40556</v>
      </c>
      <c r="C299" s="6">
        <v>1</v>
      </c>
      <c r="D299" s="6" t="str">
        <f t="shared" si="24"/>
        <v>2011</v>
      </c>
      <c r="E299" s="6">
        <v>1</v>
      </c>
      <c r="F299" s="6">
        <v>19</v>
      </c>
      <c r="G299" s="6" t="b">
        <v>0</v>
      </c>
      <c r="H299" s="6">
        <v>4</v>
      </c>
      <c r="I299" s="6">
        <v>1</v>
      </c>
      <c r="J299" s="7">
        <v>0.16</v>
      </c>
      <c r="K299" s="6" t="str">
        <f t="shared" si="25"/>
        <v>Thursday</v>
      </c>
      <c r="L299" s="2" t="str">
        <f t="shared" si="26"/>
        <v>January</v>
      </c>
      <c r="M299" s="2" t="str">
        <f t="shared" si="27"/>
        <v>Spring</v>
      </c>
      <c r="N299" s="2" t="str">
        <f t="shared" si="28"/>
        <v>Thursday</v>
      </c>
      <c r="O299" t="str">
        <f t="shared" si="29"/>
        <v>Clear</v>
      </c>
    </row>
    <row r="300" spans="1:15" x14ac:dyDescent="0.25">
      <c r="A300" s="8">
        <v>298</v>
      </c>
      <c r="B300" s="9">
        <v>40556</v>
      </c>
      <c r="C300" s="6">
        <v>1</v>
      </c>
      <c r="D300" s="6" t="str">
        <f t="shared" si="24"/>
        <v>2011</v>
      </c>
      <c r="E300" s="6">
        <v>1</v>
      </c>
      <c r="F300" s="6">
        <v>20</v>
      </c>
      <c r="G300" s="6" t="b">
        <v>0</v>
      </c>
      <c r="H300" s="6">
        <v>4</v>
      </c>
      <c r="I300" s="6">
        <v>1</v>
      </c>
      <c r="J300" s="7">
        <v>0.16</v>
      </c>
      <c r="K300" s="6" t="str">
        <f t="shared" si="25"/>
        <v>Thursday</v>
      </c>
      <c r="L300" s="2" t="str">
        <f t="shared" si="26"/>
        <v>January</v>
      </c>
      <c r="M300" s="2" t="str">
        <f t="shared" si="27"/>
        <v>Spring</v>
      </c>
      <c r="N300" s="2" t="str">
        <f t="shared" si="28"/>
        <v>Thursday</v>
      </c>
      <c r="O300" t="str">
        <f t="shared" si="29"/>
        <v>Clear</v>
      </c>
    </row>
    <row r="301" spans="1:15" x14ac:dyDescent="0.25">
      <c r="A301" s="8">
        <v>299</v>
      </c>
      <c r="B301" s="9">
        <v>40556</v>
      </c>
      <c r="C301" s="6">
        <v>1</v>
      </c>
      <c r="D301" s="6" t="str">
        <f t="shared" si="24"/>
        <v>2011</v>
      </c>
      <c r="E301" s="6">
        <v>1</v>
      </c>
      <c r="F301" s="6">
        <v>21</v>
      </c>
      <c r="G301" s="6" t="b">
        <v>0</v>
      </c>
      <c r="H301" s="6">
        <v>4</v>
      </c>
      <c r="I301" s="6">
        <v>1</v>
      </c>
      <c r="J301" s="7">
        <v>0.14000000000000001</v>
      </c>
      <c r="K301" s="6" t="str">
        <f t="shared" si="25"/>
        <v>Thursday</v>
      </c>
      <c r="L301" s="2" t="str">
        <f t="shared" si="26"/>
        <v>January</v>
      </c>
      <c r="M301" s="2" t="str">
        <f t="shared" si="27"/>
        <v>Spring</v>
      </c>
      <c r="N301" s="2" t="str">
        <f t="shared" si="28"/>
        <v>Thursday</v>
      </c>
      <c r="O301" t="str">
        <f t="shared" si="29"/>
        <v>Clear</v>
      </c>
    </row>
    <row r="302" spans="1:15" x14ac:dyDescent="0.25">
      <c r="A302" s="8">
        <v>300</v>
      </c>
      <c r="B302" s="9">
        <v>40556</v>
      </c>
      <c r="C302" s="6">
        <v>1</v>
      </c>
      <c r="D302" s="6" t="str">
        <f t="shared" si="24"/>
        <v>2011</v>
      </c>
      <c r="E302" s="6">
        <v>1</v>
      </c>
      <c r="F302" s="6">
        <v>22</v>
      </c>
      <c r="G302" s="6" t="b">
        <v>0</v>
      </c>
      <c r="H302" s="6">
        <v>4</v>
      </c>
      <c r="I302" s="6">
        <v>1</v>
      </c>
      <c r="J302" s="7">
        <v>0.14000000000000001</v>
      </c>
      <c r="K302" s="6" t="str">
        <f t="shared" si="25"/>
        <v>Thursday</v>
      </c>
      <c r="L302" s="2" t="str">
        <f t="shared" si="26"/>
        <v>January</v>
      </c>
      <c r="M302" s="2" t="str">
        <f t="shared" si="27"/>
        <v>Spring</v>
      </c>
      <c r="N302" s="2" t="str">
        <f t="shared" si="28"/>
        <v>Thursday</v>
      </c>
      <c r="O302" t="str">
        <f t="shared" si="29"/>
        <v>Clear</v>
      </c>
    </row>
    <row r="303" spans="1:15" x14ac:dyDescent="0.25">
      <c r="A303" s="8">
        <v>301</v>
      </c>
      <c r="B303" s="9">
        <v>40556</v>
      </c>
      <c r="C303" s="6">
        <v>1</v>
      </c>
      <c r="D303" s="6" t="str">
        <f t="shared" si="24"/>
        <v>2011</v>
      </c>
      <c r="E303" s="6">
        <v>1</v>
      </c>
      <c r="F303" s="6">
        <v>23</v>
      </c>
      <c r="G303" s="6" t="b">
        <v>0</v>
      </c>
      <c r="H303" s="6">
        <v>4</v>
      </c>
      <c r="I303" s="6">
        <v>1</v>
      </c>
      <c r="J303" s="7">
        <v>0.12</v>
      </c>
      <c r="K303" s="6" t="str">
        <f t="shared" si="25"/>
        <v>Thursday</v>
      </c>
      <c r="L303" s="2" t="str">
        <f t="shared" si="26"/>
        <v>January</v>
      </c>
      <c r="M303" s="2" t="str">
        <f t="shared" si="27"/>
        <v>Spring</v>
      </c>
      <c r="N303" s="2" t="str">
        <f t="shared" si="28"/>
        <v>Thursday</v>
      </c>
      <c r="O303" t="str">
        <f t="shared" si="29"/>
        <v>Clear</v>
      </c>
    </row>
    <row r="304" spans="1:15" x14ac:dyDescent="0.25">
      <c r="A304" s="8">
        <v>302</v>
      </c>
      <c r="B304" s="9">
        <v>40557</v>
      </c>
      <c r="C304" s="6">
        <v>1</v>
      </c>
      <c r="D304" s="6" t="str">
        <f t="shared" si="24"/>
        <v>2011</v>
      </c>
      <c r="E304" s="6">
        <v>1</v>
      </c>
      <c r="F304" s="6">
        <v>0</v>
      </c>
      <c r="G304" s="6" t="b">
        <v>0</v>
      </c>
      <c r="H304" s="6">
        <v>5</v>
      </c>
      <c r="I304" s="6">
        <v>1</v>
      </c>
      <c r="J304" s="7">
        <v>0.12</v>
      </c>
      <c r="K304" s="6" t="str">
        <f t="shared" si="25"/>
        <v>Friday</v>
      </c>
      <c r="L304" s="2" t="str">
        <f t="shared" si="26"/>
        <v>January</v>
      </c>
      <c r="M304" s="2" t="str">
        <f t="shared" si="27"/>
        <v>Spring</v>
      </c>
      <c r="N304" s="2" t="str">
        <f t="shared" si="28"/>
        <v>Friday</v>
      </c>
      <c r="O304" t="str">
        <f t="shared" si="29"/>
        <v>Clear</v>
      </c>
    </row>
    <row r="305" spans="1:15" x14ac:dyDescent="0.25">
      <c r="A305" s="8">
        <v>303</v>
      </c>
      <c r="B305" s="9">
        <v>40557</v>
      </c>
      <c r="C305" s="6">
        <v>1</v>
      </c>
      <c r="D305" s="6" t="str">
        <f t="shared" si="24"/>
        <v>2011</v>
      </c>
      <c r="E305" s="6">
        <v>1</v>
      </c>
      <c r="F305" s="6">
        <v>1</v>
      </c>
      <c r="G305" s="6" t="b">
        <v>0</v>
      </c>
      <c r="H305" s="6">
        <v>5</v>
      </c>
      <c r="I305" s="6">
        <v>1</v>
      </c>
      <c r="J305" s="7">
        <v>0.1</v>
      </c>
      <c r="K305" s="6" t="str">
        <f t="shared" si="25"/>
        <v>Friday</v>
      </c>
      <c r="L305" s="2" t="str">
        <f t="shared" si="26"/>
        <v>January</v>
      </c>
      <c r="M305" s="2" t="str">
        <f t="shared" si="27"/>
        <v>Spring</v>
      </c>
      <c r="N305" s="2" t="str">
        <f t="shared" si="28"/>
        <v>Friday</v>
      </c>
      <c r="O305" t="str">
        <f t="shared" si="29"/>
        <v>Clear</v>
      </c>
    </row>
    <row r="306" spans="1:15" x14ac:dyDescent="0.25">
      <c r="A306" s="8">
        <v>304</v>
      </c>
      <c r="B306" s="9">
        <v>40557</v>
      </c>
      <c r="C306" s="6">
        <v>1</v>
      </c>
      <c r="D306" s="6" t="str">
        <f t="shared" si="24"/>
        <v>2011</v>
      </c>
      <c r="E306" s="6">
        <v>1</v>
      </c>
      <c r="F306" s="6">
        <v>2</v>
      </c>
      <c r="G306" s="6" t="b">
        <v>0</v>
      </c>
      <c r="H306" s="6">
        <v>5</v>
      </c>
      <c r="I306" s="6">
        <v>1</v>
      </c>
      <c r="J306" s="7">
        <v>0.1</v>
      </c>
      <c r="K306" s="6" t="str">
        <f t="shared" si="25"/>
        <v>Friday</v>
      </c>
      <c r="L306" s="2" t="str">
        <f t="shared" si="26"/>
        <v>January</v>
      </c>
      <c r="M306" s="2" t="str">
        <f t="shared" si="27"/>
        <v>Spring</v>
      </c>
      <c r="N306" s="2" t="str">
        <f t="shared" si="28"/>
        <v>Friday</v>
      </c>
      <c r="O306" t="str">
        <f t="shared" si="29"/>
        <v>Clear</v>
      </c>
    </row>
    <row r="307" spans="1:15" x14ac:dyDescent="0.25">
      <c r="A307" s="8">
        <v>305</v>
      </c>
      <c r="B307" s="9">
        <v>40557</v>
      </c>
      <c r="C307" s="6">
        <v>1</v>
      </c>
      <c r="D307" s="6" t="str">
        <f t="shared" si="24"/>
        <v>2011</v>
      </c>
      <c r="E307" s="6">
        <v>1</v>
      </c>
      <c r="F307" s="6">
        <v>3</v>
      </c>
      <c r="G307" s="6" t="b">
        <v>0</v>
      </c>
      <c r="H307" s="6">
        <v>5</v>
      </c>
      <c r="I307" s="6">
        <v>1</v>
      </c>
      <c r="J307" s="7">
        <v>0.1</v>
      </c>
      <c r="K307" s="6" t="str">
        <f t="shared" si="25"/>
        <v>Friday</v>
      </c>
      <c r="L307" s="2" t="str">
        <f t="shared" si="26"/>
        <v>January</v>
      </c>
      <c r="M307" s="2" t="str">
        <f t="shared" si="27"/>
        <v>Spring</v>
      </c>
      <c r="N307" s="2" t="str">
        <f t="shared" si="28"/>
        <v>Friday</v>
      </c>
      <c r="O307" t="str">
        <f t="shared" si="29"/>
        <v>Clear</v>
      </c>
    </row>
    <row r="308" spans="1:15" x14ac:dyDescent="0.25">
      <c r="A308" s="8">
        <v>306</v>
      </c>
      <c r="B308" s="9">
        <v>40557</v>
      </c>
      <c r="C308" s="6">
        <v>1</v>
      </c>
      <c r="D308" s="6" t="str">
        <f t="shared" si="24"/>
        <v>2011</v>
      </c>
      <c r="E308" s="6">
        <v>1</v>
      </c>
      <c r="F308" s="6">
        <v>5</v>
      </c>
      <c r="G308" s="6" t="b">
        <v>0</v>
      </c>
      <c r="H308" s="6">
        <v>5</v>
      </c>
      <c r="I308" s="6">
        <v>1</v>
      </c>
      <c r="J308" s="7">
        <v>0.1</v>
      </c>
      <c r="K308" s="6" t="str">
        <f t="shared" si="25"/>
        <v>Friday</v>
      </c>
      <c r="L308" s="2" t="str">
        <f t="shared" si="26"/>
        <v>January</v>
      </c>
      <c r="M308" s="2" t="str">
        <f t="shared" si="27"/>
        <v>Spring</v>
      </c>
      <c r="N308" s="2" t="str">
        <f t="shared" si="28"/>
        <v>Friday</v>
      </c>
      <c r="O308" t="str">
        <f t="shared" si="29"/>
        <v>Clear</v>
      </c>
    </row>
    <row r="309" spans="1:15" x14ac:dyDescent="0.25">
      <c r="A309" s="8">
        <v>307</v>
      </c>
      <c r="B309" s="9">
        <v>40557</v>
      </c>
      <c r="C309" s="6">
        <v>1</v>
      </c>
      <c r="D309" s="6" t="str">
        <f t="shared" si="24"/>
        <v>2011</v>
      </c>
      <c r="E309" s="6">
        <v>1</v>
      </c>
      <c r="F309" s="6">
        <v>6</v>
      </c>
      <c r="G309" s="6" t="b">
        <v>0</v>
      </c>
      <c r="H309" s="6">
        <v>5</v>
      </c>
      <c r="I309" s="6">
        <v>1</v>
      </c>
      <c r="J309" s="7">
        <v>0.1</v>
      </c>
      <c r="K309" s="6" t="str">
        <f t="shared" si="25"/>
        <v>Friday</v>
      </c>
      <c r="L309" s="2" t="str">
        <f t="shared" si="26"/>
        <v>January</v>
      </c>
      <c r="M309" s="2" t="str">
        <f t="shared" si="27"/>
        <v>Spring</v>
      </c>
      <c r="N309" s="2" t="str">
        <f t="shared" si="28"/>
        <v>Friday</v>
      </c>
      <c r="O309" t="str">
        <f t="shared" si="29"/>
        <v>Clear</v>
      </c>
    </row>
    <row r="310" spans="1:15" x14ac:dyDescent="0.25">
      <c r="A310" s="8">
        <v>308</v>
      </c>
      <c r="B310" s="9">
        <v>40557</v>
      </c>
      <c r="C310" s="6">
        <v>1</v>
      </c>
      <c r="D310" s="6" t="str">
        <f t="shared" si="24"/>
        <v>2011</v>
      </c>
      <c r="E310" s="6">
        <v>1</v>
      </c>
      <c r="F310" s="6">
        <v>7</v>
      </c>
      <c r="G310" s="6" t="b">
        <v>0</v>
      </c>
      <c r="H310" s="6">
        <v>5</v>
      </c>
      <c r="I310" s="6">
        <v>1</v>
      </c>
      <c r="J310" s="7">
        <v>0.1</v>
      </c>
      <c r="K310" s="6" t="str">
        <f t="shared" si="25"/>
        <v>Friday</v>
      </c>
      <c r="L310" s="2" t="str">
        <f t="shared" si="26"/>
        <v>January</v>
      </c>
      <c r="M310" s="2" t="str">
        <f t="shared" si="27"/>
        <v>Spring</v>
      </c>
      <c r="N310" s="2" t="str">
        <f t="shared" si="28"/>
        <v>Friday</v>
      </c>
      <c r="O310" t="str">
        <f t="shared" si="29"/>
        <v>Clear</v>
      </c>
    </row>
    <row r="311" spans="1:15" x14ac:dyDescent="0.25">
      <c r="A311" s="8">
        <v>309</v>
      </c>
      <c r="B311" s="9">
        <v>40557</v>
      </c>
      <c r="C311" s="6">
        <v>1</v>
      </c>
      <c r="D311" s="6" t="str">
        <f t="shared" si="24"/>
        <v>2011</v>
      </c>
      <c r="E311" s="6">
        <v>1</v>
      </c>
      <c r="F311" s="6">
        <v>8</v>
      </c>
      <c r="G311" s="6" t="b">
        <v>0</v>
      </c>
      <c r="H311" s="6">
        <v>5</v>
      </c>
      <c r="I311" s="6">
        <v>1</v>
      </c>
      <c r="J311" s="7">
        <v>0.12</v>
      </c>
      <c r="K311" s="6" t="str">
        <f t="shared" si="25"/>
        <v>Friday</v>
      </c>
      <c r="L311" s="2" t="str">
        <f t="shared" si="26"/>
        <v>January</v>
      </c>
      <c r="M311" s="2" t="str">
        <f t="shared" si="27"/>
        <v>Spring</v>
      </c>
      <c r="N311" s="2" t="str">
        <f t="shared" si="28"/>
        <v>Friday</v>
      </c>
      <c r="O311" t="str">
        <f t="shared" si="29"/>
        <v>Clear</v>
      </c>
    </row>
    <row r="312" spans="1:15" x14ac:dyDescent="0.25">
      <c r="A312" s="8">
        <v>310</v>
      </c>
      <c r="B312" s="9">
        <v>40557</v>
      </c>
      <c r="C312" s="6">
        <v>1</v>
      </c>
      <c r="D312" s="6" t="str">
        <f t="shared" si="24"/>
        <v>2011</v>
      </c>
      <c r="E312" s="6">
        <v>1</v>
      </c>
      <c r="F312" s="6">
        <v>9</v>
      </c>
      <c r="G312" s="6" t="b">
        <v>0</v>
      </c>
      <c r="H312" s="6">
        <v>5</v>
      </c>
      <c r="I312" s="6">
        <v>1</v>
      </c>
      <c r="J312" s="7">
        <v>0.14000000000000001</v>
      </c>
      <c r="K312" s="6" t="str">
        <f t="shared" si="25"/>
        <v>Friday</v>
      </c>
      <c r="L312" s="2" t="str">
        <f t="shared" si="26"/>
        <v>January</v>
      </c>
      <c r="M312" s="2" t="str">
        <f t="shared" si="27"/>
        <v>Spring</v>
      </c>
      <c r="N312" s="2" t="str">
        <f t="shared" si="28"/>
        <v>Friday</v>
      </c>
      <c r="O312" t="str">
        <f t="shared" si="29"/>
        <v>Clear</v>
      </c>
    </row>
    <row r="313" spans="1:15" x14ac:dyDescent="0.25">
      <c r="A313" s="8">
        <v>311</v>
      </c>
      <c r="B313" s="9">
        <v>40557</v>
      </c>
      <c r="C313" s="6">
        <v>1</v>
      </c>
      <c r="D313" s="6" t="str">
        <f t="shared" si="24"/>
        <v>2011</v>
      </c>
      <c r="E313" s="6">
        <v>1</v>
      </c>
      <c r="F313" s="6">
        <v>10</v>
      </c>
      <c r="G313" s="6" t="b">
        <v>0</v>
      </c>
      <c r="H313" s="6">
        <v>5</v>
      </c>
      <c r="I313" s="6">
        <v>1</v>
      </c>
      <c r="J313" s="7">
        <v>0.18</v>
      </c>
      <c r="K313" s="6" t="str">
        <f t="shared" si="25"/>
        <v>Friday</v>
      </c>
      <c r="L313" s="2" t="str">
        <f t="shared" si="26"/>
        <v>January</v>
      </c>
      <c r="M313" s="2" t="str">
        <f t="shared" si="27"/>
        <v>Spring</v>
      </c>
      <c r="N313" s="2" t="str">
        <f t="shared" si="28"/>
        <v>Friday</v>
      </c>
      <c r="O313" t="str">
        <f t="shared" si="29"/>
        <v>Clear</v>
      </c>
    </row>
    <row r="314" spans="1:15" x14ac:dyDescent="0.25">
      <c r="A314" s="8">
        <v>312</v>
      </c>
      <c r="B314" s="9">
        <v>40557</v>
      </c>
      <c r="C314" s="6">
        <v>1</v>
      </c>
      <c r="D314" s="6" t="str">
        <f t="shared" si="24"/>
        <v>2011</v>
      </c>
      <c r="E314" s="6">
        <v>1</v>
      </c>
      <c r="F314" s="6">
        <v>11</v>
      </c>
      <c r="G314" s="6" t="b">
        <v>0</v>
      </c>
      <c r="H314" s="6">
        <v>5</v>
      </c>
      <c r="I314" s="6">
        <v>1</v>
      </c>
      <c r="J314" s="7">
        <v>0.18</v>
      </c>
      <c r="K314" s="6" t="str">
        <f t="shared" si="25"/>
        <v>Friday</v>
      </c>
      <c r="L314" s="2" t="str">
        <f t="shared" si="26"/>
        <v>January</v>
      </c>
      <c r="M314" s="2" t="str">
        <f t="shared" si="27"/>
        <v>Spring</v>
      </c>
      <c r="N314" s="2" t="str">
        <f t="shared" si="28"/>
        <v>Friday</v>
      </c>
      <c r="O314" t="str">
        <f t="shared" si="29"/>
        <v>Clear</v>
      </c>
    </row>
    <row r="315" spans="1:15" x14ac:dyDescent="0.25">
      <c r="A315" s="8">
        <v>313</v>
      </c>
      <c r="B315" s="9">
        <v>40557</v>
      </c>
      <c r="C315" s="6">
        <v>1</v>
      </c>
      <c r="D315" s="6" t="str">
        <f t="shared" si="24"/>
        <v>2011</v>
      </c>
      <c r="E315" s="6">
        <v>1</v>
      </c>
      <c r="F315" s="6">
        <v>12</v>
      </c>
      <c r="G315" s="6" t="b">
        <v>0</v>
      </c>
      <c r="H315" s="6">
        <v>5</v>
      </c>
      <c r="I315" s="6">
        <v>1</v>
      </c>
      <c r="J315" s="7">
        <v>0.2</v>
      </c>
      <c r="K315" s="6" t="str">
        <f t="shared" si="25"/>
        <v>Friday</v>
      </c>
      <c r="L315" s="2" t="str">
        <f t="shared" si="26"/>
        <v>January</v>
      </c>
      <c r="M315" s="2" t="str">
        <f t="shared" si="27"/>
        <v>Spring</v>
      </c>
      <c r="N315" s="2" t="str">
        <f t="shared" si="28"/>
        <v>Friday</v>
      </c>
      <c r="O315" t="str">
        <f t="shared" si="29"/>
        <v>Clear</v>
      </c>
    </row>
    <row r="316" spans="1:15" x14ac:dyDescent="0.25">
      <c r="A316" s="8">
        <v>314</v>
      </c>
      <c r="B316" s="9">
        <v>40557</v>
      </c>
      <c r="C316" s="6">
        <v>1</v>
      </c>
      <c r="D316" s="6" t="str">
        <f t="shared" si="24"/>
        <v>2011</v>
      </c>
      <c r="E316" s="6">
        <v>1</v>
      </c>
      <c r="F316" s="6">
        <v>13</v>
      </c>
      <c r="G316" s="6" t="b">
        <v>0</v>
      </c>
      <c r="H316" s="6">
        <v>5</v>
      </c>
      <c r="I316" s="6">
        <v>1</v>
      </c>
      <c r="J316" s="7">
        <v>0.22</v>
      </c>
      <c r="K316" s="6" t="str">
        <f t="shared" si="25"/>
        <v>Friday</v>
      </c>
      <c r="L316" s="2" t="str">
        <f t="shared" si="26"/>
        <v>January</v>
      </c>
      <c r="M316" s="2" t="str">
        <f t="shared" si="27"/>
        <v>Spring</v>
      </c>
      <c r="N316" s="2" t="str">
        <f t="shared" si="28"/>
        <v>Friday</v>
      </c>
      <c r="O316" t="str">
        <f t="shared" si="29"/>
        <v>Clear</v>
      </c>
    </row>
    <row r="317" spans="1:15" x14ac:dyDescent="0.25">
      <c r="A317" s="8">
        <v>315</v>
      </c>
      <c r="B317" s="9">
        <v>40557</v>
      </c>
      <c r="C317" s="6">
        <v>1</v>
      </c>
      <c r="D317" s="6" t="str">
        <f t="shared" si="24"/>
        <v>2011</v>
      </c>
      <c r="E317" s="6">
        <v>1</v>
      </c>
      <c r="F317" s="6">
        <v>14</v>
      </c>
      <c r="G317" s="6" t="b">
        <v>0</v>
      </c>
      <c r="H317" s="6">
        <v>5</v>
      </c>
      <c r="I317" s="6">
        <v>1</v>
      </c>
      <c r="J317" s="7">
        <v>0.22</v>
      </c>
      <c r="K317" s="6" t="str">
        <f t="shared" si="25"/>
        <v>Friday</v>
      </c>
      <c r="L317" s="2" t="str">
        <f t="shared" si="26"/>
        <v>January</v>
      </c>
      <c r="M317" s="2" t="str">
        <f t="shared" si="27"/>
        <v>Spring</v>
      </c>
      <c r="N317" s="2" t="str">
        <f t="shared" si="28"/>
        <v>Friday</v>
      </c>
      <c r="O317" t="str">
        <f t="shared" si="29"/>
        <v>Clear</v>
      </c>
    </row>
    <row r="318" spans="1:15" x14ac:dyDescent="0.25">
      <c r="A318" s="8">
        <v>316</v>
      </c>
      <c r="B318" s="9">
        <v>40557</v>
      </c>
      <c r="C318" s="6">
        <v>1</v>
      </c>
      <c r="D318" s="6" t="str">
        <f t="shared" si="24"/>
        <v>2011</v>
      </c>
      <c r="E318" s="6">
        <v>1</v>
      </c>
      <c r="F318" s="6">
        <v>15</v>
      </c>
      <c r="G318" s="6" t="b">
        <v>0</v>
      </c>
      <c r="H318" s="6">
        <v>5</v>
      </c>
      <c r="I318" s="6">
        <v>1</v>
      </c>
      <c r="J318" s="7">
        <v>0.24</v>
      </c>
      <c r="K318" s="6" t="str">
        <f t="shared" si="25"/>
        <v>Friday</v>
      </c>
      <c r="L318" s="2" t="str">
        <f t="shared" si="26"/>
        <v>January</v>
      </c>
      <c r="M318" s="2" t="str">
        <f t="shared" si="27"/>
        <v>Spring</v>
      </c>
      <c r="N318" s="2" t="str">
        <f t="shared" si="28"/>
        <v>Friday</v>
      </c>
      <c r="O318" t="str">
        <f t="shared" si="29"/>
        <v>Clear</v>
      </c>
    </row>
    <row r="319" spans="1:15" x14ac:dyDescent="0.25">
      <c r="A319" s="8">
        <v>317</v>
      </c>
      <c r="B319" s="9">
        <v>40557</v>
      </c>
      <c r="C319" s="6">
        <v>1</v>
      </c>
      <c r="D319" s="6" t="str">
        <f t="shared" si="24"/>
        <v>2011</v>
      </c>
      <c r="E319" s="6">
        <v>1</v>
      </c>
      <c r="F319" s="6">
        <v>16</v>
      </c>
      <c r="G319" s="6" t="b">
        <v>0</v>
      </c>
      <c r="H319" s="6">
        <v>5</v>
      </c>
      <c r="I319" s="6">
        <v>1</v>
      </c>
      <c r="J319" s="7">
        <v>0.22</v>
      </c>
      <c r="K319" s="6" t="str">
        <f t="shared" si="25"/>
        <v>Friday</v>
      </c>
      <c r="L319" s="2" t="str">
        <f t="shared" si="26"/>
        <v>January</v>
      </c>
      <c r="M319" s="2" t="str">
        <f t="shared" si="27"/>
        <v>Spring</v>
      </c>
      <c r="N319" s="2" t="str">
        <f t="shared" si="28"/>
        <v>Friday</v>
      </c>
      <c r="O319" t="str">
        <f t="shared" si="29"/>
        <v>Clear</v>
      </c>
    </row>
    <row r="320" spans="1:15" x14ac:dyDescent="0.25">
      <c r="A320" s="8">
        <v>318</v>
      </c>
      <c r="B320" s="9">
        <v>40557</v>
      </c>
      <c r="C320" s="6">
        <v>1</v>
      </c>
      <c r="D320" s="6" t="str">
        <f t="shared" si="24"/>
        <v>2011</v>
      </c>
      <c r="E320" s="6">
        <v>1</v>
      </c>
      <c r="F320" s="6">
        <v>17</v>
      </c>
      <c r="G320" s="6" t="b">
        <v>0</v>
      </c>
      <c r="H320" s="6">
        <v>5</v>
      </c>
      <c r="I320" s="6">
        <v>1</v>
      </c>
      <c r="J320" s="7">
        <v>0.22</v>
      </c>
      <c r="K320" s="6" t="str">
        <f t="shared" si="25"/>
        <v>Friday</v>
      </c>
      <c r="L320" s="2" t="str">
        <f t="shared" si="26"/>
        <v>January</v>
      </c>
      <c r="M320" s="2" t="str">
        <f t="shared" si="27"/>
        <v>Spring</v>
      </c>
      <c r="N320" s="2" t="str">
        <f t="shared" si="28"/>
        <v>Friday</v>
      </c>
      <c r="O320" t="str">
        <f t="shared" si="29"/>
        <v>Clear</v>
      </c>
    </row>
    <row r="321" spans="1:15" x14ac:dyDescent="0.25">
      <c r="A321" s="8">
        <v>319</v>
      </c>
      <c r="B321" s="9">
        <v>40557</v>
      </c>
      <c r="C321" s="6">
        <v>1</v>
      </c>
      <c r="D321" s="6" t="str">
        <f t="shared" si="24"/>
        <v>2011</v>
      </c>
      <c r="E321" s="6">
        <v>1</v>
      </c>
      <c r="F321" s="6">
        <v>18</v>
      </c>
      <c r="G321" s="6" t="b">
        <v>0</v>
      </c>
      <c r="H321" s="6">
        <v>5</v>
      </c>
      <c r="I321" s="6">
        <v>1</v>
      </c>
      <c r="J321" s="7">
        <v>0.2</v>
      </c>
      <c r="K321" s="6" t="str">
        <f t="shared" si="25"/>
        <v>Friday</v>
      </c>
      <c r="L321" s="2" t="str">
        <f t="shared" si="26"/>
        <v>January</v>
      </c>
      <c r="M321" s="2" t="str">
        <f t="shared" si="27"/>
        <v>Spring</v>
      </c>
      <c r="N321" s="2" t="str">
        <f t="shared" si="28"/>
        <v>Friday</v>
      </c>
      <c r="O321" t="str">
        <f t="shared" si="29"/>
        <v>Clear</v>
      </c>
    </row>
    <row r="322" spans="1:15" x14ac:dyDescent="0.25">
      <c r="A322" s="8">
        <v>320</v>
      </c>
      <c r="B322" s="9">
        <v>40557</v>
      </c>
      <c r="C322" s="6">
        <v>1</v>
      </c>
      <c r="D322" s="6" t="str">
        <f t="shared" si="24"/>
        <v>2011</v>
      </c>
      <c r="E322" s="6">
        <v>1</v>
      </c>
      <c r="F322" s="6">
        <v>19</v>
      </c>
      <c r="G322" s="6" t="b">
        <v>0</v>
      </c>
      <c r="H322" s="6">
        <v>5</v>
      </c>
      <c r="I322" s="6">
        <v>1</v>
      </c>
      <c r="J322" s="7">
        <v>0.16</v>
      </c>
      <c r="K322" s="6" t="str">
        <f t="shared" si="25"/>
        <v>Friday</v>
      </c>
      <c r="L322" s="2" t="str">
        <f t="shared" si="26"/>
        <v>January</v>
      </c>
      <c r="M322" s="2" t="str">
        <f t="shared" si="27"/>
        <v>Spring</v>
      </c>
      <c r="N322" s="2" t="str">
        <f t="shared" si="28"/>
        <v>Friday</v>
      </c>
      <c r="O322" t="str">
        <f t="shared" si="29"/>
        <v>Clear</v>
      </c>
    </row>
    <row r="323" spans="1:15" x14ac:dyDescent="0.25">
      <c r="A323" s="8">
        <v>321</v>
      </c>
      <c r="B323" s="9">
        <v>40557</v>
      </c>
      <c r="C323" s="6">
        <v>1</v>
      </c>
      <c r="D323" s="6" t="str">
        <f t="shared" si="24"/>
        <v>2011</v>
      </c>
      <c r="E323" s="6">
        <v>1</v>
      </c>
      <c r="F323" s="6">
        <v>20</v>
      </c>
      <c r="G323" s="6" t="b">
        <v>0</v>
      </c>
      <c r="H323" s="6">
        <v>5</v>
      </c>
      <c r="I323" s="6">
        <v>1</v>
      </c>
      <c r="J323" s="7">
        <v>0.18</v>
      </c>
      <c r="K323" s="6" t="str">
        <f t="shared" si="25"/>
        <v>Friday</v>
      </c>
      <c r="L323" s="2" t="str">
        <f t="shared" si="26"/>
        <v>January</v>
      </c>
      <c r="M323" s="2" t="str">
        <f t="shared" si="27"/>
        <v>Spring</v>
      </c>
      <c r="N323" s="2" t="str">
        <f t="shared" si="28"/>
        <v>Friday</v>
      </c>
      <c r="O323" t="str">
        <f t="shared" si="29"/>
        <v>Clear</v>
      </c>
    </row>
    <row r="324" spans="1:15" x14ac:dyDescent="0.25">
      <c r="A324" s="8">
        <v>322</v>
      </c>
      <c r="B324" s="9">
        <v>40557</v>
      </c>
      <c r="C324" s="6">
        <v>1</v>
      </c>
      <c r="D324" s="6" t="str">
        <f t="shared" ref="D324:D387" si="30">TEXT(B324,"yyyy")</f>
        <v>2011</v>
      </c>
      <c r="E324" s="6">
        <v>1</v>
      </c>
      <c r="F324" s="6">
        <v>21</v>
      </c>
      <c r="G324" s="6" t="b">
        <v>0</v>
      </c>
      <c r="H324" s="6">
        <v>5</v>
      </c>
      <c r="I324" s="6">
        <v>1</v>
      </c>
      <c r="J324" s="7">
        <v>0.16</v>
      </c>
      <c r="K324" s="6" t="str">
        <f t="shared" ref="K324:K387" si="31">TEXT(B324,"dddd")</f>
        <v>Friday</v>
      </c>
      <c r="L324" s="2" t="str">
        <f t="shared" ref="L324:L387" si="32">TEXT(B324,"mmmm")</f>
        <v>January</v>
      </c>
      <c r="M324" s="2" t="str">
        <f t="shared" ref="M324:M387" si="33">IF(C324=1,"Spring",IF(C324=2,"Summer",IF(C324=3,"Fall","Winter")))</f>
        <v>Spring</v>
      </c>
      <c r="N324" s="2" t="str">
        <f t="shared" ref="N324:N387" si="34">IF(H324=0,"Sunday",IF(H324=1,"Monday",IF(H324=2,"Tuesday",IF(H324=3,"Wednesday",IF(H324=4,"Thursday",IF(H324=5,"Friday","Saturday"))))))</f>
        <v>Friday</v>
      </c>
      <c r="O324" t="str">
        <f t="shared" si="29"/>
        <v>Clear</v>
      </c>
    </row>
    <row r="325" spans="1:15" x14ac:dyDescent="0.25">
      <c r="A325" s="8">
        <v>323</v>
      </c>
      <c r="B325" s="9">
        <v>40557</v>
      </c>
      <c r="C325" s="6">
        <v>1</v>
      </c>
      <c r="D325" s="6" t="str">
        <f t="shared" si="30"/>
        <v>2011</v>
      </c>
      <c r="E325" s="6">
        <v>1</v>
      </c>
      <c r="F325" s="6">
        <v>22</v>
      </c>
      <c r="G325" s="6" t="b">
        <v>0</v>
      </c>
      <c r="H325" s="6">
        <v>5</v>
      </c>
      <c r="I325" s="6">
        <v>2</v>
      </c>
      <c r="J325" s="7">
        <v>0.16</v>
      </c>
      <c r="K325" s="6" t="str">
        <f t="shared" si="31"/>
        <v>Friday</v>
      </c>
      <c r="L325" s="2" t="str">
        <f t="shared" si="32"/>
        <v>January</v>
      </c>
      <c r="M325" s="2" t="str">
        <f t="shared" si="33"/>
        <v>Spring</v>
      </c>
      <c r="N325" s="2" t="str">
        <f t="shared" si="34"/>
        <v>Friday</v>
      </c>
      <c r="O325" t="str">
        <f t="shared" ref="O325:O388" si="35">IF(I325=1,"Clear",IF(I325=2,"Cloudy",IF(I325=3,"Rain","Heavy Rain")))</f>
        <v>Cloudy</v>
      </c>
    </row>
    <row r="326" spans="1:15" x14ac:dyDescent="0.25">
      <c r="A326" s="8">
        <v>324</v>
      </c>
      <c r="B326" s="9">
        <v>40557</v>
      </c>
      <c r="C326" s="6">
        <v>1</v>
      </c>
      <c r="D326" s="6" t="str">
        <f t="shared" si="30"/>
        <v>2011</v>
      </c>
      <c r="E326" s="6">
        <v>1</v>
      </c>
      <c r="F326" s="6">
        <v>23</v>
      </c>
      <c r="G326" s="6" t="b">
        <v>0</v>
      </c>
      <c r="H326" s="6">
        <v>5</v>
      </c>
      <c r="I326" s="6">
        <v>2</v>
      </c>
      <c r="J326" s="7">
        <v>0.18</v>
      </c>
      <c r="K326" s="6" t="str">
        <f t="shared" si="31"/>
        <v>Friday</v>
      </c>
      <c r="L326" s="2" t="str">
        <f t="shared" si="32"/>
        <v>January</v>
      </c>
      <c r="M326" s="2" t="str">
        <f t="shared" si="33"/>
        <v>Spring</v>
      </c>
      <c r="N326" s="2" t="str">
        <f t="shared" si="34"/>
        <v>Friday</v>
      </c>
      <c r="O326" t="str">
        <f t="shared" si="35"/>
        <v>Cloudy</v>
      </c>
    </row>
    <row r="327" spans="1:15" x14ac:dyDescent="0.25">
      <c r="A327" s="8">
        <v>325</v>
      </c>
      <c r="B327" s="9">
        <v>40558</v>
      </c>
      <c r="C327" s="6">
        <v>1</v>
      </c>
      <c r="D327" s="6" t="str">
        <f t="shared" si="30"/>
        <v>2011</v>
      </c>
      <c r="E327" s="6">
        <v>1</v>
      </c>
      <c r="F327" s="6">
        <v>0</v>
      </c>
      <c r="G327" s="6" t="b">
        <v>0</v>
      </c>
      <c r="H327" s="6">
        <v>6</v>
      </c>
      <c r="I327" s="6">
        <v>1</v>
      </c>
      <c r="J327" s="7">
        <v>0.18</v>
      </c>
      <c r="K327" s="6" t="str">
        <f t="shared" si="31"/>
        <v>Saturday</v>
      </c>
      <c r="L327" s="2" t="str">
        <f t="shared" si="32"/>
        <v>January</v>
      </c>
      <c r="M327" s="2" t="str">
        <f t="shared" si="33"/>
        <v>Spring</v>
      </c>
      <c r="N327" s="2" t="str">
        <f t="shared" si="34"/>
        <v>Saturday</v>
      </c>
      <c r="O327" t="str">
        <f t="shared" si="35"/>
        <v>Clear</v>
      </c>
    </row>
    <row r="328" spans="1:15" x14ac:dyDescent="0.25">
      <c r="A328" s="8">
        <v>326</v>
      </c>
      <c r="B328" s="9">
        <v>40558</v>
      </c>
      <c r="C328" s="6">
        <v>1</v>
      </c>
      <c r="D328" s="6" t="str">
        <f t="shared" si="30"/>
        <v>2011</v>
      </c>
      <c r="E328" s="6">
        <v>1</v>
      </c>
      <c r="F328" s="6">
        <v>1</v>
      </c>
      <c r="G328" s="6" t="b">
        <v>0</v>
      </c>
      <c r="H328" s="6">
        <v>6</v>
      </c>
      <c r="I328" s="6">
        <v>2</v>
      </c>
      <c r="J328" s="7">
        <v>0.16</v>
      </c>
      <c r="K328" s="6" t="str">
        <f t="shared" si="31"/>
        <v>Saturday</v>
      </c>
      <c r="L328" s="2" t="str">
        <f t="shared" si="32"/>
        <v>January</v>
      </c>
      <c r="M328" s="2" t="str">
        <f t="shared" si="33"/>
        <v>Spring</v>
      </c>
      <c r="N328" s="2" t="str">
        <f t="shared" si="34"/>
        <v>Saturday</v>
      </c>
      <c r="O328" t="str">
        <f t="shared" si="35"/>
        <v>Cloudy</v>
      </c>
    </row>
    <row r="329" spans="1:15" x14ac:dyDescent="0.25">
      <c r="A329" s="8">
        <v>327</v>
      </c>
      <c r="B329" s="9">
        <v>40558</v>
      </c>
      <c r="C329" s="6">
        <v>1</v>
      </c>
      <c r="D329" s="6" t="str">
        <f t="shared" si="30"/>
        <v>2011</v>
      </c>
      <c r="E329" s="6">
        <v>1</v>
      </c>
      <c r="F329" s="6">
        <v>2</v>
      </c>
      <c r="G329" s="6" t="b">
        <v>0</v>
      </c>
      <c r="H329" s="6">
        <v>6</v>
      </c>
      <c r="I329" s="6">
        <v>2</v>
      </c>
      <c r="J329" s="7">
        <v>0.16</v>
      </c>
      <c r="K329" s="6" t="str">
        <f t="shared" si="31"/>
        <v>Saturday</v>
      </c>
      <c r="L329" s="2" t="str">
        <f t="shared" si="32"/>
        <v>January</v>
      </c>
      <c r="M329" s="2" t="str">
        <f t="shared" si="33"/>
        <v>Spring</v>
      </c>
      <c r="N329" s="2" t="str">
        <f t="shared" si="34"/>
        <v>Saturday</v>
      </c>
      <c r="O329" t="str">
        <f t="shared" si="35"/>
        <v>Cloudy</v>
      </c>
    </row>
    <row r="330" spans="1:15" x14ac:dyDescent="0.25">
      <c r="A330" s="8">
        <v>328</v>
      </c>
      <c r="B330" s="9">
        <v>40558</v>
      </c>
      <c r="C330" s="6">
        <v>1</v>
      </c>
      <c r="D330" s="6" t="str">
        <f t="shared" si="30"/>
        <v>2011</v>
      </c>
      <c r="E330" s="6">
        <v>1</v>
      </c>
      <c r="F330" s="6">
        <v>3</v>
      </c>
      <c r="G330" s="6" t="b">
        <v>0</v>
      </c>
      <c r="H330" s="6">
        <v>6</v>
      </c>
      <c r="I330" s="6">
        <v>2</v>
      </c>
      <c r="J330" s="7">
        <v>0.16</v>
      </c>
      <c r="K330" s="6" t="str">
        <f t="shared" si="31"/>
        <v>Saturday</v>
      </c>
      <c r="L330" s="2" t="str">
        <f t="shared" si="32"/>
        <v>January</v>
      </c>
      <c r="M330" s="2" t="str">
        <f t="shared" si="33"/>
        <v>Spring</v>
      </c>
      <c r="N330" s="2" t="str">
        <f t="shared" si="34"/>
        <v>Saturday</v>
      </c>
      <c r="O330" t="str">
        <f t="shared" si="35"/>
        <v>Cloudy</v>
      </c>
    </row>
    <row r="331" spans="1:15" x14ac:dyDescent="0.25">
      <c r="A331" s="8">
        <v>329</v>
      </c>
      <c r="B331" s="9">
        <v>40558</v>
      </c>
      <c r="C331" s="6">
        <v>1</v>
      </c>
      <c r="D331" s="6" t="str">
        <f t="shared" si="30"/>
        <v>2011</v>
      </c>
      <c r="E331" s="6">
        <v>1</v>
      </c>
      <c r="F331" s="6">
        <v>4</v>
      </c>
      <c r="G331" s="6" t="b">
        <v>0</v>
      </c>
      <c r="H331" s="6">
        <v>6</v>
      </c>
      <c r="I331" s="6">
        <v>2</v>
      </c>
      <c r="J331" s="7">
        <v>0.16</v>
      </c>
      <c r="K331" s="6" t="str">
        <f t="shared" si="31"/>
        <v>Saturday</v>
      </c>
      <c r="L331" s="2" t="str">
        <f t="shared" si="32"/>
        <v>January</v>
      </c>
      <c r="M331" s="2" t="str">
        <f t="shared" si="33"/>
        <v>Spring</v>
      </c>
      <c r="N331" s="2" t="str">
        <f t="shared" si="34"/>
        <v>Saturday</v>
      </c>
      <c r="O331" t="str">
        <f t="shared" si="35"/>
        <v>Cloudy</v>
      </c>
    </row>
    <row r="332" spans="1:15" x14ac:dyDescent="0.25">
      <c r="A332" s="8">
        <v>330</v>
      </c>
      <c r="B332" s="9">
        <v>40558</v>
      </c>
      <c r="C332" s="6">
        <v>1</v>
      </c>
      <c r="D332" s="6" t="str">
        <f t="shared" si="30"/>
        <v>2011</v>
      </c>
      <c r="E332" s="6">
        <v>1</v>
      </c>
      <c r="F332" s="6">
        <v>5</v>
      </c>
      <c r="G332" s="6" t="b">
        <v>0</v>
      </c>
      <c r="H332" s="6">
        <v>6</v>
      </c>
      <c r="I332" s="6">
        <v>1</v>
      </c>
      <c r="J332" s="7">
        <v>0.16</v>
      </c>
      <c r="K332" s="6" t="str">
        <f t="shared" si="31"/>
        <v>Saturday</v>
      </c>
      <c r="L332" s="2" t="str">
        <f t="shared" si="32"/>
        <v>January</v>
      </c>
      <c r="M332" s="2" t="str">
        <f t="shared" si="33"/>
        <v>Spring</v>
      </c>
      <c r="N332" s="2" t="str">
        <f t="shared" si="34"/>
        <v>Saturday</v>
      </c>
      <c r="O332" t="str">
        <f t="shared" si="35"/>
        <v>Clear</v>
      </c>
    </row>
    <row r="333" spans="1:15" x14ac:dyDescent="0.25">
      <c r="A333" s="8">
        <v>331</v>
      </c>
      <c r="B333" s="9">
        <v>40558</v>
      </c>
      <c r="C333" s="6">
        <v>1</v>
      </c>
      <c r="D333" s="6" t="str">
        <f t="shared" si="30"/>
        <v>2011</v>
      </c>
      <c r="E333" s="6">
        <v>1</v>
      </c>
      <c r="F333" s="6">
        <v>6</v>
      </c>
      <c r="G333" s="6" t="b">
        <v>0</v>
      </c>
      <c r="H333" s="6">
        <v>6</v>
      </c>
      <c r="I333" s="6">
        <v>1</v>
      </c>
      <c r="J333" s="7">
        <v>0.14000000000000001</v>
      </c>
      <c r="K333" s="6" t="str">
        <f t="shared" si="31"/>
        <v>Saturday</v>
      </c>
      <c r="L333" s="2" t="str">
        <f t="shared" si="32"/>
        <v>January</v>
      </c>
      <c r="M333" s="2" t="str">
        <f t="shared" si="33"/>
        <v>Spring</v>
      </c>
      <c r="N333" s="2" t="str">
        <f t="shared" si="34"/>
        <v>Saturday</v>
      </c>
      <c r="O333" t="str">
        <f t="shared" si="35"/>
        <v>Clear</v>
      </c>
    </row>
    <row r="334" spans="1:15" x14ac:dyDescent="0.25">
      <c r="A334" s="8">
        <v>332</v>
      </c>
      <c r="B334" s="9">
        <v>40558</v>
      </c>
      <c r="C334" s="6">
        <v>1</v>
      </c>
      <c r="D334" s="6" t="str">
        <f t="shared" si="30"/>
        <v>2011</v>
      </c>
      <c r="E334" s="6">
        <v>1</v>
      </c>
      <c r="F334" s="6">
        <v>7</v>
      </c>
      <c r="G334" s="6" t="b">
        <v>0</v>
      </c>
      <c r="H334" s="6">
        <v>6</v>
      </c>
      <c r="I334" s="6">
        <v>1</v>
      </c>
      <c r="J334" s="7">
        <v>0.14000000000000001</v>
      </c>
      <c r="K334" s="6" t="str">
        <f t="shared" si="31"/>
        <v>Saturday</v>
      </c>
      <c r="L334" s="2" t="str">
        <f t="shared" si="32"/>
        <v>January</v>
      </c>
      <c r="M334" s="2" t="str">
        <f t="shared" si="33"/>
        <v>Spring</v>
      </c>
      <c r="N334" s="2" t="str">
        <f t="shared" si="34"/>
        <v>Saturday</v>
      </c>
      <c r="O334" t="str">
        <f t="shared" si="35"/>
        <v>Clear</v>
      </c>
    </row>
    <row r="335" spans="1:15" x14ac:dyDescent="0.25">
      <c r="A335" s="8">
        <v>333</v>
      </c>
      <c r="B335" s="9">
        <v>40558</v>
      </c>
      <c r="C335" s="6">
        <v>1</v>
      </c>
      <c r="D335" s="6" t="str">
        <f t="shared" si="30"/>
        <v>2011</v>
      </c>
      <c r="E335" s="6">
        <v>1</v>
      </c>
      <c r="F335" s="6">
        <v>8</v>
      </c>
      <c r="G335" s="6" t="b">
        <v>0</v>
      </c>
      <c r="H335" s="6">
        <v>6</v>
      </c>
      <c r="I335" s="6">
        <v>1</v>
      </c>
      <c r="J335" s="7">
        <v>0.14000000000000001</v>
      </c>
      <c r="K335" s="6" t="str">
        <f t="shared" si="31"/>
        <v>Saturday</v>
      </c>
      <c r="L335" s="2" t="str">
        <f t="shared" si="32"/>
        <v>January</v>
      </c>
      <c r="M335" s="2" t="str">
        <f t="shared" si="33"/>
        <v>Spring</v>
      </c>
      <c r="N335" s="2" t="str">
        <f t="shared" si="34"/>
        <v>Saturday</v>
      </c>
      <c r="O335" t="str">
        <f t="shared" si="35"/>
        <v>Clear</v>
      </c>
    </row>
    <row r="336" spans="1:15" x14ac:dyDescent="0.25">
      <c r="A336" s="8">
        <v>334</v>
      </c>
      <c r="B336" s="9">
        <v>40558</v>
      </c>
      <c r="C336" s="6">
        <v>1</v>
      </c>
      <c r="D336" s="6" t="str">
        <f t="shared" si="30"/>
        <v>2011</v>
      </c>
      <c r="E336" s="6">
        <v>1</v>
      </c>
      <c r="F336" s="6">
        <v>9</v>
      </c>
      <c r="G336" s="6" t="b">
        <v>0</v>
      </c>
      <c r="H336" s="6">
        <v>6</v>
      </c>
      <c r="I336" s="6">
        <v>1</v>
      </c>
      <c r="J336" s="7">
        <v>0.16</v>
      </c>
      <c r="K336" s="6" t="str">
        <f t="shared" si="31"/>
        <v>Saturday</v>
      </c>
      <c r="L336" s="2" t="str">
        <f t="shared" si="32"/>
        <v>January</v>
      </c>
      <c r="M336" s="2" t="str">
        <f t="shared" si="33"/>
        <v>Spring</v>
      </c>
      <c r="N336" s="2" t="str">
        <f t="shared" si="34"/>
        <v>Saturday</v>
      </c>
      <c r="O336" t="str">
        <f t="shared" si="35"/>
        <v>Clear</v>
      </c>
    </row>
    <row r="337" spans="1:15" x14ac:dyDescent="0.25">
      <c r="A337" s="8">
        <v>335</v>
      </c>
      <c r="B337" s="9">
        <v>40558</v>
      </c>
      <c r="C337" s="6">
        <v>1</v>
      </c>
      <c r="D337" s="6" t="str">
        <f t="shared" si="30"/>
        <v>2011</v>
      </c>
      <c r="E337" s="6">
        <v>1</v>
      </c>
      <c r="F337" s="6">
        <v>10</v>
      </c>
      <c r="G337" s="6" t="b">
        <v>0</v>
      </c>
      <c r="H337" s="6">
        <v>6</v>
      </c>
      <c r="I337" s="6">
        <v>1</v>
      </c>
      <c r="J337" s="7">
        <v>0.18</v>
      </c>
      <c r="K337" s="6" t="str">
        <f t="shared" si="31"/>
        <v>Saturday</v>
      </c>
      <c r="L337" s="2" t="str">
        <f t="shared" si="32"/>
        <v>January</v>
      </c>
      <c r="M337" s="2" t="str">
        <f t="shared" si="33"/>
        <v>Spring</v>
      </c>
      <c r="N337" s="2" t="str">
        <f t="shared" si="34"/>
        <v>Saturday</v>
      </c>
      <c r="O337" t="str">
        <f t="shared" si="35"/>
        <v>Clear</v>
      </c>
    </row>
    <row r="338" spans="1:15" x14ac:dyDescent="0.25">
      <c r="A338" s="8">
        <v>336</v>
      </c>
      <c r="B338" s="9">
        <v>40558</v>
      </c>
      <c r="C338" s="6">
        <v>1</v>
      </c>
      <c r="D338" s="6" t="str">
        <f t="shared" si="30"/>
        <v>2011</v>
      </c>
      <c r="E338" s="6">
        <v>1</v>
      </c>
      <c r="F338" s="6">
        <v>11</v>
      </c>
      <c r="G338" s="6" t="b">
        <v>0</v>
      </c>
      <c r="H338" s="6">
        <v>6</v>
      </c>
      <c r="I338" s="6">
        <v>1</v>
      </c>
      <c r="J338" s="7">
        <v>0.2</v>
      </c>
      <c r="K338" s="6" t="str">
        <f t="shared" si="31"/>
        <v>Saturday</v>
      </c>
      <c r="L338" s="2" t="str">
        <f t="shared" si="32"/>
        <v>January</v>
      </c>
      <c r="M338" s="2" t="str">
        <f t="shared" si="33"/>
        <v>Spring</v>
      </c>
      <c r="N338" s="2" t="str">
        <f t="shared" si="34"/>
        <v>Saturday</v>
      </c>
      <c r="O338" t="str">
        <f t="shared" si="35"/>
        <v>Clear</v>
      </c>
    </row>
    <row r="339" spans="1:15" x14ac:dyDescent="0.25">
      <c r="A339" s="8">
        <v>337</v>
      </c>
      <c r="B339" s="9">
        <v>40558</v>
      </c>
      <c r="C339" s="6">
        <v>1</v>
      </c>
      <c r="D339" s="6" t="str">
        <f t="shared" si="30"/>
        <v>2011</v>
      </c>
      <c r="E339" s="6">
        <v>1</v>
      </c>
      <c r="F339" s="6">
        <v>12</v>
      </c>
      <c r="G339" s="6" t="b">
        <v>0</v>
      </c>
      <c r="H339" s="6">
        <v>6</v>
      </c>
      <c r="I339" s="6">
        <v>1</v>
      </c>
      <c r="J339" s="7">
        <v>0.24</v>
      </c>
      <c r="K339" s="6" t="str">
        <f t="shared" si="31"/>
        <v>Saturday</v>
      </c>
      <c r="L339" s="2" t="str">
        <f t="shared" si="32"/>
        <v>January</v>
      </c>
      <c r="M339" s="2" t="str">
        <f t="shared" si="33"/>
        <v>Spring</v>
      </c>
      <c r="N339" s="2" t="str">
        <f t="shared" si="34"/>
        <v>Saturday</v>
      </c>
      <c r="O339" t="str">
        <f t="shared" si="35"/>
        <v>Clear</v>
      </c>
    </row>
    <row r="340" spans="1:15" x14ac:dyDescent="0.25">
      <c r="A340" s="8">
        <v>338</v>
      </c>
      <c r="B340" s="9">
        <v>40558</v>
      </c>
      <c r="C340" s="6">
        <v>1</v>
      </c>
      <c r="D340" s="6" t="str">
        <f t="shared" si="30"/>
        <v>2011</v>
      </c>
      <c r="E340" s="6">
        <v>1</v>
      </c>
      <c r="F340" s="6">
        <v>13</v>
      </c>
      <c r="G340" s="6" t="b">
        <v>0</v>
      </c>
      <c r="H340" s="6">
        <v>6</v>
      </c>
      <c r="I340" s="6">
        <v>1</v>
      </c>
      <c r="J340" s="7">
        <v>0.28000000000000003</v>
      </c>
      <c r="K340" s="6" t="str">
        <f t="shared" si="31"/>
        <v>Saturday</v>
      </c>
      <c r="L340" s="2" t="str">
        <f t="shared" si="32"/>
        <v>January</v>
      </c>
      <c r="M340" s="2" t="str">
        <f t="shared" si="33"/>
        <v>Spring</v>
      </c>
      <c r="N340" s="2" t="str">
        <f t="shared" si="34"/>
        <v>Saturday</v>
      </c>
      <c r="O340" t="str">
        <f t="shared" si="35"/>
        <v>Clear</v>
      </c>
    </row>
    <row r="341" spans="1:15" x14ac:dyDescent="0.25">
      <c r="A341" s="8">
        <v>339</v>
      </c>
      <c r="B341" s="9">
        <v>40558</v>
      </c>
      <c r="C341" s="6">
        <v>1</v>
      </c>
      <c r="D341" s="6" t="str">
        <f t="shared" si="30"/>
        <v>2011</v>
      </c>
      <c r="E341" s="6">
        <v>1</v>
      </c>
      <c r="F341" s="6">
        <v>14</v>
      </c>
      <c r="G341" s="6" t="b">
        <v>0</v>
      </c>
      <c r="H341" s="6">
        <v>6</v>
      </c>
      <c r="I341" s="6">
        <v>1</v>
      </c>
      <c r="J341" s="7">
        <v>0.3</v>
      </c>
      <c r="K341" s="6" t="str">
        <f t="shared" si="31"/>
        <v>Saturday</v>
      </c>
      <c r="L341" s="2" t="str">
        <f t="shared" si="32"/>
        <v>January</v>
      </c>
      <c r="M341" s="2" t="str">
        <f t="shared" si="33"/>
        <v>Spring</v>
      </c>
      <c r="N341" s="2" t="str">
        <f t="shared" si="34"/>
        <v>Saturday</v>
      </c>
      <c r="O341" t="str">
        <f t="shared" si="35"/>
        <v>Clear</v>
      </c>
    </row>
    <row r="342" spans="1:15" x14ac:dyDescent="0.25">
      <c r="A342" s="8">
        <v>340</v>
      </c>
      <c r="B342" s="9">
        <v>40558</v>
      </c>
      <c r="C342" s="6">
        <v>1</v>
      </c>
      <c r="D342" s="6" t="str">
        <f t="shared" si="30"/>
        <v>2011</v>
      </c>
      <c r="E342" s="6">
        <v>1</v>
      </c>
      <c r="F342" s="6">
        <v>15</v>
      </c>
      <c r="G342" s="6" t="b">
        <v>0</v>
      </c>
      <c r="H342" s="6">
        <v>6</v>
      </c>
      <c r="I342" s="6">
        <v>2</v>
      </c>
      <c r="J342" s="7">
        <v>0.32</v>
      </c>
      <c r="K342" s="6" t="str">
        <f t="shared" si="31"/>
        <v>Saturday</v>
      </c>
      <c r="L342" s="2" t="str">
        <f t="shared" si="32"/>
        <v>January</v>
      </c>
      <c r="M342" s="2" t="str">
        <f t="shared" si="33"/>
        <v>Spring</v>
      </c>
      <c r="N342" s="2" t="str">
        <f t="shared" si="34"/>
        <v>Saturday</v>
      </c>
      <c r="O342" t="str">
        <f t="shared" si="35"/>
        <v>Cloudy</v>
      </c>
    </row>
    <row r="343" spans="1:15" x14ac:dyDescent="0.25">
      <c r="A343" s="8">
        <v>341</v>
      </c>
      <c r="B343" s="9">
        <v>40558</v>
      </c>
      <c r="C343" s="6">
        <v>1</v>
      </c>
      <c r="D343" s="6" t="str">
        <f t="shared" si="30"/>
        <v>2011</v>
      </c>
      <c r="E343" s="6">
        <v>1</v>
      </c>
      <c r="F343" s="6">
        <v>16</v>
      </c>
      <c r="G343" s="6" t="b">
        <v>0</v>
      </c>
      <c r="H343" s="6">
        <v>6</v>
      </c>
      <c r="I343" s="6">
        <v>2</v>
      </c>
      <c r="J343" s="7">
        <v>0.34</v>
      </c>
      <c r="K343" s="6" t="str">
        <f t="shared" si="31"/>
        <v>Saturday</v>
      </c>
      <c r="L343" s="2" t="str">
        <f t="shared" si="32"/>
        <v>January</v>
      </c>
      <c r="M343" s="2" t="str">
        <f t="shared" si="33"/>
        <v>Spring</v>
      </c>
      <c r="N343" s="2" t="str">
        <f t="shared" si="34"/>
        <v>Saturday</v>
      </c>
      <c r="O343" t="str">
        <f t="shared" si="35"/>
        <v>Cloudy</v>
      </c>
    </row>
    <row r="344" spans="1:15" x14ac:dyDescent="0.25">
      <c r="A344" s="8">
        <v>342</v>
      </c>
      <c r="B344" s="9">
        <v>40558</v>
      </c>
      <c r="C344" s="6">
        <v>1</v>
      </c>
      <c r="D344" s="6" t="str">
        <f t="shared" si="30"/>
        <v>2011</v>
      </c>
      <c r="E344" s="6">
        <v>1</v>
      </c>
      <c r="F344" s="6">
        <v>17</v>
      </c>
      <c r="G344" s="6" t="b">
        <v>0</v>
      </c>
      <c r="H344" s="6">
        <v>6</v>
      </c>
      <c r="I344" s="6">
        <v>2</v>
      </c>
      <c r="J344" s="7">
        <v>0.32</v>
      </c>
      <c r="K344" s="6" t="str">
        <f t="shared" si="31"/>
        <v>Saturday</v>
      </c>
      <c r="L344" s="2" t="str">
        <f t="shared" si="32"/>
        <v>January</v>
      </c>
      <c r="M344" s="2" t="str">
        <f t="shared" si="33"/>
        <v>Spring</v>
      </c>
      <c r="N344" s="2" t="str">
        <f t="shared" si="34"/>
        <v>Saturday</v>
      </c>
      <c r="O344" t="str">
        <f t="shared" si="35"/>
        <v>Cloudy</v>
      </c>
    </row>
    <row r="345" spans="1:15" x14ac:dyDescent="0.25">
      <c r="A345" s="8">
        <v>343</v>
      </c>
      <c r="B345" s="9">
        <v>40558</v>
      </c>
      <c r="C345" s="6">
        <v>1</v>
      </c>
      <c r="D345" s="6" t="str">
        <f t="shared" si="30"/>
        <v>2011</v>
      </c>
      <c r="E345" s="6">
        <v>1</v>
      </c>
      <c r="F345" s="6">
        <v>18</v>
      </c>
      <c r="G345" s="6" t="b">
        <v>0</v>
      </c>
      <c r="H345" s="6">
        <v>6</v>
      </c>
      <c r="I345" s="6">
        <v>2</v>
      </c>
      <c r="J345" s="7">
        <v>0.3</v>
      </c>
      <c r="K345" s="6" t="str">
        <f t="shared" si="31"/>
        <v>Saturday</v>
      </c>
      <c r="L345" s="2" t="str">
        <f t="shared" si="32"/>
        <v>January</v>
      </c>
      <c r="M345" s="2" t="str">
        <f t="shared" si="33"/>
        <v>Spring</v>
      </c>
      <c r="N345" s="2" t="str">
        <f t="shared" si="34"/>
        <v>Saturday</v>
      </c>
      <c r="O345" t="str">
        <f t="shared" si="35"/>
        <v>Cloudy</v>
      </c>
    </row>
    <row r="346" spans="1:15" x14ac:dyDescent="0.25">
      <c r="A346" s="8">
        <v>344</v>
      </c>
      <c r="B346" s="9">
        <v>40558</v>
      </c>
      <c r="C346" s="6">
        <v>1</v>
      </c>
      <c r="D346" s="6" t="str">
        <f t="shared" si="30"/>
        <v>2011</v>
      </c>
      <c r="E346" s="6">
        <v>1</v>
      </c>
      <c r="F346" s="6">
        <v>19</v>
      </c>
      <c r="G346" s="6" t="b">
        <v>0</v>
      </c>
      <c r="H346" s="6">
        <v>6</v>
      </c>
      <c r="I346" s="6">
        <v>2</v>
      </c>
      <c r="J346" s="7">
        <v>0.32</v>
      </c>
      <c r="K346" s="6" t="str">
        <f t="shared" si="31"/>
        <v>Saturday</v>
      </c>
      <c r="L346" s="2" t="str">
        <f t="shared" si="32"/>
        <v>January</v>
      </c>
      <c r="M346" s="2" t="str">
        <f t="shared" si="33"/>
        <v>Spring</v>
      </c>
      <c r="N346" s="2" t="str">
        <f t="shared" si="34"/>
        <v>Saturday</v>
      </c>
      <c r="O346" t="str">
        <f t="shared" si="35"/>
        <v>Cloudy</v>
      </c>
    </row>
    <row r="347" spans="1:15" x14ac:dyDescent="0.25">
      <c r="A347" s="8">
        <v>345</v>
      </c>
      <c r="B347" s="9">
        <v>40558</v>
      </c>
      <c r="C347" s="6">
        <v>1</v>
      </c>
      <c r="D347" s="6" t="str">
        <f t="shared" si="30"/>
        <v>2011</v>
      </c>
      <c r="E347" s="6">
        <v>1</v>
      </c>
      <c r="F347" s="6">
        <v>20</v>
      </c>
      <c r="G347" s="6" t="b">
        <v>0</v>
      </c>
      <c r="H347" s="6">
        <v>6</v>
      </c>
      <c r="I347" s="6">
        <v>2</v>
      </c>
      <c r="J347" s="7">
        <v>0.32</v>
      </c>
      <c r="K347" s="6" t="str">
        <f t="shared" si="31"/>
        <v>Saturday</v>
      </c>
      <c r="L347" s="2" t="str">
        <f t="shared" si="32"/>
        <v>January</v>
      </c>
      <c r="M347" s="2" t="str">
        <f t="shared" si="33"/>
        <v>Spring</v>
      </c>
      <c r="N347" s="2" t="str">
        <f t="shared" si="34"/>
        <v>Saturday</v>
      </c>
      <c r="O347" t="str">
        <f t="shared" si="35"/>
        <v>Cloudy</v>
      </c>
    </row>
    <row r="348" spans="1:15" x14ac:dyDescent="0.25">
      <c r="A348" s="8">
        <v>346</v>
      </c>
      <c r="B348" s="9">
        <v>40558</v>
      </c>
      <c r="C348" s="6">
        <v>1</v>
      </c>
      <c r="D348" s="6" t="str">
        <f t="shared" si="30"/>
        <v>2011</v>
      </c>
      <c r="E348" s="6">
        <v>1</v>
      </c>
      <c r="F348" s="6">
        <v>21</v>
      </c>
      <c r="G348" s="6" t="b">
        <v>0</v>
      </c>
      <c r="H348" s="6">
        <v>6</v>
      </c>
      <c r="I348" s="6">
        <v>2</v>
      </c>
      <c r="J348" s="7">
        <v>0.32</v>
      </c>
      <c r="K348" s="6" t="str">
        <f t="shared" si="31"/>
        <v>Saturday</v>
      </c>
      <c r="L348" s="2" t="str">
        <f t="shared" si="32"/>
        <v>January</v>
      </c>
      <c r="M348" s="2" t="str">
        <f t="shared" si="33"/>
        <v>Spring</v>
      </c>
      <c r="N348" s="2" t="str">
        <f t="shared" si="34"/>
        <v>Saturday</v>
      </c>
      <c r="O348" t="str">
        <f t="shared" si="35"/>
        <v>Cloudy</v>
      </c>
    </row>
    <row r="349" spans="1:15" x14ac:dyDescent="0.25">
      <c r="A349" s="8">
        <v>347</v>
      </c>
      <c r="B349" s="9">
        <v>40558</v>
      </c>
      <c r="C349" s="6">
        <v>1</v>
      </c>
      <c r="D349" s="6" t="str">
        <f t="shared" si="30"/>
        <v>2011</v>
      </c>
      <c r="E349" s="6">
        <v>1</v>
      </c>
      <c r="F349" s="6">
        <v>22</v>
      </c>
      <c r="G349" s="6" t="b">
        <v>0</v>
      </c>
      <c r="H349" s="6">
        <v>6</v>
      </c>
      <c r="I349" s="6">
        <v>2</v>
      </c>
      <c r="J349" s="7">
        <v>0.3</v>
      </c>
      <c r="K349" s="6" t="str">
        <f t="shared" si="31"/>
        <v>Saturday</v>
      </c>
      <c r="L349" s="2" t="str">
        <f t="shared" si="32"/>
        <v>January</v>
      </c>
      <c r="M349" s="2" t="str">
        <f t="shared" si="33"/>
        <v>Spring</v>
      </c>
      <c r="N349" s="2" t="str">
        <f t="shared" si="34"/>
        <v>Saturday</v>
      </c>
      <c r="O349" t="str">
        <f t="shared" si="35"/>
        <v>Cloudy</v>
      </c>
    </row>
    <row r="350" spans="1:15" x14ac:dyDescent="0.25">
      <c r="A350" s="8">
        <v>348</v>
      </c>
      <c r="B350" s="9">
        <v>40558</v>
      </c>
      <c r="C350" s="6">
        <v>1</v>
      </c>
      <c r="D350" s="6" t="str">
        <f t="shared" si="30"/>
        <v>2011</v>
      </c>
      <c r="E350" s="6">
        <v>1</v>
      </c>
      <c r="F350" s="6">
        <v>23</v>
      </c>
      <c r="G350" s="6" t="b">
        <v>0</v>
      </c>
      <c r="H350" s="6">
        <v>6</v>
      </c>
      <c r="I350" s="6">
        <v>1</v>
      </c>
      <c r="J350" s="7">
        <v>0.3</v>
      </c>
      <c r="K350" s="6" t="str">
        <f t="shared" si="31"/>
        <v>Saturday</v>
      </c>
      <c r="L350" s="2" t="str">
        <f t="shared" si="32"/>
        <v>January</v>
      </c>
      <c r="M350" s="2" t="str">
        <f t="shared" si="33"/>
        <v>Spring</v>
      </c>
      <c r="N350" s="2" t="str">
        <f t="shared" si="34"/>
        <v>Saturday</v>
      </c>
      <c r="O350" t="str">
        <f t="shared" si="35"/>
        <v>Clear</v>
      </c>
    </row>
    <row r="351" spans="1:15" x14ac:dyDescent="0.25">
      <c r="A351" s="8">
        <v>349</v>
      </c>
      <c r="B351" s="9">
        <v>40559</v>
      </c>
      <c r="C351" s="6">
        <v>1</v>
      </c>
      <c r="D351" s="6" t="str">
        <f t="shared" si="30"/>
        <v>2011</v>
      </c>
      <c r="E351" s="6">
        <v>1</v>
      </c>
      <c r="F351" s="6">
        <v>0</v>
      </c>
      <c r="G351" s="6" t="b">
        <v>0</v>
      </c>
      <c r="H351" s="6">
        <v>0</v>
      </c>
      <c r="I351" s="6">
        <v>1</v>
      </c>
      <c r="J351" s="7">
        <v>0.26</v>
      </c>
      <c r="K351" s="6" t="str">
        <f t="shared" si="31"/>
        <v>Sunday</v>
      </c>
      <c r="L351" s="2" t="str">
        <f t="shared" si="32"/>
        <v>January</v>
      </c>
      <c r="M351" s="2" t="str">
        <f t="shared" si="33"/>
        <v>Spring</v>
      </c>
      <c r="N351" s="2" t="str">
        <f t="shared" si="34"/>
        <v>Sunday</v>
      </c>
      <c r="O351" t="str">
        <f t="shared" si="35"/>
        <v>Clear</v>
      </c>
    </row>
    <row r="352" spans="1:15" x14ac:dyDescent="0.25">
      <c r="A352" s="8">
        <v>350</v>
      </c>
      <c r="B352" s="9">
        <v>40559</v>
      </c>
      <c r="C352" s="6">
        <v>1</v>
      </c>
      <c r="D352" s="6" t="str">
        <f t="shared" si="30"/>
        <v>2011</v>
      </c>
      <c r="E352" s="6">
        <v>1</v>
      </c>
      <c r="F352" s="6">
        <v>1</v>
      </c>
      <c r="G352" s="6" t="b">
        <v>0</v>
      </c>
      <c r="H352" s="6">
        <v>0</v>
      </c>
      <c r="I352" s="6">
        <v>1</v>
      </c>
      <c r="J352" s="7">
        <v>0.26</v>
      </c>
      <c r="K352" s="6" t="str">
        <f t="shared" si="31"/>
        <v>Sunday</v>
      </c>
      <c r="L352" s="2" t="str">
        <f t="shared" si="32"/>
        <v>January</v>
      </c>
      <c r="M352" s="2" t="str">
        <f t="shared" si="33"/>
        <v>Spring</v>
      </c>
      <c r="N352" s="2" t="str">
        <f t="shared" si="34"/>
        <v>Sunday</v>
      </c>
      <c r="O352" t="str">
        <f t="shared" si="35"/>
        <v>Clear</v>
      </c>
    </row>
    <row r="353" spans="1:15" x14ac:dyDescent="0.25">
      <c r="A353" s="8">
        <v>351</v>
      </c>
      <c r="B353" s="9">
        <v>40559</v>
      </c>
      <c r="C353" s="6">
        <v>1</v>
      </c>
      <c r="D353" s="6" t="str">
        <f t="shared" si="30"/>
        <v>2011</v>
      </c>
      <c r="E353" s="6">
        <v>1</v>
      </c>
      <c r="F353" s="6">
        <v>2</v>
      </c>
      <c r="G353" s="6" t="b">
        <v>0</v>
      </c>
      <c r="H353" s="6">
        <v>0</v>
      </c>
      <c r="I353" s="6">
        <v>1</v>
      </c>
      <c r="J353" s="7">
        <v>0.26</v>
      </c>
      <c r="K353" s="6" t="str">
        <f t="shared" si="31"/>
        <v>Sunday</v>
      </c>
      <c r="L353" s="2" t="str">
        <f t="shared" si="32"/>
        <v>January</v>
      </c>
      <c r="M353" s="2" t="str">
        <f t="shared" si="33"/>
        <v>Spring</v>
      </c>
      <c r="N353" s="2" t="str">
        <f t="shared" si="34"/>
        <v>Sunday</v>
      </c>
      <c r="O353" t="str">
        <f t="shared" si="35"/>
        <v>Clear</v>
      </c>
    </row>
    <row r="354" spans="1:15" x14ac:dyDescent="0.25">
      <c r="A354" s="8">
        <v>352</v>
      </c>
      <c r="B354" s="9">
        <v>40559</v>
      </c>
      <c r="C354" s="6">
        <v>1</v>
      </c>
      <c r="D354" s="6" t="str">
        <f t="shared" si="30"/>
        <v>2011</v>
      </c>
      <c r="E354" s="6">
        <v>1</v>
      </c>
      <c r="F354" s="6">
        <v>3</v>
      </c>
      <c r="G354" s="6" t="b">
        <v>0</v>
      </c>
      <c r="H354" s="6">
        <v>0</v>
      </c>
      <c r="I354" s="6">
        <v>1</v>
      </c>
      <c r="J354" s="7">
        <v>0.22</v>
      </c>
      <c r="K354" s="6" t="str">
        <f t="shared" si="31"/>
        <v>Sunday</v>
      </c>
      <c r="L354" s="2" t="str">
        <f t="shared" si="32"/>
        <v>January</v>
      </c>
      <c r="M354" s="2" t="str">
        <f t="shared" si="33"/>
        <v>Spring</v>
      </c>
      <c r="N354" s="2" t="str">
        <f t="shared" si="34"/>
        <v>Sunday</v>
      </c>
      <c r="O354" t="str">
        <f t="shared" si="35"/>
        <v>Clear</v>
      </c>
    </row>
    <row r="355" spans="1:15" x14ac:dyDescent="0.25">
      <c r="A355" s="8">
        <v>353</v>
      </c>
      <c r="B355" s="9">
        <v>40559</v>
      </c>
      <c r="C355" s="6">
        <v>1</v>
      </c>
      <c r="D355" s="6" t="str">
        <f t="shared" si="30"/>
        <v>2011</v>
      </c>
      <c r="E355" s="6">
        <v>1</v>
      </c>
      <c r="F355" s="6">
        <v>4</v>
      </c>
      <c r="G355" s="6" t="b">
        <v>0</v>
      </c>
      <c r="H355" s="6">
        <v>0</v>
      </c>
      <c r="I355" s="6">
        <v>1</v>
      </c>
      <c r="J355" s="7">
        <v>0.26</v>
      </c>
      <c r="K355" s="6" t="str">
        <f t="shared" si="31"/>
        <v>Sunday</v>
      </c>
      <c r="L355" s="2" t="str">
        <f t="shared" si="32"/>
        <v>January</v>
      </c>
      <c r="M355" s="2" t="str">
        <f t="shared" si="33"/>
        <v>Spring</v>
      </c>
      <c r="N355" s="2" t="str">
        <f t="shared" si="34"/>
        <v>Sunday</v>
      </c>
      <c r="O355" t="str">
        <f t="shared" si="35"/>
        <v>Clear</v>
      </c>
    </row>
    <row r="356" spans="1:15" x14ac:dyDescent="0.25">
      <c r="A356" s="8">
        <v>354</v>
      </c>
      <c r="B356" s="9">
        <v>40559</v>
      </c>
      <c r="C356" s="6">
        <v>1</v>
      </c>
      <c r="D356" s="6" t="str">
        <f t="shared" si="30"/>
        <v>2011</v>
      </c>
      <c r="E356" s="6">
        <v>1</v>
      </c>
      <c r="F356" s="6">
        <v>5</v>
      </c>
      <c r="G356" s="6" t="b">
        <v>0</v>
      </c>
      <c r="H356" s="6">
        <v>0</v>
      </c>
      <c r="I356" s="6">
        <v>2</v>
      </c>
      <c r="J356" s="7">
        <v>0.26</v>
      </c>
      <c r="K356" s="6" t="str">
        <f t="shared" si="31"/>
        <v>Sunday</v>
      </c>
      <c r="L356" s="2" t="str">
        <f t="shared" si="32"/>
        <v>January</v>
      </c>
      <c r="M356" s="2" t="str">
        <f t="shared" si="33"/>
        <v>Spring</v>
      </c>
      <c r="N356" s="2" t="str">
        <f t="shared" si="34"/>
        <v>Sunday</v>
      </c>
      <c r="O356" t="str">
        <f t="shared" si="35"/>
        <v>Cloudy</v>
      </c>
    </row>
    <row r="357" spans="1:15" x14ac:dyDescent="0.25">
      <c r="A357" s="8">
        <v>355</v>
      </c>
      <c r="B357" s="9">
        <v>40559</v>
      </c>
      <c r="C357" s="6">
        <v>1</v>
      </c>
      <c r="D357" s="6" t="str">
        <f t="shared" si="30"/>
        <v>2011</v>
      </c>
      <c r="E357" s="6">
        <v>1</v>
      </c>
      <c r="F357" s="6">
        <v>6</v>
      </c>
      <c r="G357" s="6" t="b">
        <v>0</v>
      </c>
      <c r="H357" s="6">
        <v>0</v>
      </c>
      <c r="I357" s="6">
        <v>2</v>
      </c>
      <c r="J357" s="7">
        <v>0.26</v>
      </c>
      <c r="K357" s="6" t="str">
        <f t="shared" si="31"/>
        <v>Sunday</v>
      </c>
      <c r="L357" s="2" t="str">
        <f t="shared" si="32"/>
        <v>January</v>
      </c>
      <c r="M357" s="2" t="str">
        <f t="shared" si="33"/>
        <v>Spring</v>
      </c>
      <c r="N357" s="2" t="str">
        <f t="shared" si="34"/>
        <v>Sunday</v>
      </c>
      <c r="O357" t="str">
        <f t="shared" si="35"/>
        <v>Cloudy</v>
      </c>
    </row>
    <row r="358" spans="1:15" x14ac:dyDescent="0.25">
      <c r="A358" s="8">
        <v>356</v>
      </c>
      <c r="B358" s="9">
        <v>40559</v>
      </c>
      <c r="C358" s="6">
        <v>1</v>
      </c>
      <c r="D358" s="6" t="str">
        <f t="shared" si="30"/>
        <v>2011</v>
      </c>
      <c r="E358" s="6">
        <v>1</v>
      </c>
      <c r="F358" s="6">
        <v>7</v>
      </c>
      <c r="G358" s="6" t="b">
        <v>0</v>
      </c>
      <c r="H358" s="6">
        <v>0</v>
      </c>
      <c r="I358" s="6">
        <v>2</v>
      </c>
      <c r="J358" s="7">
        <v>0.24</v>
      </c>
      <c r="K358" s="6" t="str">
        <f t="shared" si="31"/>
        <v>Sunday</v>
      </c>
      <c r="L358" s="2" t="str">
        <f t="shared" si="32"/>
        <v>January</v>
      </c>
      <c r="M358" s="2" t="str">
        <f t="shared" si="33"/>
        <v>Spring</v>
      </c>
      <c r="N358" s="2" t="str">
        <f t="shared" si="34"/>
        <v>Sunday</v>
      </c>
      <c r="O358" t="str">
        <f t="shared" si="35"/>
        <v>Cloudy</v>
      </c>
    </row>
    <row r="359" spans="1:15" x14ac:dyDescent="0.25">
      <c r="A359" s="8">
        <v>357</v>
      </c>
      <c r="B359" s="9">
        <v>40559</v>
      </c>
      <c r="C359" s="6">
        <v>1</v>
      </c>
      <c r="D359" s="6" t="str">
        <f t="shared" si="30"/>
        <v>2011</v>
      </c>
      <c r="E359" s="6">
        <v>1</v>
      </c>
      <c r="F359" s="6">
        <v>8</v>
      </c>
      <c r="G359" s="6" t="b">
        <v>0</v>
      </c>
      <c r="H359" s="6">
        <v>0</v>
      </c>
      <c r="I359" s="6">
        <v>1</v>
      </c>
      <c r="J359" s="7">
        <v>0.22</v>
      </c>
      <c r="K359" s="6" t="str">
        <f t="shared" si="31"/>
        <v>Sunday</v>
      </c>
      <c r="L359" s="2" t="str">
        <f t="shared" si="32"/>
        <v>January</v>
      </c>
      <c r="M359" s="2" t="str">
        <f t="shared" si="33"/>
        <v>Spring</v>
      </c>
      <c r="N359" s="2" t="str">
        <f t="shared" si="34"/>
        <v>Sunday</v>
      </c>
      <c r="O359" t="str">
        <f t="shared" si="35"/>
        <v>Clear</v>
      </c>
    </row>
    <row r="360" spans="1:15" x14ac:dyDescent="0.25">
      <c r="A360" s="8">
        <v>358</v>
      </c>
      <c r="B360" s="9">
        <v>40559</v>
      </c>
      <c r="C360" s="6">
        <v>1</v>
      </c>
      <c r="D360" s="6" t="str">
        <f t="shared" si="30"/>
        <v>2011</v>
      </c>
      <c r="E360" s="6">
        <v>1</v>
      </c>
      <c r="F360" s="6">
        <v>9</v>
      </c>
      <c r="G360" s="6" t="b">
        <v>0</v>
      </c>
      <c r="H360" s="6">
        <v>0</v>
      </c>
      <c r="I360" s="6">
        <v>1</v>
      </c>
      <c r="J360" s="7">
        <v>0.22</v>
      </c>
      <c r="K360" s="6" t="str">
        <f t="shared" si="31"/>
        <v>Sunday</v>
      </c>
      <c r="L360" s="2" t="str">
        <f t="shared" si="32"/>
        <v>January</v>
      </c>
      <c r="M360" s="2" t="str">
        <f t="shared" si="33"/>
        <v>Spring</v>
      </c>
      <c r="N360" s="2" t="str">
        <f t="shared" si="34"/>
        <v>Sunday</v>
      </c>
      <c r="O360" t="str">
        <f t="shared" si="35"/>
        <v>Clear</v>
      </c>
    </row>
    <row r="361" spans="1:15" x14ac:dyDescent="0.25">
      <c r="A361" s="8">
        <v>359</v>
      </c>
      <c r="B361" s="9">
        <v>40559</v>
      </c>
      <c r="C361" s="6">
        <v>1</v>
      </c>
      <c r="D361" s="6" t="str">
        <f t="shared" si="30"/>
        <v>2011</v>
      </c>
      <c r="E361" s="6">
        <v>1</v>
      </c>
      <c r="F361" s="6">
        <v>10</v>
      </c>
      <c r="G361" s="6" t="b">
        <v>0</v>
      </c>
      <c r="H361" s="6">
        <v>0</v>
      </c>
      <c r="I361" s="6">
        <v>1</v>
      </c>
      <c r="J361" s="7">
        <v>0.22</v>
      </c>
      <c r="K361" s="6" t="str">
        <f t="shared" si="31"/>
        <v>Sunday</v>
      </c>
      <c r="L361" s="2" t="str">
        <f t="shared" si="32"/>
        <v>January</v>
      </c>
      <c r="M361" s="2" t="str">
        <f t="shared" si="33"/>
        <v>Spring</v>
      </c>
      <c r="N361" s="2" t="str">
        <f t="shared" si="34"/>
        <v>Sunday</v>
      </c>
      <c r="O361" t="str">
        <f t="shared" si="35"/>
        <v>Clear</v>
      </c>
    </row>
    <row r="362" spans="1:15" x14ac:dyDescent="0.25">
      <c r="A362" s="8">
        <v>360</v>
      </c>
      <c r="B362" s="9">
        <v>40559</v>
      </c>
      <c r="C362" s="6">
        <v>1</v>
      </c>
      <c r="D362" s="6" t="str">
        <f t="shared" si="30"/>
        <v>2011</v>
      </c>
      <c r="E362" s="6">
        <v>1</v>
      </c>
      <c r="F362" s="6">
        <v>11</v>
      </c>
      <c r="G362" s="6" t="b">
        <v>0</v>
      </c>
      <c r="H362" s="6">
        <v>0</v>
      </c>
      <c r="I362" s="6">
        <v>1</v>
      </c>
      <c r="J362" s="7">
        <v>0.24</v>
      </c>
      <c r="K362" s="6" t="str">
        <f t="shared" si="31"/>
        <v>Sunday</v>
      </c>
      <c r="L362" s="2" t="str">
        <f t="shared" si="32"/>
        <v>January</v>
      </c>
      <c r="M362" s="2" t="str">
        <f t="shared" si="33"/>
        <v>Spring</v>
      </c>
      <c r="N362" s="2" t="str">
        <f t="shared" si="34"/>
        <v>Sunday</v>
      </c>
      <c r="O362" t="str">
        <f t="shared" si="35"/>
        <v>Clear</v>
      </c>
    </row>
    <row r="363" spans="1:15" x14ac:dyDescent="0.25">
      <c r="A363" s="8">
        <v>361</v>
      </c>
      <c r="B363" s="9">
        <v>40559</v>
      </c>
      <c r="C363" s="6">
        <v>1</v>
      </c>
      <c r="D363" s="6" t="str">
        <f t="shared" si="30"/>
        <v>2011</v>
      </c>
      <c r="E363" s="6">
        <v>1</v>
      </c>
      <c r="F363" s="6">
        <v>12</v>
      </c>
      <c r="G363" s="6" t="b">
        <v>0</v>
      </c>
      <c r="H363" s="6">
        <v>0</v>
      </c>
      <c r="I363" s="6">
        <v>1</v>
      </c>
      <c r="J363" s="7">
        <v>0.24</v>
      </c>
      <c r="K363" s="6" t="str">
        <f t="shared" si="31"/>
        <v>Sunday</v>
      </c>
      <c r="L363" s="2" t="str">
        <f t="shared" si="32"/>
        <v>January</v>
      </c>
      <c r="M363" s="2" t="str">
        <f t="shared" si="33"/>
        <v>Spring</v>
      </c>
      <c r="N363" s="2" t="str">
        <f t="shared" si="34"/>
        <v>Sunday</v>
      </c>
      <c r="O363" t="str">
        <f t="shared" si="35"/>
        <v>Clear</v>
      </c>
    </row>
    <row r="364" spans="1:15" x14ac:dyDescent="0.25">
      <c r="A364" s="8">
        <v>362</v>
      </c>
      <c r="B364" s="9">
        <v>40559</v>
      </c>
      <c r="C364" s="6">
        <v>1</v>
      </c>
      <c r="D364" s="6" t="str">
        <f t="shared" si="30"/>
        <v>2011</v>
      </c>
      <c r="E364" s="6">
        <v>1</v>
      </c>
      <c r="F364" s="6">
        <v>13</v>
      </c>
      <c r="G364" s="6" t="b">
        <v>0</v>
      </c>
      <c r="H364" s="6">
        <v>0</v>
      </c>
      <c r="I364" s="6">
        <v>1</v>
      </c>
      <c r="J364" s="7">
        <v>0.26</v>
      </c>
      <c r="K364" s="6" t="str">
        <f t="shared" si="31"/>
        <v>Sunday</v>
      </c>
      <c r="L364" s="2" t="str">
        <f t="shared" si="32"/>
        <v>January</v>
      </c>
      <c r="M364" s="2" t="str">
        <f t="shared" si="33"/>
        <v>Spring</v>
      </c>
      <c r="N364" s="2" t="str">
        <f t="shared" si="34"/>
        <v>Sunday</v>
      </c>
      <c r="O364" t="str">
        <f t="shared" si="35"/>
        <v>Clear</v>
      </c>
    </row>
    <row r="365" spans="1:15" x14ac:dyDescent="0.25">
      <c r="A365" s="8">
        <v>363</v>
      </c>
      <c r="B365" s="9">
        <v>40559</v>
      </c>
      <c r="C365" s="6">
        <v>1</v>
      </c>
      <c r="D365" s="6" t="str">
        <f t="shared" si="30"/>
        <v>2011</v>
      </c>
      <c r="E365" s="6">
        <v>1</v>
      </c>
      <c r="F365" s="6">
        <v>14</v>
      </c>
      <c r="G365" s="6" t="b">
        <v>0</v>
      </c>
      <c r="H365" s="6">
        <v>0</v>
      </c>
      <c r="I365" s="6">
        <v>1</v>
      </c>
      <c r="J365" s="7">
        <v>0.28000000000000003</v>
      </c>
      <c r="K365" s="6" t="str">
        <f t="shared" si="31"/>
        <v>Sunday</v>
      </c>
      <c r="L365" s="2" t="str">
        <f t="shared" si="32"/>
        <v>January</v>
      </c>
      <c r="M365" s="2" t="str">
        <f t="shared" si="33"/>
        <v>Spring</v>
      </c>
      <c r="N365" s="2" t="str">
        <f t="shared" si="34"/>
        <v>Sunday</v>
      </c>
      <c r="O365" t="str">
        <f t="shared" si="35"/>
        <v>Clear</v>
      </c>
    </row>
    <row r="366" spans="1:15" x14ac:dyDescent="0.25">
      <c r="A366" s="8">
        <v>364</v>
      </c>
      <c r="B366" s="9">
        <v>40559</v>
      </c>
      <c r="C366" s="6">
        <v>1</v>
      </c>
      <c r="D366" s="6" t="str">
        <f t="shared" si="30"/>
        <v>2011</v>
      </c>
      <c r="E366" s="6">
        <v>1</v>
      </c>
      <c r="F366" s="6">
        <v>15</v>
      </c>
      <c r="G366" s="6" t="b">
        <v>0</v>
      </c>
      <c r="H366" s="6">
        <v>0</v>
      </c>
      <c r="I366" s="6">
        <v>1</v>
      </c>
      <c r="J366" s="7">
        <v>0.26</v>
      </c>
      <c r="K366" s="6" t="str">
        <f t="shared" si="31"/>
        <v>Sunday</v>
      </c>
      <c r="L366" s="2" t="str">
        <f t="shared" si="32"/>
        <v>January</v>
      </c>
      <c r="M366" s="2" t="str">
        <f t="shared" si="33"/>
        <v>Spring</v>
      </c>
      <c r="N366" s="2" t="str">
        <f t="shared" si="34"/>
        <v>Sunday</v>
      </c>
      <c r="O366" t="str">
        <f t="shared" si="35"/>
        <v>Clear</v>
      </c>
    </row>
    <row r="367" spans="1:15" x14ac:dyDescent="0.25">
      <c r="A367" s="8">
        <v>365</v>
      </c>
      <c r="B367" s="9">
        <v>40559</v>
      </c>
      <c r="C367" s="6">
        <v>1</v>
      </c>
      <c r="D367" s="6" t="str">
        <f t="shared" si="30"/>
        <v>2011</v>
      </c>
      <c r="E367" s="6">
        <v>1</v>
      </c>
      <c r="F367" s="6">
        <v>16</v>
      </c>
      <c r="G367" s="6" t="b">
        <v>0</v>
      </c>
      <c r="H367" s="6">
        <v>0</v>
      </c>
      <c r="I367" s="6">
        <v>1</v>
      </c>
      <c r="J367" s="7">
        <v>0.24</v>
      </c>
      <c r="K367" s="6" t="str">
        <f t="shared" si="31"/>
        <v>Sunday</v>
      </c>
      <c r="L367" s="2" t="str">
        <f t="shared" si="32"/>
        <v>January</v>
      </c>
      <c r="M367" s="2" t="str">
        <f t="shared" si="33"/>
        <v>Spring</v>
      </c>
      <c r="N367" s="2" t="str">
        <f t="shared" si="34"/>
        <v>Sunday</v>
      </c>
      <c r="O367" t="str">
        <f t="shared" si="35"/>
        <v>Clear</v>
      </c>
    </row>
    <row r="368" spans="1:15" x14ac:dyDescent="0.25">
      <c r="A368" s="8">
        <v>366</v>
      </c>
      <c r="B368" s="9">
        <v>40559</v>
      </c>
      <c r="C368" s="6">
        <v>1</v>
      </c>
      <c r="D368" s="6" t="str">
        <f t="shared" si="30"/>
        <v>2011</v>
      </c>
      <c r="E368" s="6">
        <v>1</v>
      </c>
      <c r="F368" s="6">
        <v>17</v>
      </c>
      <c r="G368" s="6" t="b">
        <v>0</v>
      </c>
      <c r="H368" s="6">
        <v>0</v>
      </c>
      <c r="I368" s="6">
        <v>1</v>
      </c>
      <c r="J368" s="7">
        <v>0.22</v>
      </c>
      <c r="K368" s="6" t="str">
        <f t="shared" si="31"/>
        <v>Sunday</v>
      </c>
      <c r="L368" s="2" t="str">
        <f t="shared" si="32"/>
        <v>January</v>
      </c>
      <c r="M368" s="2" t="str">
        <f t="shared" si="33"/>
        <v>Spring</v>
      </c>
      <c r="N368" s="2" t="str">
        <f t="shared" si="34"/>
        <v>Sunday</v>
      </c>
      <c r="O368" t="str">
        <f t="shared" si="35"/>
        <v>Clear</v>
      </c>
    </row>
    <row r="369" spans="1:15" x14ac:dyDescent="0.25">
      <c r="A369" s="8">
        <v>367</v>
      </c>
      <c r="B369" s="9">
        <v>40559</v>
      </c>
      <c r="C369" s="6">
        <v>1</v>
      </c>
      <c r="D369" s="6" t="str">
        <f t="shared" si="30"/>
        <v>2011</v>
      </c>
      <c r="E369" s="6">
        <v>1</v>
      </c>
      <c r="F369" s="6">
        <v>18</v>
      </c>
      <c r="G369" s="6" t="b">
        <v>0</v>
      </c>
      <c r="H369" s="6">
        <v>0</v>
      </c>
      <c r="I369" s="6">
        <v>1</v>
      </c>
      <c r="J369" s="7">
        <v>0.2</v>
      </c>
      <c r="K369" s="6" t="str">
        <f t="shared" si="31"/>
        <v>Sunday</v>
      </c>
      <c r="L369" s="2" t="str">
        <f t="shared" si="32"/>
        <v>January</v>
      </c>
      <c r="M369" s="2" t="str">
        <f t="shared" si="33"/>
        <v>Spring</v>
      </c>
      <c r="N369" s="2" t="str">
        <f t="shared" si="34"/>
        <v>Sunday</v>
      </c>
      <c r="O369" t="str">
        <f t="shared" si="35"/>
        <v>Clear</v>
      </c>
    </row>
    <row r="370" spans="1:15" x14ac:dyDescent="0.25">
      <c r="A370" s="8">
        <v>368</v>
      </c>
      <c r="B370" s="9">
        <v>40559</v>
      </c>
      <c r="C370" s="6">
        <v>1</v>
      </c>
      <c r="D370" s="6" t="str">
        <f t="shared" si="30"/>
        <v>2011</v>
      </c>
      <c r="E370" s="6">
        <v>1</v>
      </c>
      <c r="F370" s="6">
        <v>19</v>
      </c>
      <c r="G370" s="6" t="b">
        <v>0</v>
      </c>
      <c r="H370" s="6">
        <v>0</v>
      </c>
      <c r="I370" s="6">
        <v>1</v>
      </c>
      <c r="J370" s="7">
        <v>0.18</v>
      </c>
      <c r="K370" s="6" t="str">
        <f t="shared" si="31"/>
        <v>Sunday</v>
      </c>
      <c r="L370" s="2" t="str">
        <f t="shared" si="32"/>
        <v>January</v>
      </c>
      <c r="M370" s="2" t="str">
        <f t="shared" si="33"/>
        <v>Spring</v>
      </c>
      <c r="N370" s="2" t="str">
        <f t="shared" si="34"/>
        <v>Sunday</v>
      </c>
      <c r="O370" t="str">
        <f t="shared" si="35"/>
        <v>Clear</v>
      </c>
    </row>
    <row r="371" spans="1:15" x14ac:dyDescent="0.25">
      <c r="A371" s="8">
        <v>369</v>
      </c>
      <c r="B371" s="9">
        <v>40559</v>
      </c>
      <c r="C371" s="6">
        <v>1</v>
      </c>
      <c r="D371" s="6" t="str">
        <f t="shared" si="30"/>
        <v>2011</v>
      </c>
      <c r="E371" s="6">
        <v>1</v>
      </c>
      <c r="F371" s="6">
        <v>20</v>
      </c>
      <c r="G371" s="6" t="b">
        <v>0</v>
      </c>
      <c r="H371" s="6">
        <v>0</v>
      </c>
      <c r="I371" s="6">
        <v>1</v>
      </c>
      <c r="J371" s="7">
        <v>0.18</v>
      </c>
      <c r="K371" s="6" t="str">
        <f t="shared" si="31"/>
        <v>Sunday</v>
      </c>
      <c r="L371" s="2" t="str">
        <f t="shared" si="32"/>
        <v>January</v>
      </c>
      <c r="M371" s="2" t="str">
        <f t="shared" si="33"/>
        <v>Spring</v>
      </c>
      <c r="N371" s="2" t="str">
        <f t="shared" si="34"/>
        <v>Sunday</v>
      </c>
      <c r="O371" t="str">
        <f t="shared" si="35"/>
        <v>Clear</v>
      </c>
    </row>
    <row r="372" spans="1:15" x14ac:dyDescent="0.25">
      <c r="A372" s="8">
        <v>370</v>
      </c>
      <c r="B372" s="9">
        <v>40559</v>
      </c>
      <c r="C372" s="6">
        <v>1</v>
      </c>
      <c r="D372" s="6" t="str">
        <f t="shared" si="30"/>
        <v>2011</v>
      </c>
      <c r="E372" s="6">
        <v>1</v>
      </c>
      <c r="F372" s="6">
        <v>21</v>
      </c>
      <c r="G372" s="6" t="b">
        <v>0</v>
      </c>
      <c r="H372" s="6">
        <v>0</v>
      </c>
      <c r="I372" s="6">
        <v>1</v>
      </c>
      <c r="J372" s="7">
        <v>0.18</v>
      </c>
      <c r="K372" s="6" t="str">
        <f t="shared" si="31"/>
        <v>Sunday</v>
      </c>
      <c r="L372" s="2" t="str">
        <f t="shared" si="32"/>
        <v>January</v>
      </c>
      <c r="M372" s="2" t="str">
        <f t="shared" si="33"/>
        <v>Spring</v>
      </c>
      <c r="N372" s="2" t="str">
        <f t="shared" si="34"/>
        <v>Sunday</v>
      </c>
      <c r="O372" t="str">
        <f t="shared" si="35"/>
        <v>Clear</v>
      </c>
    </row>
    <row r="373" spans="1:15" x14ac:dyDescent="0.25">
      <c r="A373" s="8">
        <v>371</v>
      </c>
      <c r="B373" s="9">
        <v>40559</v>
      </c>
      <c r="C373" s="6">
        <v>1</v>
      </c>
      <c r="D373" s="6" t="str">
        <f t="shared" si="30"/>
        <v>2011</v>
      </c>
      <c r="E373" s="6">
        <v>1</v>
      </c>
      <c r="F373" s="6">
        <v>22</v>
      </c>
      <c r="G373" s="6" t="b">
        <v>0</v>
      </c>
      <c r="H373" s="6">
        <v>0</v>
      </c>
      <c r="I373" s="6">
        <v>2</v>
      </c>
      <c r="J373" s="7">
        <v>0.2</v>
      </c>
      <c r="K373" s="6" t="str">
        <f t="shared" si="31"/>
        <v>Sunday</v>
      </c>
      <c r="L373" s="2" t="str">
        <f t="shared" si="32"/>
        <v>January</v>
      </c>
      <c r="M373" s="2" t="str">
        <f t="shared" si="33"/>
        <v>Spring</v>
      </c>
      <c r="N373" s="2" t="str">
        <f t="shared" si="34"/>
        <v>Sunday</v>
      </c>
      <c r="O373" t="str">
        <f t="shared" si="35"/>
        <v>Cloudy</v>
      </c>
    </row>
    <row r="374" spans="1:15" x14ac:dyDescent="0.25">
      <c r="A374" s="8">
        <v>372</v>
      </c>
      <c r="B374" s="9">
        <v>40559</v>
      </c>
      <c r="C374" s="6">
        <v>1</v>
      </c>
      <c r="D374" s="6" t="str">
        <f t="shared" si="30"/>
        <v>2011</v>
      </c>
      <c r="E374" s="6">
        <v>1</v>
      </c>
      <c r="F374" s="6">
        <v>23</v>
      </c>
      <c r="G374" s="6" t="b">
        <v>0</v>
      </c>
      <c r="H374" s="6">
        <v>0</v>
      </c>
      <c r="I374" s="6">
        <v>2</v>
      </c>
      <c r="J374" s="7">
        <v>0.2</v>
      </c>
      <c r="K374" s="6" t="str">
        <f t="shared" si="31"/>
        <v>Sunday</v>
      </c>
      <c r="L374" s="2" t="str">
        <f t="shared" si="32"/>
        <v>January</v>
      </c>
      <c r="M374" s="2" t="str">
        <f t="shared" si="33"/>
        <v>Spring</v>
      </c>
      <c r="N374" s="2" t="str">
        <f t="shared" si="34"/>
        <v>Sunday</v>
      </c>
      <c r="O374" t="str">
        <f t="shared" si="35"/>
        <v>Cloudy</v>
      </c>
    </row>
    <row r="375" spans="1:15" x14ac:dyDescent="0.25">
      <c r="A375" s="8">
        <v>373</v>
      </c>
      <c r="B375" s="9">
        <v>40560</v>
      </c>
      <c r="C375" s="6">
        <v>1</v>
      </c>
      <c r="D375" s="6" t="str">
        <f t="shared" si="30"/>
        <v>2011</v>
      </c>
      <c r="E375" s="6">
        <v>1</v>
      </c>
      <c r="F375" s="6">
        <v>0</v>
      </c>
      <c r="G375" s="6" t="b">
        <v>1</v>
      </c>
      <c r="H375" s="6">
        <v>1</v>
      </c>
      <c r="I375" s="6">
        <v>2</v>
      </c>
      <c r="J375" s="7">
        <v>0.2</v>
      </c>
      <c r="K375" s="6" t="str">
        <f t="shared" si="31"/>
        <v>Monday</v>
      </c>
      <c r="L375" s="2" t="str">
        <f t="shared" si="32"/>
        <v>January</v>
      </c>
      <c r="M375" s="2" t="str">
        <f t="shared" si="33"/>
        <v>Spring</v>
      </c>
      <c r="N375" s="2" t="str">
        <f t="shared" si="34"/>
        <v>Monday</v>
      </c>
      <c r="O375" t="str">
        <f t="shared" si="35"/>
        <v>Cloudy</v>
      </c>
    </row>
    <row r="376" spans="1:15" x14ac:dyDescent="0.25">
      <c r="A376" s="8">
        <v>374</v>
      </c>
      <c r="B376" s="9">
        <v>40560</v>
      </c>
      <c r="C376" s="6">
        <v>1</v>
      </c>
      <c r="D376" s="6" t="str">
        <f t="shared" si="30"/>
        <v>2011</v>
      </c>
      <c r="E376" s="6">
        <v>1</v>
      </c>
      <c r="F376" s="6">
        <v>1</v>
      </c>
      <c r="G376" s="6" t="b">
        <v>1</v>
      </c>
      <c r="H376" s="6">
        <v>1</v>
      </c>
      <c r="I376" s="6">
        <v>2</v>
      </c>
      <c r="J376" s="7">
        <v>0.2</v>
      </c>
      <c r="K376" s="6" t="str">
        <f t="shared" si="31"/>
        <v>Monday</v>
      </c>
      <c r="L376" s="2" t="str">
        <f t="shared" si="32"/>
        <v>January</v>
      </c>
      <c r="M376" s="2" t="str">
        <f t="shared" si="33"/>
        <v>Spring</v>
      </c>
      <c r="N376" s="2" t="str">
        <f t="shared" si="34"/>
        <v>Monday</v>
      </c>
      <c r="O376" t="str">
        <f t="shared" si="35"/>
        <v>Cloudy</v>
      </c>
    </row>
    <row r="377" spans="1:15" x14ac:dyDescent="0.25">
      <c r="A377" s="8">
        <v>375</v>
      </c>
      <c r="B377" s="9">
        <v>40560</v>
      </c>
      <c r="C377" s="6">
        <v>1</v>
      </c>
      <c r="D377" s="6" t="str">
        <f t="shared" si="30"/>
        <v>2011</v>
      </c>
      <c r="E377" s="6">
        <v>1</v>
      </c>
      <c r="F377" s="6">
        <v>2</v>
      </c>
      <c r="G377" s="6" t="b">
        <v>1</v>
      </c>
      <c r="H377" s="6">
        <v>1</v>
      </c>
      <c r="I377" s="6">
        <v>2</v>
      </c>
      <c r="J377" s="7">
        <v>0.18</v>
      </c>
      <c r="K377" s="6" t="str">
        <f t="shared" si="31"/>
        <v>Monday</v>
      </c>
      <c r="L377" s="2" t="str">
        <f t="shared" si="32"/>
        <v>January</v>
      </c>
      <c r="M377" s="2" t="str">
        <f t="shared" si="33"/>
        <v>Spring</v>
      </c>
      <c r="N377" s="2" t="str">
        <f t="shared" si="34"/>
        <v>Monday</v>
      </c>
      <c r="O377" t="str">
        <f t="shared" si="35"/>
        <v>Cloudy</v>
      </c>
    </row>
    <row r="378" spans="1:15" x14ac:dyDescent="0.25">
      <c r="A378" s="8">
        <v>376</v>
      </c>
      <c r="B378" s="9">
        <v>40560</v>
      </c>
      <c r="C378" s="6">
        <v>1</v>
      </c>
      <c r="D378" s="6" t="str">
        <f t="shared" si="30"/>
        <v>2011</v>
      </c>
      <c r="E378" s="6">
        <v>1</v>
      </c>
      <c r="F378" s="6">
        <v>3</v>
      </c>
      <c r="G378" s="6" t="b">
        <v>1</v>
      </c>
      <c r="H378" s="6">
        <v>1</v>
      </c>
      <c r="I378" s="6">
        <v>2</v>
      </c>
      <c r="J378" s="7">
        <v>0.18</v>
      </c>
      <c r="K378" s="6" t="str">
        <f t="shared" si="31"/>
        <v>Monday</v>
      </c>
      <c r="L378" s="2" t="str">
        <f t="shared" si="32"/>
        <v>January</v>
      </c>
      <c r="M378" s="2" t="str">
        <f t="shared" si="33"/>
        <v>Spring</v>
      </c>
      <c r="N378" s="2" t="str">
        <f t="shared" si="34"/>
        <v>Monday</v>
      </c>
      <c r="O378" t="str">
        <f t="shared" si="35"/>
        <v>Cloudy</v>
      </c>
    </row>
    <row r="379" spans="1:15" x14ac:dyDescent="0.25">
      <c r="A379" s="8">
        <v>377</v>
      </c>
      <c r="B379" s="9">
        <v>40560</v>
      </c>
      <c r="C379" s="6">
        <v>1</v>
      </c>
      <c r="D379" s="6" t="str">
        <f t="shared" si="30"/>
        <v>2011</v>
      </c>
      <c r="E379" s="6">
        <v>1</v>
      </c>
      <c r="F379" s="6">
        <v>4</v>
      </c>
      <c r="G379" s="6" t="b">
        <v>1</v>
      </c>
      <c r="H379" s="6">
        <v>1</v>
      </c>
      <c r="I379" s="6">
        <v>2</v>
      </c>
      <c r="J379" s="7">
        <v>0.18</v>
      </c>
      <c r="K379" s="6" t="str">
        <f t="shared" si="31"/>
        <v>Monday</v>
      </c>
      <c r="L379" s="2" t="str">
        <f t="shared" si="32"/>
        <v>January</v>
      </c>
      <c r="M379" s="2" t="str">
        <f t="shared" si="33"/>
        <v>Spring</v>
      </c>
      <c r="N379" s="2" t="str">
        <f t="shared" si="34"/>
        <v>Monday</v>
      </c>
      <c r="O379" t="str">
        <f t="shared" si="35"/>
        <v>Cloudy</v>
      </c>
    </row>
    <row r="380" spans="1:15" x14ac:dyDescent="0.25">
      <c r="A380" s="8">
        <v>378</v>
      </c>
      <c r="B380" s="9">
        <v>40560</v>
      </c>
      <c r="C380" s="6">
        <v>1</v>
      </c>
      <c r="D380" s="6" t="str">
        <f t="shared" si="30"/>
        <v>2011</v>
      </c>
      <c r="E380" s="6">
        <v>1</v>
      </c>
      <c r="F380" s="6">
        <v>5</v>
      </c>
      <c r="G380" s="6" t="b">
        <v>1</v>
      </c>
      <c r="H380" s="6">
        <v>1</v>
      </c>
      <c r="I380" s="6">
        <v>2</v>
      </c>
      <c r="J380" s="7">
        <v>0.18</v>
      </c>
      <c r="K380" s="6" t="str">
        <f t="shared" si="31"/>
        <v>Monday</v>
      </c>
      <c r="L380" s="2" t="str">
        <f t="shared" si="32"/>
        <v>January</v>
      </c>
      <c r="M380" s="2" t="str">
        <f t="shared" si="33"/>
        <v>Spring</v>
      </c>
      <c r="N380" s="2" t="str">
        <f t="shared" si="34"/>
        <v>Monday</v>
      </c>
      <c r="O380" t="str">
        <f t="shared" si="35"/>
        <v>Cloudy</v>
      </c>
    </row>
    <row r="381" spans="1:15" x14ac:dyDescent="0.25">
      <c r="A381" s="8">
        <v>379</v>
      </c>
      <c r="B381" s="9">
        <v>40560</v>
      </c>
      <c r="C381" s="6">
        <v>1</v>
      </c>
      <c r="D381" s="6" t="str">
        <f t="shared" si="30"/>
        <v>2011</v>
      </c>
      <c r="E381" s="6">
        <v>1</v>
      </c>
      <c r="F381" s="6">
        <v>6</v>
      </c>
      <c r="G381" s="6" t="b">
        <v>1</v>
      </c>
      <c r="H381" s="6">
        <v>1</v>
      </c>
      <c r="I381" s="6">
        <v>2</v>
      </c>
      <c r="J381" s="7">
        <v>0.18</v>
      </c>
      <c r="K381" s="6" t="str">
        <f t="shared" si="31"/>
        <v>Monday</v>
      </c>
      <c r="L381" s="2" t="str">
        <f t="shared" si="32"/>
        <v>January</v>
      </c>
      <c r="M381" s="2" t="str">
        <f t="shared" si="33"/>
        <v>Spring</v>
      </c>
      <c r="N381" s="2" t="str">
        <f t="shared" si="34"/>
        <v>Monday</v>
      </c>
      <c r="O381" t="str">
        <f t="shared" si="35"/>
        <v>Cloudy</v>
      </c>
    </row>
    <row r="382" spans="1:15" x14ac:dyDescent="0.25">
      <c r="A382" s="8">
        <v>380</v>
      </c>
      <c r="B382" s="9">
        <v>40560</v>
      </c>
      <c r="C382" s="6">
        <v>1</v>
      </c>
      <c r="D382" s="6" t="str">
        <f t="shared" si="30"/>
        <v>2011</v>
      </c>
      <c r="E382" s="6">
        <v>1</v>
      </c>
      <c r="F382" s="6">
        <v>7</v>
      </c>
      <c r="G382" s="6" t="b">
        <v>1</v>
      </c>
      <c r="H382" s="6">
        <v>1</v>
      </c>
      <c r="I382" s="6">
        <v>2</v>
      </c>
      <c r="J382" s="7">
        <v>0.16</v>
      </c>
      <c r="K382" s="6" t="str">
        <f t="shared" si="31"/>
        <v>Monday</v>
      </c>
      <c r="L382" s="2" t="str">
        <f t="shared" si="32"/>
        <v>January</v>
      </c>
      <c r="M382" s="2" t="str">
        <f t="shared" si="33"/>
        <v>Spring</v>
      </c>
      <c r="N382" s="2" t="str">
        <f t="shared" si="34"/>
        <v>Monday</v>
      </c>
      <c r="O382" t="str">
        <f t="shared" si="35"/>
        <v>Cloudy</v>
      </c>
    </row>
    <row r="383" spans="1:15" x14ac:dyDescent="0.25">
      <c r="A383" s="8">
        <v>381</v>
      </c>
      <c r="B383" s="9">
        <v>40560</v>
      </c>
      <c r="C383" s="6">
        <v>1</v>
      </c>
      <c r="D383" s="6" t="str">
        <f t="shared" si="30"/>
        <v>2011</v>
      </c>
      <c r="E383" s="6">
        <v>1</v>
      </c>
      <c r="F383" s="6">
        <v>8</v>
      </c>
      <c r="G383" s="6" t="b">
        <v>1</v>
      </c>
      <c r="H383" s="6">
        <v>1</v>
      </c>
      <c r="I383" s="6">
        <v>2</v>
      </c>
      <c r="J383" s="7">
        <v>0.16</v>
      </c>
      <c r="K383" s="6" t="str">
        <f t="shared" si="31"/>
        <v>Monday</v>
      </c>
      <c r="L383" s="2" t="str">
        <f t="shared" si="32"/>
        <v>January</v>
      </c>
      <c r="M383" s="2" t="str">
        <f t="shared" si="33"/>
        <v>Spring</v>
      </c>
      <c r="N383" s="2" t="str">
        <f t="shared" si="34"/>
        <v>Monday</v>
      </c>
      <c r="O383" t="str">
        <f t="shared" si="35"/>
        <v>Cloudy</v>
      </c>
    </row>
    <row r="384" spans="1:15" x14ac:dyDescent="0.25">
      <c r="A384" s="8">
        <v>382</v>
      </c>
      <c r="B384" s="9">
        <v>40560</v>
      </c>
      <c r="C384" s="6">
        <v>1</v>
      </c>
      <c r="D384" s="6" t="str">
        <f t="shared" si="30"/>
        <v>2011</v>
      </c>
      <c r="E384" s="6">
        <v>1</v>
      </c>
      <c r="F384" s="6">
        <v>9</v>
      </c>
      <c r="G384" s="6" t="b">
        <v>1</v>
      </c>
      <c r="H384" s="6">
        <v>1</v>
      </c>
      <c r="I384" s="6">
        <v>2</v>
      </c>
      <c r="J384" s="7">
        <v>0.16</v>
      </c>
      <c r="K384" s="6" t="str">
        <f t="shared" si="31"/>
        <v>Monday</v>
      </c>
      <c r="L384" s="2" t="str">
        <f t="shared" si="32"/>
        <v>January</v>
      </c>
      <c r="M384" s="2" t="str">
        <f t="shared" si="33"/>
        <v>Spring</v>
      </c>
      <c r="N384" s="2" t="str">
        <f t="shared" si="34"/>
        <v>Monday</v>
      </c>
      <c r="O384" t="str">
        <f t="shared" si="35"/>
        <v>Cloudy</v>
      </c>
    </row>
    <row r="385" spans="1:15" x14ac:dyDescent="0.25">
      <c r="A385" s="8">
        <v>383</v>
      </c>
      <c r="B385" s="9">
        <v>40560</v>
      </c>
      <c r="C385" s="6">
        <v>1</v>
      </c>
      <c r="D385" s="6" t="str">
        <f t="shared" si="30"/>
        <v>2011</v>
      </c>
      <c r="E385" s="6">
        <v>1</v>
      </c>
      <c r="F385" s="6">
        <v>10</v>
      </c>
      <c r="G385" s="6" t="b">
        <v>1</v>
      </c>
      <c r="H385" s="6">
        <v>1</v>
      </c>
      <c r="I385" s="6">
        <v>2</v>
      </c>
      <c r="J385" s="7">
        <v>0.16</v>
      </c>
      <c r="K385" s="6" t="str">
        <f t="shared" si="31"/>
        <v>Monday</v>
      </c>
      <c r="L385" s="2" t="str">
        <f t="shared" si="32"/>
        <v>January</v>
      </c>
      <c r="M385" s="2" t="str">
        <f t="shared" si="33"/>
        <v>Spring</v>
      </c>
      <c r="N385" s="2" t="str">
        <f t="shared" si="34"/>
        <v>Monday</v>
      </c>
      <c r="O385" t="str">
        <f t="shared" si="35"/>
        <v>Cloudy</v>
      </c>
    </row>
    <row r="386" spans="1:15" x14ac:dyDescent="0.25">
      <c r="A386" s="8">
        <v>384</v>
      </c>
      <c r="B386" s="9">
        <v>40560</v>
      </c>
      <c r="C386" s="6">
        <v>1</v>
      </c>
      <c r="D386" s="6" t="str">
        <f t="shared" si="30"/>
        <v>2011</v>
      </c>
      <c r="E386" s="6">
        <v>1</v>
      </c>
      <c r="F386" s="6">
        <v>11</v>
      </c>
      <c r="G386" s="6" t="b">
        <v>1</v>
      </c>
      <c r="H386" s="6">
        <v>1</v>
      </c>
      <c r="I386" s="6">
        <v>2</v>
      </c>
      <c r="J386" s="7">
        <v>0.16</v>
      </c>
      <c r="K386" s="6" t="str">
        <f t="shared" si="31"/>
        <v>Monday</v>
      </c>
      <c r="L386" s="2" t="str">
        <f t="shared" si="32"/>
        <v>January</v>
      </c>
      <c r="M386" s="2" t="str">
        <f t="shared" si="33"/>
        <v>Spring</v>
      </c>
      <c r="N386" s="2" t="str">
        <f t="shared" si="34"/>
        <v>Monday</v>
      </c>
      <c r="O386" t="str">
        <f t="shared" si="35"/>
        <v>Cloudy</v>
      </c>
    </row>
    <row r="387" spans="1:15" x14ac:dyDescent="0.25">
      <c r="A387" s="8">
        <v>385</v>
      </c>
      <c r="B387" s="9">
        <v>40560</v>
      </c>
      <c r="C387" s="6">
        <v>1</v>
      </c>
      <c r="D387" s="6" t="str">
        <f t="shared" si="30"/>
        <v>2011</v>
      </c>
      <c r="E387" s="6">
        <v>1</v>
      </c>
      <c r="F387" s="6">
        <v>12</v>
      </c>
      <c r="G387" s="6" t="b">
        <v>1</v>
      </c>
      <c r="H387" s="6">
        <v>1</v>
      </c>
      <c r="I387" s="6">
        <v>2</v>
      </c>
      <c r="J387" s="7">
        <v>0.18</v>
      </c>
      <c r="K387" s="6" t="str">
        <f t="shared" si="31"/>
        <v>Monday</v>
      </c>
      <c r="L387" s="2" t="str">
        <f t="shared" si="32"/>
        <v>January</v>
      </c>
      <c r="M387" s="2" t="str">
        <f t="shared" si="33"/>
        <v>Spring</v>
      </c>
      <c r="N387" s="2" t="str">
        <f t="shared" si="34"/>
        <v>Monday</v>
      </c>
      <c r="O387" t="str">
        <f t="shared" si="35"/>
        <v>Cloudy</v>
      </c>
    </row>
    <row r="388" spans="1:15" x14ac:dyDescent="0.25">
      <c r="A388" s="8">
        <v>386</v>
      </c>
      <c r="B388" s="9">
        <v>40560</v>
      </c>
      <c r="C388" s="6">
        <v>1</v>
      </c>
      <c r="D388" s="6" t="str">
        <f t="shared" ref="D388:D451" si="36">TEXT(B388,"yyyy")</f>
        <v>2011</v>
      </c>
      <c r="E388" s="6">
        <v>1</v>
      </c>
      <c r="F388" s="6">
        <v>13</v>
      </c>
      <c r="G388" s="6" t="b">
        <v>1</v>
      </c>
      <c r="H388" s="6">
        <v>1</v>
      </c>
      <c r="I388" s="6">
        <v>2</v>
      </c>
      <c r="J388" s="7">
        <v>0.18</v>
      </c>
      <c r="K388" s="6" t="str">
        <f t="shared" ref="K388:K451" si="37">TEXT(B388,"dddd")</f>
        <v>Monday</v>
      </c>
      <c r="L388" s="2" t="str">
        <f t="shared" ref="L388:L451" si="38">TEXT(B388,"mmmm")</f>
        <v>January</v>
      </c>
      <c r="M388" s="2" t="str">
        <f t="shared" ref="M388:M451" si="39">IF(C388=1,"Spring",IF(C388=2,"Summer",IF(C388=3,"Fall","Winter")))</f>
        <v>Spring</v>
      </c>
      <c r="N388" s="2" t="str">
        <f t="shared" ref="N388:N451" si="40">IF(H388=0,"Sunday",IF(H388=1,"Monday",IF(H388=2,"Tuesday",IF(H388=3,"Wednesday",IF(H388=4,"Thursday",IF(H388=5,"Friday","Saturday"))))))</f>
        <v>Monday</v>
      </c>
      <c r="O388" t="str">
        <f t="shared" si="35"/>
        <v>Cloudy</v>
      </c>
    </row>
    <row r="389" spans="1:15" x14ac:dyDescent="0.25">
      <c r="A389" s="8">
        <v>387</v>
      </c>
      <c r="B389" s="9">
        <v>40560</v>
      </c>
      <c r="C389" s="6">
        <v>1</v>
      </c>
      <c r="D389" s="6" t="str">
        <f t="shared" si="36"/>
        <v>2011</v>
      </c>
      <c r="E389" s="6">
        <v>1</v>
      </c>
      <c r="F389" s="6">
        <v>14</v>
      </c>
      <c r="G389" s="6" t="b">
        <v>1</v>
      </c>
      <c r="H389" s="6">
        <v>1</v>
      </c>
      <c r="I389" s="6">
        <v>2</v>
      </c>
      <c r="J389" s="7">
        <v>0.18</v>
      </c>
      <c r="K389" s="6" t="str">
        <f t="shared" si="37"/>
        <v>Monday</v>
      </c>
      <c r="L389" s="2" t="str">
        <f t="shared" si="38"/>
        <v>January</v>
      </c>
      <c r="M389" s="2" t="str">
        <f t="shared" si="39"/>
        <v>Spring</v>
      </c>
      <c r="N389" s="2" t="str">
        <f t="shared" si="40"/>
        <v>Monday</v>
      </c>
      <c r="O389" t="str">
        <f t="shared" ref="O389:O452" si="41">IF(I389=1,"Clear",IF(I389=2,"Cloudy",IF(I389=3,"Rain","Heavy Rain")))</f>
        <v>Cloudy</v>
      </c>
    </row>
    <row r="390" spans="1:15" x14ac:dyDescent="0.25">
      <c r="A390" s="8">
        <v>388</v>
      </c>
      <c r="B390" s="9">
        <v>40560</v>
      </c>
      <c r="C390" s="6">
        <v>1</v>
      </c>
      <c r="D390" s="6" t="str">
        <f t="shared" si="36"/>
        <v>2011</v>
      </c>
      <c r="E390" s="6">
        <v>1</v>
      </c>
      <c r="F390" s="6">
        <v>15</v>
      </c>
      <c r="G390" s="6" t="b">
        <v>1</v>
      </c>
      <c r="H390" s="6">
        <v>1</v>
      </c>
      <c r="I390" s="6">
        <v>2</v>
      </c>
      <c r="J390" s="7">
        <v>0.2</v>
      </c>
      <c r="K390" s="6" t="str">
        <f t="shared" si="37"/>
        <v>Monday</v>
      </c>
      <c r="L390" s="2" t="str">
        <f t="shared" si="38"/>
        <v>January</v>
      </c>
      <c r="M390" s="2" t="str">
        <f t="shared" si="39"/>
        <v>Spring</v>
      </c>
      <c r="N390" s="2" t="str">
        <f t="shared" si="40"/>
        <v>Monday</v>
      </c>
      <c r="O390" t="str">
        <f t="shared" si="41"/>
        <v>Cloudy</v>
      </c>
    </row>
    <row r="391" spans="1:15" x14ac:dyDescent="0.25">
      <c r="A391" s="8">
        <v>389</v>
      </c>
      <c r="B391" s="9">
        <v>40560</v>
      </c>
      <c r="C391" s="6">
        <v>1</v>
      </c>
      <c r="D391" s="6" t="str">
        <f t="shared" si="36"/>
        <v>2011</v>
      </c>
      <c r="E391" s="6">
        <v>1</v>
      </c>
      <c r="F391" s="6">
        <v>16</v>
      </c>
      <c r="G391" s="6" t="b">
        <v>1</v>
      </c>
      <c r="H391" s="6">
        <v>1</v>
      </c>
      <c r="I391" s="6">
        <v>2</v>
      </c>
      <c r="J391" s="7">
        <v>0.2</v>
      </c>
      <c r="K391" s="6" t="str">
        <f t="shared" si="37"/>
        <v>Monday</v>
      </c>
      <c r="L391" s="2" t="str">
        <f t="shared" si="38"/>
        <v>January</v>
      </c>
      <c r="M391" s="2" t="str">
        <f t="shared" si="39"/>
        <v>Spring</v>
      </c>
      <c r="N391" s="2" t="str">
        <f t="shared" si="40"/>
        <v>Monday</v>
      </c>
      <c r="O391" t="str">
        <f t="shared" si="41"/>
        <v>Cloudy</v>
      </c>
    </row>
    <row r="392" spans="1:15" x14ac:dyDescent="0.25">
      <c r="A392" s="8">
        <v>390</v>
      </c>
      <c r="B392" s="9">
        <v>40560</v>
      </c>
      <c r="C392" s="6">
        <v>1</v>
      </c>
      <c r="D392" s="6" t="str">
        <f t="shared" si="36"/>
        <v>2011</v>
      </c>
      <c r="E392" s="6">
        <v>1</v>
      </c>
      <c r="F392" s="6">
        <v>17</v>
      </c>
      <c r="G392" s="6" t="b">
        <v>1</v>
      </c>
      <c r="H392" s="6">
        <v>1</v>
      </c>
      <c r="I392" s="6">
        <v>1</v>
      </c>
      <c r="J392" s="7">
        <v>0.2</v>
      </c>
      <c r="K392" s="6" t="str">
        <f t="shared" si="37"/>
        <v>Monday</v>
      </c>
      <c r="L392" s="2" t="str">
        <f t="shared" si="38"/>
        <v>January</v>
      </c>
      <c r="M392" s="2" t="str">
        <f t="shared" si="39"/>
        <v>Spring</v>
      </c>
      <c r="N392" s="2" t="str">
        <f t="shared" si="40"/>
        <v>Monday</v>
      </c>
      <c r="O392" t="str">
        <f t="shared" si="41"/>
        <v>Clear</v>
      </c>
    </row>
    <row r="393" spans="1:15" x14ac:dyDescent="0.25">
      <c r="A393" s="8">
        <v>391</v>
      </c>
      <c r="B393" s="9">
        <v>40560</v>
      </c>
      <c r="C393" s="6">
        <v>1</v>
      </c>
      <c r="D393" s="6" t="str">
        <f t="shared" si="36"/>
        <v>2011</v>
      </c>
      <c r="E393" s="6">
        <v>1</v>
      </c>
      <c r="F393" s="6">
        <v>18</v>
      </c>
      <c r="G393" s="6" t="b">
        <v>1</v>
      </c>
      <c r="H393" s="6">
        <v>1</v>
      </c>
      <c r="I393" s="6">
        <v>2</v>
      </c>
      <c r="J393" s="7">
        <v>0.18</v>
      </c>
      <c r="K393" s="6" t="str">
        <f t="shared" si="37"/>
        <v>Monday</v>
      </c>
      <c r="L393" s="2" t="str">
        <f t="shared" si="38"/>
        <v>January</v>
      </c>
      <c r="M393" s="2" t="str">
        <f t="shared" si="39"/>
        <v>Spring</v>
      </c>
      <c r="N393" s="2" t="str">
        <f t="shared" si="40"/>
        <v>Monday</v>
      </c>
      <c r="O393" t="str">
        <f t="shared" si="41"/>
        <v>Cloudy</v>
      </c>
    </row>
    <row r="394" spans="1:15" x14ac:dyDescent="0.25">
      <c r="A394" s="8">
        <v>392</v>
      </c>
      <c r="B394" s="9">
        <v>40560</v>
      </c>
      <c r="C394" s="6">
        <v>1</v>
      </c>
      <c r="D394" s="6" t="str">
        <f t="shared" si="36"/>
        <v>2011</v>
      </c>
      <c r="E394" s="6">
        <v>1</v>
      </c>
      <c r="F394" s="6">
        <v>19</v>
      </c>
      <c r="G394" s="6" t="b">
        <v>1</v>
      </c>
      <c r="H394" s="6">
        <v>1</v>
      </c>
      <c r="I394" s="6">
        <v>3</v>
      </c>
      <c r="J394" s="7">
        <v>0.18</v>
      </c>
      <c r="K394" s="6" t="str">
        <f t="shared" si="37"/>
        <v>Monday</v>
      </c>
      <c r="L394" s="2" t="str">
        <f t="shared" si="38"/>
        <v>January</v>
      </c>
      <c r="M394" s="2" t="str">
        <f t="shared" si="39"/>
        <v>Spring</v>
      </c>
      <c r="N394" s="2" t="str">
        <f t="shared" si="40"/>
        <v>Monday</v>
      </c>
      <c r="O394" t="str">
        <f t="shared" si="41"/>
        <v>Rain</v>
      </c>
    </row>
    <row r="395" spans="1:15" x14ac:dyDescent="0.25">
      <c r="A395" s="8">
        <v>393</v>
      </c>
      <c r="B395" s="9">
        <v>40560</v>
      </c>
      <c r="C395" s="6">
        <v>1</v>
      </c>
      <c r="D395" s="6" t="str">
        <f t="shared" si="36"/>
        <v>2011</v>
      </c>
      <c r="E395" s="6">
        <v>1</v>
      </c>
      <c r="F395" s="6">
        <v>20</v>
      </c>
      <c r="G395" s="6" t="b">
        <v>1</v>
      </c>
      <c r="H395" s="6">
        <v>1</v>
      </c>
      <c r="I395" s="6">
        <v>3</v>
      </c>
      <c r="J395" s="7">
        <v>0.16</v>
      </c>
      <c r="K395" s="6" t="str">
        <f t="shared" si="37"/>
        <v>Monday</v>
      </c>
      <c r="L395" s="2" t="str">
        <f t="shared" si="38"/>
        <v>January</v>
      </c>
      <c r="M395" s="2" t="str">
        <f t="shared" si="39"/>
        <v>Spring</v>
      </c>
      <c r="N395" s="2" t="str">
        <f t="shared" si="40"/>
        <v>Monday</v>
      </c>
      <c r="O395" t="str">
        <f t="shared" si="41"/>
        <v>Rain</v>
      </c>
    </row>
    <row r="396" spans="1:15" x14ac:dyDescent="0.25">
      <c r="A396" s="8">
        <v>394</v>
      </c>
      <c r="B396" s="9">
        <v>40560</v>
      </c>
      <c r="C396" s="6">
        <v>1</v>
      </c>
      <c r="D396" s="6" t="str">
        <f t="shared" si="36"/>
        <v>2011</v>
      </c>
      <c r="E396" s="6">
        <v>1</v>
      </c>
      <c r="F396" s="6">
        <v>21</v>
      </c>
      <c r="G396" s="6" t="b">
        <v>1</v>
      </c>
      <c r="H396" s="6">
        <v>1</v>
      </c>
      <c r="I396" s="6">
        <v>3</v>
      </c>
      <c r="J396" s="7">
        <v>0.16</v>
      </c>
      <c r="K396" s="6" t="str">
        <f t="shared" si="37"/>
        <v>Monday</v>
      </c>
      <c r="L396" s="2" t="str">
        <f t="shared" si="38"/>
        <v>January</v>
      </c>
      <c r="M396" s="2" t="str">
        <f t="shared" si="39"/>
        <v>Spring</v>
      </c>
      <c r="N396" s="2" t="str">
        <f t="shared" si="40"/>
        <v>Monday</v>
      </c>
      <c r="O396" t="str">
        <f t="shared" si="41"/>
        <v>Rain</v>
      </c>
    </row>
    <row r="397" spans="1:15" x14ac:dyDescent="0.25">
      <c r="A397" s="8">
        <v>395</v>
      </c>
      <c r="B397" s="9">
        <v>40560</v>
      </c>
      <c r="C397" s="6">
        <v>1</v>
      </c>
      <c r="D397" s="6" t="str">
        <f t="shared" si="36"/>
        <v>2011</v>
      </c>
      <c r="E397" s="6">
        <v>1</v>
      </c>
      <c r="F397" s="6">
        <v>22</v>
      </c>
      <c r="G397" s="6" t="b">
        <v>1</v>
      </c>
      <c r="H397" s="6">
        <v>1</v>
      </c>
      <c r="I397" s="6">
        <v>3</v>
      </c>
      <c r="J397" s="7">
        <v>0.14000000000000001</v>
      </c>
      <c r="K397" s="6" t="str">
        <f t="shared" si="37"/>
        <v>Monday</v>
      </c>
      <c r="L397" s="2" t="str">
        <f t="shared" si="38"/>
        <v>January</v>
      </c>
      <c r="M397" s="2" t="str">
        <f t="shared" si="39"/>
        <v>Spring</v>
      </c>
      <c r="N397" s="2" t="str">
        <f t="shared" si="40"/>
        <v>Monday</v>
      </c>
      <c r="O397" t="str">
        <f t="shared" si="41"/>
        <v>Rain</v>
      </c>
    </row>
    <row r="398" spans="1:15" x14ac:dyDescent="0.25">
      <c r="A398" s="8">
        <v>396</v>
      </c>
      <c r="B398" s="9">
        <v>40560</v>
      </c>
      <c r="C398" s="6">
        <v>1</v>
      </c>
      <c r="D398" s="6" t="str">
        <f t="shared" si="36"/>
        <v>2011</v>
      </c>
      <c r="E398" s="6">
        <v>1</v>
      </c>
      <c r="F398" s="6">
        <v>23</v>
      </c>
      <c r="G398" s="6" t="b">
        <v>1</v>
      </c>
      <c r="H398" s="6">
        <v>1</v>
      </c>
      <c r="I398" s="6">
        <v>3</v>
      </c>
      <c r="J398" s="7">
        <v>0.16</v>
      </c>
      <c r="K398" s="6" t="str">
        <f t="shared" si="37"/>
        <v>Monday</v>
      </c>
      <c r="L398" s="2" t="str">
        <f t="shared" si="38"/>
        <v>January</v>
      </c>
      <c r="M398" s="2" t="str">
        <f t="shared" si="39"/>
        <v>Spring</v>
      </c>
      <c r="N398" s="2" t="str">
        <f t="shared" si="40"/>
        <v>Monday</v>
      </c>
      <c r="O398" t="str">
        <f t="shared" si="41"/>
        <v>Rain</v>
      </c>
    </row>
    <row r="399" spans="1:15" x14ac:dyDescent="0.25">
      <c r="A399" s="8">
        <v>397</v>
      </c>
      <c r="B399" s="9">
        <v>40561</v>
      </c>
      <c r="C399" s="6">
        <v>1</v>
      </c>
      <c r="D399" s="6" t="str">
        <f t="shared" si="36"/>
        <v>2011</v>
      </c>
      <c r="E399" s="6">
        <v>1</v>
      </c>
      <c r="F399" s="6">
        <v>12</v>
      </c>
      <c r="G399" s="6" t="b">
        <v>0</v>
      </c>
      <c r="H399" s="6">
        <v>2</v>
      </c>
      <c r="I399" s="6">
        <v>2</v>
      </c>
      <c r="J399" s="7">
        <v>0.2</v>
      </c>
      <c r="K399" s="6" t="str">
        <f t="shared" si="37"/>
        <v>Tuesday</v>
      </c>
      <c r="L399" s="2" t="str">
        <f t="shared" si="38"/>
        <v>January</v>
      </c>
      <c r="M399" s="2" t="str">
        <f t="shared" si="39"/>
        <v>Spring</v>
      </c>
      <c r="N399" s="2" t="str">
        <f t="shared" si="40"/>
        <v>Tuesday</v>
      </c>
      <c r="O399" t="str">
        <f t="shared" si="41"/>
        <v>Cloudy</v>
      </c>
    </row>
    <row r="400" spans="1:15" x14ac:dyDescent="0.25">
      <c r="A400" s="8">
        <v>398</v>
      </c>
      <c r="B400" s="9">
        <v>40561</v>
      </c>
      <c r="C400" s="6">
        <v>1</v>
      </c>
      <c r="D400" s="6" t="str">
        <f t="shared" si="36"/>
        <v>2011</v>
      </c>
      <c r="E400" s="6">
        <v>1</v>
      </c>
      <c r="F400" s="6">
        <v>13</v>
      </c>
      <c r="G400" s="6" t="b">
        <v>0</v>
      </c>
      <c r="H400" s="6">
        <v>2</v>
      </c>
      <c r="I400" s="6">
        <v>2</v>
      </c>
      <c r="J400" s="7">
        <v>0.2</v>
      </c>
      <c r="K400" s="6" t="str">
        <f t="shared" si="37"/>
        <v>Tuesday</v>
      </c>
      <c r="L400" s="2" t="str">
        <f t="shared" si="38"/>
        <v>January</v>
      </c>
      <c r="M400" s="2" t="str">
        <f t="shared" si="39"/>
        <v>Spring</v>
      </c>
      <c r="N400" s="2" t="str">
        <f t="shared" si="40"/>
        <v>Tuesday</v>
      </c>
      <c r="O400" t="str">
        <f t="shared" si="41"/>
        <v>Cloudy</v>
      </c>
    </row>
    <row r="401" spans="1:15" x14ac:dyDescent="0.25">
      <c r="A401" s="8">
        <v>399</v>
      </c>
      <c r="B401" s="9">
        <v>40561</v>
      </c>
      <c r="C401" s="6">
        <v>1</v>
      </c>
      <c r="D401" s="6" t="str">
        <f t="shared" si="36"/>
        <v>2011</v>
      </c>
      <c r="E401" s="6">
        <v>1</v>
      </c>
      <c r="F401" s="6">
        <v>14</v>
      </c>
      <c r="G401" s="6" t="b">
        <v>0</v>
      </c>
      <c r="H401" s="6">
        <v>2</v>
      </c>
      <c r="I401" s="6">
        <v>2</v>
      </c>
      <c r="J401" s="7">
        <v>0.22</v>
      </c>
      <c r="K401" s="6" t="str">
        <f t="shared" si="37"/>
        <v>Tuesday</v>
      </c>
      <c r="L401" s="2" t="str">
        <f t="shared" si="38"/>
        <v>January</v>
      </c>
      <c r="M401" s="2" t="str">
        <f t="shared" si="39"/>
        <v>Spring</v>
      </c>
      <c r="N401" s="2" t="str">
        <f t="shared" si="40"/>
        <v>Tuesday</v>
      </c>
      <c r="O401" t="str">
        <f t="shared" si="41"/>
        <v>Cloudy</v>
      </c>
    </row>
    <row r="402" spans="1:15" x14ac:dyDescent="0.25">
      <c r="A402" s="8">
        <v>400</v>
      </c>
      <c r="B402" s="9">
        <v>40561</v>
      </c>
      <c r="C402" s="6">
        <v>1</v>
      </c>
      <c r="D402" s="6" t="str">
        <f t="shared" si="36"/>
        <v>2011</v>
      </c>
      <c r="E402" s="6">
        <v>1</v>
      </c>
      <c r="F402" s="6">
        <v>15</v>
      </c>
      <c r="G402" s="6" t="b">
        <v>0</v>
      </c>
      <c r="H402" s="6">
        <v>2</v>
      </c>
      <c r="I402" s="6">
        <v>2</v>
      </c>
      <c r="J402" s="7">
        <v>0.22</v>
      </c>
      <c r="K402" s="6" t="str">
        <f t="shared" si="37"/>
        <v>Tuesday</v>
      </c>
      <c r="L402" s="2" t="str">
        <f t="shared" si="38"/>
        <v>January</v>
      </c>
      <c r="M402" s="2" t="str">
        <f t="shared" si="39"/>
        <v>Spring</v>
      </c>
      <c r="N402" s="2" t="str">
        <f t="shared" si="40"/>
        <v>Tuesday</v>
      </c>
      <c r="O402" t="str">
        <f t="shared" si="41"/>
        <v>Cloudy</v>
      </c>
    </row>
    <row r="403" spans="1:15" x14ac:dyDescent="0.25">
      <c r="A403" s="8">
        <v>401</v>
      </c>
      <c r="B403" s="9">
        <v>40561</v>
      </c>
      <c r="C403" s="6">
        <v>1</v>
      </c>
      <c r="D403" s="6" t="str">
        <f t="shared" si="36"/>
        <v>2011</v>
      </c>
      <c r="E403" s="6">
        <v>1</v>
      </c>
      <c r="F403" s="6">
        <v>16</v>
      </c>
      <c r="G403" s="6" t="b">
        <v>0</v>
      </c>
      <c r="H403" s="6">
        <v>2</v>
      </c>
      <c r="I403" s="6">
        <v>2</v>
      </c>
      <c r="J403" s="7">
        <v>0.22</v>
      </c>
      <c r="K403" s="6" t="str">
        <f t="shared" si="37"/>
        <v>Tuesday</v>
      </c>
      <c r="L403" s="2" t="str">
        <f t="shared" si="38"/>
        <v>January</v>
      </c>
      <c r="M403" s="2" t="str">
        <f t="shared" si="39"/>
        <v>Spring</v>
      </c>
      <c r="N403" s="2" t="str">
        <f t="shared" si="40"/>
        <v>Tuesday</v>
      </c>
      <c r="O403" t="str">
        <f t="shared" si="41"/>
        <v>Cloudy</v>
      </c>
    </row>
    <row r="404" spans="1:15" x14ac:dyDescent="0.25">
      <c r="A404" s="8">
        <v>402</v>
      </c>
      <c r="B404" s="9">
        <v>40561</v>
      </c>
      <c r="C404" s="6">
        <v>1</v>
      </c>
      <c r="D404" s="6" t="str">
        <f t="shared" si="36"/>
        <v>2011</v>
      </c>
      <c r="E404" s="6">
        <v>1</v>
      </c>
      <c r="F404" s="6">
        <v>17</v>
      </c>
      <c r="G404" s="6" t="b">
        <v>0</v>
      </c>
      <c r="H404" s="6">
        <v>2</v>
      </c>
      <c r="I404" s="6">
        <v>2</v>
      </c>
      <c r="J404" s="7">
        <v>0.22</v>
      </c>
      <c r="K404" s="6" t="str">
        <f t="shared" si="37"/>
        <v>Tuesday</v>
      </c>
      <c r="L404" s="2" t="str">
        <f t="shared" si="38"/>
        <v>January</v>
      </c>
      <c r="M404" s="2" t="str">
        <f t="shared" si="39"/>
        <v>Spring</v>
      </c>
      <c r="N404" s="2" t="str">
        <f t="shared" si="40"/>
        <v>Tuesday</v>
      </c>
      <c r="O404" t="str">
        <f t="shared" si="41"/>
        <v>Cloudy</v>
      </c>
    </row>
    <row r="405" spans="1:15" x14ac:dyDescent="0.25">
      <c r="A405" s="8">
        <v>403</v>
      </c>
      <c r="B405" s="9">
        <v>40561</v>
      </c>
      <c r="C405" s="6">
        <v>1</v>
      </c>
      <c r="D405" s="6" t="str">
        <f t="shared" si="36"/>
        <v>2011</v>
      </c>
      <c r="E405" s="6">
        <v>1</v>
      </c>
      <c r="F405" s="6">
        <v>18</v>
      </c>
      <c r="G405" s="6" t="b">
        <v>0</v>
      </c>
      <c r="H405" s="6">
        <v>2</v>
      </c>
      <c r="I405" s="6">
        <v>2</v>
      </c>
      <c r="J405" s="7">
        <v>0.22</v>
      </c>
      <c r="K405" s="6" t="str">
        <f t="shared" si="37"/>
        <v>Tuesday</v>
      </c>
      <c r="L405" s="2" t="str">
        <f t="shared" si="38"/>
        <v>January</v>
      </c>
      <c r="M405" s="2" t="str">
        <f t="shared" si="39"/>
        <v>Spring</v>
      </c>
      <c r="N405" s="2" t="str">
        <f t="shared" si="40"/>
        <v>Tuesday</v>
      </c>
      <c r="O405" t="str">
        <f t="shared" si="41"/>
        <v>Cloudy</v>
      </c>
    </row>
    <row r="406" spans="1:15" x14ac:dyDescent="0.25">
      <c r="A406" s="8">
        <v>404</v>
      </c>
      <c r="B406" s="9">
        <v>40561</v>
      </c>
      <c r="C406" s="6">
        <v>1</v>
      </c>
      <c r="D406" s="6" t="str">
        <f t="shared" si="36"/>
        <v>2011</v>
      </c>
      <c r="E406" s="6">
        <v>1</v>
      </c>
      <c r="F406" s="6">
        <v>19</v>
      </c>
      <c r="G406" s="6" t="b">
        <v>0</v>
      </c>
      <c r="H406" s="6">
        <v>2</v>
      </c>
      <c r="I406" s="6">
        <v>2</v>
      </c>
      <c r="J406" s="7">
        <v>0.22</v>
      </c>
      <c r="K406" s="6" t="str">
        <f t="shared" si="37"/>
        <v>Tuesday</v>
      </c>
      <c r="L406" s="2" t="str">
        <f t="shared" si="38"/>
        <v>January</v>
      </c>
      <c r="M406" s="2" t="str">
        <f t="shared" si="39"/>
        <v>Spring</v>
      </c>
      <c r="N406" s="2" t="str">
        <f t="shared" si="40"/>
        <v>Tuesday</v>
      </c>
      <c r="O406" t="str">
        <f t="shared" si="41"/>
        <v>Cloudy</v>
      </c>
    </row>
    <row r="407" spans="1:15" x14ac:dyDescent="0.25">
      <c r="A407" s="8">
        <v>405</v>
      </c>
      <c r="B407" s="9">
        <v>40561</v>
      </c>
      <c r="C407" s="6">
        <v>1</v>
      </c>
      <c r="D407" s="6" t="str">
        <f t="shared" si="36"/>
        <v>2011</v>
      </c>
      <c r="E407" s="6">
        <v>1</v>
      </c>
      <c r="F407" s="6">
        <v>20</v>
      </c>
      <c r="G407" s="6" t="b">
        <v>0</v>
      </c>
      <c r="H407" s="6">
        <v>2</v>
      </c>
      <c r="I407" s="6">
        <v>2</v>
      </c>
      <c r="J407" s="7">
        <v>0.22</v>
      </c>
      <c r="K407" s="6" t="str">
        <f t="shared" si="37"/>
        <v>Tuesday</v>
      </c>
      <c r="L407" s="2" t="str">
        <f t="shared" si="38"/>
        <v>January</v>
      </c>
      <c r="M407" s="2" t="str">
        <f t="shared" si="39"/>
        <v>Spring</v>
      </c>
      <c r="N407" s="2" t="str">
        <f t="shared" si="40"/>
        <v>Tuesday</v>
      </c>
      <c r="O407" t="str">
        <f t="shared" si="41"/>
        <v>Cloudy</v>
      </c>
    </row>
    <row r="408" spans="1:15" x14ac:dyDescent="0.25">
      <c r="A408" s="8">
        <v>406</v>
      </c>
      <c r="B408" s="9">
        <v>40561</v>
      </c>
      <c r="C408" s="6">
        <v>1</v>
      </c>
      <c r="D408" s="6" t="str">
        <f t="shared" si="36"/>
        <v>2011</v>
      </c>
      <c r="E408" s="6">
        <v>1</v>
      </c>
      <c r="F408" s="6">
        <v>21</v>
      </c>
      <c r="G408" s="6" t="b">
        <v>0</v>
      </c>
      <c r="H408" s="6">
        <v>2</v>
      </c>
      <c r="I408" s="6">
        <v>2</v>
      </c>
      <c r="J408" s="7">
        <v>0.22</v>
      </c>
      <c r="K408" s="6" t="str">
        <f t="shared" si="37"/>
        <v>Tuesday</v>
      </c>
      <c r="L408" s="2" t="str">
        <f t="shared" si="38"/>
        <v>January</v>
      </c>
      <c r="M408" s="2" t="str">
        <f t="shared" si="39"/>
        <v>Spring</v>
      </c>
      <c r="N408" s="2" t="str">
        <f t="shared" si="40"/>
        <v>Tuesday</v>
      </c>
      <c r="O408" t="str">
        <f t="shared" si="41"/>
        <v>Cloudy</v>
      </c>
    </row>
    <row r="409" spans="1:15" x14ac:dyDescent="0.25">
      <c r="A409" s="8">
        <v>407</v>
      </c>
      <c r="B409" s="9">
        <v>40561</v>
      </c>
      <c r="C409" s="6">
        <v>1</v>
      </c>
      <c r="D409" s="6" t="str">
        <f t="shared" si="36"/>
        <v>2011</v>
      </c>
      <c r="E409" s="6">
        <v>1</v>
      </c>
      <c r="F409" s="6">
        <v>22</v>
      </c>
      <c r="G409" s="6" t="b">
        <v>0</v>
      </c>
      <c r="H409" s="6">
        <v>2</v>
      </c>
      <c r="I409" s="6">
        <v>2</v>
      </c>
      <c r="J409" s="7">
        <v>0.22</v>
      </c>
      <c r="K409" s="6" t="str">
        <f t="shared" si="37"/>
        <v>Tuesday</v>
      </c>
      <c r="L409" s="2" t="str">
        <f t="shared" si="38"/>
        <v>January</v>
      </c>
      <c r="M409" s="2" t="str">
        <f t="shared" si="39"/>
        <v>Spring</v>
      </c>
      <c r="N409" s="2" t="str">
        <f t="shared" si="40"/>
        <v>Tuesday</v>
      </c>
      <c r="O409" t="str">
        <f t="shared" si="41"/>
        <v>Cloudy</v>
      </c>
    </row>
    <row r="410" spans="1:15" x14ac:dyDescent="0.25">
      <c r="A410" s="8">
        <v>408</v>
      </c>
      <c r="B410" s="9">
        <v>40561</v>
      </c>
      <c r="C410" s="6">
        <v>1</v>
      </c>
      <c r="D410" s="6" t="str">
        <f t="shared" si="36"/>
        <v>2011</v>
      </c>
      <c r="E410" s="6">
        <v>1</v>
      </c>
      <c r="F410" s="6">
        <v>23</v>
      </c>
      <c r="G410" s="6" t="b">
        <v>0</v>
      </c>
      <c r="H410" s="6">
        <v>2</v>
      </c>
      <c r="I410" s="6">
        <v>2</v>
      </c>
      <c r="J410" s="7">
        <v>0.22</v>
      </c>
      <c r="K410" s="6" t="str">
        <f t="shared" si="37"/>
        <v>Tuesday</v>
      </c>
      <c r="L410" s="2" t="str">
        <f t="shared" si="38"/>
        <v>January</v>
      </c>
      <c r="M410" s="2" t="str">
        <f t="shared" si="39"/>
        <v>Spring</v>
      </c>
      <c r="N410" s="2" t="str">
        <f t="shared" si="40"/>
        <v>Tuesday</v>
      </c>
      <c r="O410" t="str">
        <f t="shared" si="41"/>
        <v>Cloudy</v>
      </c>
    </row>
    <row r="411" spans="1:15" x14ac:dyDescent="0.25">
      <c r="A411" s="8">
        <v>409</v>
      </c>
      <c r="B411" s="9">
        <v>40562</v>
      </c>
      <c r="C411" s="6">
        <v>1</v>
      </c>
      <c r="D411" s="6" t="str">
        <f t="shared" si="36"/>
        <v>2011</v>
      </c>
      <c r="E411" s="6">
        <v>1</v>
      </c>
      <c r="F411" s="6">
        <v>0</v>
      </c>
      <c r="G411" s="6" t="b">
        <v>0</v>
      </c>
      <c r="H411" s="6">
        <v>3</v>
      </c>
      <c r="I411" s="6">
        <v>2</v>
      </c>
      <c r="J411" s="7">
        <v>0.22</v>
      </c>
      <c r="K411" s="6" t="str">
        <f t="shared" si="37"/>
        <v>Wednesday</v>
      </c>
      <c r="L411" s="2" t="str">
        <f t="shared" si="38"/>
        <v>January</v>
      </c>
      <c r="M411" s="2" t="str">
        <f t="shared" si="39"/>
        <v>Spring</v>
      </c>
      <c r="N411" s="2" t="str">
        <f t="shared" si="40"/>
        <v>Wednesday</v>
      </c>
      <c r="O411" t="str">
        <f t="shared" si="41"/>
        <v>Cloudy</v>
      </c>
    </row>
    <row r="412" spans="1:15" x14ac:dyDescent="0.25">
      <c r="A412" s="8">
        <v>410</v>
      </c>
      <c r="B412" s="9">
        <v>40562</v>
      </c>
      <c r="C412" s="6">
        <v>1</v>
      </c>
      <c r="D412" s="6" t="str">
        <f t="shared" si="36"/>
        <v>2011</v>
      </c>
      <c r="E412" s="6">
        <v>1</v>
      </c>
      <c r="F412" s="6">
        <v>1</v>
      </c>
      <c r="G412" s="6" t="b">
        <v>0</v>
      </c>
      <c r="H412" s="6">
        <v>3</v>
      </c>
      <c r="I412" s="6">
        <v>3</v>
      </c>
      <c r="J412" s="7">
        <v>0.22</v>
      </c>
      <c r="K412" s="6" t="str">
        <f t="shared" si="37"/>
        <v>Wednesday</v>
      </c>
      <c r="L412" s="2" t="str">
        <f t="shared" si="38"/>
        <v>January</v>
      </c>
      <c r="M412" s="2" t="str">
        <f t="shared" si="39"/>
        <v>Spring</v>
      </c>
      <c r="N412" s="2" t="str">
        <f t="shared" si="40"/>
        <v>Wednesday</v>
      </c>
      <c r="O412" t="str">
        <f t="shared" si="41"/>
        <v>Rain</v>
      </c>
    </row>
    <row r="413" spans="1:15" x14ac:dyDescent="0.25">
      <c r="A413" s="8">
        <v>411</v>
      </c>
      <c r="B413" s="9">
        <v>40562</v>
      </c>
      <c r="C413" s="6">
        <v>1</v>
      </c>
      <c r="D413" s="6" t="str">
        <f t="shared" si="36"/>
        <v>2011</v>
      </c>
      <c r="E413" s="6">
        <v>1</v>
      </c>
      <c r="F413" s="6">
        <v>2</v>
      </c>
      <c r="G413" s="6" t="b">
        <v>0</v>
      </c>
      <c r="H413" s="6">
        <v>3</v>
      </c>
      <c r="I413" s="6">
        <v>3</v>
      </c>
      <c r="J413" s="7">
        <v>0.22</v>
      </c>
      <c r="K413" s="6" t="str">
        <f t="shared" si="37"/>
        <v>Wednesday</v>
      </c>
      <c r="L413" s="2" t="str">
        <f t="shared" si="38"/>
        <v>January</v>
      </c>
      <c r="M413" s="2" t="str">
        <f t="shared" si="39"/>
        <v>Spring</v>
      </c>
      <c r="N413" s="2" t="str">
        <f t="shared" si="40"/>
        <v>Wednesday</v>
      </c>
      <c r="O413" t="str">
        <f t="shared" si="41"/>
        <v>Rain</v>
      </c>
    </row>
    <row r="414" spans="1:15" x14ac:dyDescent="0.25">
      <c r="A414" s="8">
        <v>412</v>
      </c>
      <c r="B414" s="9">
        <v>40562</v>
      </c>
      <c r="C414" s="6">
        <v>1</v>
      </c>
      <c r="D414" s="6" t="str">
        <f t="shared" si="36"/>
        <v>2011</v>
      </c>
      <c r="E414" s="6">
        <v>1</v>
      </c>
      <c r="F414" s="6">
        <v>4</v>
      </c>
      <c r="G414" s="6" t="b">
        <v>0</v>
      </c>
      <c r="H414" s="6">
        <v>3</v>
      </c>
      <c r="I414" s="6">
        <v>3</v>
      </c>
      <c r="J414" s="7">
        <v>0.22</v>
      </c>
      <c r="K414" s="6" t="str">
        <f t="shared" si="37"/>
        <v>Wednesday</v>
      </c>
      <c r="L414" s="2" t="str">
        <f t="shared" si="38"/>
        <v>January</v>
      </c>
      <c r="M414" s="2" t="str">
        <f t="shared" si="39"/>
        <v>Spring</v>
      </c>
      <c r="N414" s="2" t="str">
        <f t="shared" si="40"/>
        <v>Wednesday</v>
      </c>
      <c r="O414" t="str">
        <f t="shared" si="41"/>
        <v>Rain</v>
      </c>
    </row>
    <row r="415" spans="1:15" x14ac:dyDescent="0.25">
      <c r="A415" s="8">
        <v>413</v>
      </c>
      <c r="B415" s="9">
        <v>40562</v>
      </c>
      <c r="C415" s="6">
        <v>1</v>
      </c>
      <c r="D415" s="6" t="str">
        <f t="shared" si="36"/>
        <v>2011</v>
      </c>
      <c r="E415" s="6">
        <v>1</v>
      </c>
      <c r="F415" s="6">
        <v>5</v>
      </c>
      <c r="G415" s="6" t="b">
        <v>0</v>
      </c>
      <c r="H415" s="6">
        <v>3</v>
      </c>
      <c r="I415" s="6">
        <v>2</v>
      </c>
      <c r="J415" s="7">
        <v>0.22</v>
      </c>
      <c r="K415" s="6" t="str">
        <f t="shared" si="37"/>
        <v>Wednesday</v>
      </c>
      <c r="L415" s="2" t="str">
        <f t="shared" si="38"/>
        <v>January</v>
      </c>
      <c r="M415" s="2" t="str">
        <f t="shared" si="39"/>
        <v>Spring</v>
      </c>
      <c r="N415" s="2" t="str">
        <f t="shared" si="40"/>
        <v>Wednesday</v>
      </c>
      <c r="O415" t="str">
        <f t="shared" si="41"/>
        <v>Cloudy</v>
      </c>
    </row>
    <row r="416" spans="1:15" x14ac:dyDescent="0.25">
      <c r="A416" s="8">
        <v>414</v>
      </c>
      <c r="B416" s="9">
        <v>40562</v>
      </c>
      <c r="C416" s="6">
        <v>1</v>
      </c>
      <c r="D416" s="6" t="str">
        <f t="shared" si="36"/>
        <v>2011</v>
      </c>
      <c r="E416" s="6">
        <v>1</v>
      </c>
      <c r="F416" s="6">
        <v>6</v>
      </c>
      <c r="G416" s="6" t="b">
        <v>0</v>
      </c>
      <c r="H416" s="6">
        <v>3</v>
      </c>
      <c r="I416" s="6">
        <v>2</v>
      </c>
      <c r="J416" s="7">
        <v>0.22</v>
      </c>
      <c r="K416" s="6" t="str">
        <f t="shared" si="37"/>
        <v>Wednesday</v>
      </c>
      <c r="L416" s="2" t="str">
        <f t="shared" si="38"/>
        <v>January</v>
      </c>
      <c r="M416" s="2" t="str">
        <f t="shared" si="39"/>
        <v>Spring</v>
      </c>
      <c r="N416" s="2" t="str">
        <f t="shared" si="40"/>
        <v>Wednesday</v>
      </c>
      <c r="O416" t="str">
        <f t="shared" si="41"/>
        <v>Cloudy</v>
      </c>
    </row>
    <row r="417" spans="1:15" x14ac:dyDescent="0.25">
      <c r="A417" s="8">
        <v>415</v>
      </c>
      <c r="B417" s="9">
        <v>40562</v>
      </c>
      <c r="C417" s="6">
        <v>1</v>
      </c>
      <c r="D417" s="6" t="str">
        <f t="shared" si="36"/>
        <v>2011</v>
      </c>
      <c r="E417" s="6">
        <v>1</v>
      </c>
      <c r="F417" s="6">
        <v>7</v>
      </c>
      <c r="G417" s="6" t="b">
        <v>0</v>
      </c>
      <c r="H417" s="6">
        <v>3</v>
      </c>
      <c r="I417" s="6">
        <v>2</v>
      </c>
      <c r="J417" s="7">
        <v>0.24</v>
      </c>
      <c r="K417" s="6" t="str">
        <f t="shared" si="37"/>
        <v>Wednesday</v>
      </c>
      <c r="L417" s="2" t="str">
        <f t="shared" si="38"/>
        <v>January</v>
      </c>
      <c r="M417" s="2" t="str">
        <f t="shared" si="39"/>
        <v>Spring</v>
      </c>
      <c r="N417" s="2" t="str">
        <f t="shared" si="40"/>
        <v>Wednesday</v>
      </c>
      <c r="O417" t="str">
        <f t="shared" si="41"/>
        <v>Cloudy</v>
      </c>
    </row>
    <row r="418" spans="1:15" x14ac:dyDescent="0.25">
      <c r="A418" s="8">
        <v>416</v>
      </c>
      <c r="B418" s="9">
        <v>40562</v>
      </c>
      <c r="C418" s="6">
        <v>1</v>
      </c>
      <c r="D418" s="6" t="str">
        <f t="shared" si="36"/>
        <v>2011</v>
      </c>
      <c r="E418" s="6">
        <v>1</v>
      </c>
      <c r="F418" s="6">
        <v>8</v>
      </c>
      <c r="G418" s="6" t="b">
        <v>0</v>
      </c>
      <c r="H418" s="6">
        <v>3</v>
      </c>
      <c r="I418" s="6">
        <v>2</v>
      </c>
      <c r="J418" s="7">
        <v>0.24</v>
      </c>
      <c r="K418" s="6" t="str">
        <f t="shared" si="37"/>
        <v>Wednesday</v>
      </c>
      <c r="L418" s="2" t="str">
        <f t="shared" si="38"/>
        <v>January</v>
      </c>
      <c r="M418" s="2" t="str">
        <f t="shared" si="39"/>
        <v>Spring</v>
      </c>
      <c r="N418" s="2" t="str">
        <f t="shared" si="40"/>
        <v>Wednesday</v>
      </c>
      <c r="O418" t="str">
        <f t="shared" si="41"/>
        <v>Cloudy</v>
      </c>
    </row>
    <row r="419" spans="1:15" x14ac:dyDescent="0.25">
      <c r="A419" s="8">
        <v>417</v>
      </c>
      <c r="B419" s="9">
        <v>40562</v>
      </c>
      <c r="C419" s="6">
        <v>1</v>
      </c>
      <c r="D419" s="6" t="str">
        <f t="shared" si="36"/>
        <v>2011</v>
      </c>
      <c r="E419" s="6">
        <v>1</v>
      </c>
      <c r="F419" s="6">
        <v>9</v>
      </c>
      <c r="G419" s="6" t="b">
        <v>0</v>
      </c>
      <c r="H419" s="6">
        <v>3</v>
      </c>
      <c r="I419" s="6">
        <v>2</v>
      </c>
      <c r="J419" s="7">
        <v>0.24</v>
      </c>
      <c r="K419" s="6" t="str">
        <f t="shared" si="37"/>
        <v>Wednesday</v>
      </c>
      <c r="L419" s="2" t="str">
        <f t="shared" si="38"/>
        <v>January</v>
      </c>
      <c r="M419" s="2" t="str">
        <f t="shared" si="39"/>
        <v>Spring</v>
      </c>
      <c r="N419" s="2" t="str">
        <f t="shared" si="40"/>
        <v>Wednesday</v>
      </c>
      <c r="O419" t="str">
        <f t="shared" si="41"/>
        <v>Cloudy</v>
      </c>
    </row>
    <row r="420" spans="1:15" x14ac:dyDescent="0.25">
      <c r="A420" s="8">
        <v>418</v>
      </c>
      <c r="B420" s="9">
        <v>40562</v>
      </c>
      <c r="C420" s="6">
        <v>1</v>
      </c>
      <c r="D420" s="6" t="str">
        <f t="shared" si="36"/>
        <v>2011</v>
      </c>
      <c r="E420" s="6">
        <v>1</v>
      </c>
      <c r="F420" s="6">
        <v>10</v>
      </c>
      <c r="G420" s="6" t="b">
        <v>0</v>
      </c>
      <c r="H420" s="6">
        <v>3</v>
      </c>
      <c r="I420" s="6">
        <v>2</v>
      </c>
      <c r="J420" s="7">
        <v>0.26</v>
      </c>
      <c r="K420" s="6" t="str">
        <f t="shared" si="37"/>
        <v>Wednesday</v>
      </c>
      <c r="L420" s="2" t="str">
        <f t="shared" si="38"/>
        <v>January</v>
      </c>
      <c r="M420" s="2" t="str">
        <f t="shared" si="39"/>
        <v>Spring</v>
      </c>
      <c r="N420" s="2" t="str">
        <f t="shared" si="40"/>
        <v>Wednesday</v>
      </c>
      <c r="O420" t="str">
        <f t="shared" si="41"/>
        <v>Cloudy</v>
      </c>
    </row>
    <row r="421" spans="1:15" x14ac:dyDescent="0.25">
      <c r="A421" s="8">
        <v>419</v>
      </c>
      <c r="B421" s="9">
        <v>40562</v>
      </c>
      <c r="C421" s="6">
        <v>1</v>
      </c>
      <c r="D421" s="6" t="str">
        <f t="shared" si="36"/>
        <v>2011</v>
      </c>
      <c r="E421" s="6">
        <v>1</v>
      </c>
      <c r="F421" s="6">
        <v>11</v>
      </c>
      <c r="G421" s="6" t="b">
        <v>0</v>
      </c>
      <c r="H421" s="6">
        <v>3</v>
      </c>
      <c r="I421" s="6">
        <v>2</v>
      </c>
      <c r="J421" s="7">
        <v>0.28000000000000003</v>
      </c>
      <c r="K421" s="6" t="str">
        <f t="shared" si="37"/>
        <v>Wednesday</v>
      </c>
      <c r="L421" s="2" t="str">
        <f t="shared" si="38"/>
        <v>January</v>
      </c>
      <c r="M421" s="2" t="str">
        <f t="shared" si="39"/>
        <v>Spring</v>
      </c>
      <c r="N421" s="2" t="str">
        <f t="shared" si="40"/>
        <v>Wednesday</v>
      </c>
      <c r="O421" t="str">
        <f t="shared" si="41"/>
        <v>Cloudy</v>
      </c>
    </row>
    <row r="422" spans="1:15" x14ac:dyDescent="0.25">
      <c r="A422" s="8">
        <v>420</v>
      </c>
      <c r="B422" s="9">
        <v>40562</v>
      </c>
      <c r="C422" s="6">
        <v>1</v>
      </c>
      <c r="D422" s="6" t="str">
        <f t="shared" si="36"/>
        <v>2011</v>
      </c>
      <c r="E422" s="6">
        <v>1</v>
      </c>
      <c r="F422" s="6">
        <v>12</v>
      </c>
      <c r="G422" s="6" t="b">
        <v>0</v>
      </c>
      <c r="H422" s="6">
        <v>3</v>
      </c>
      <c r="I422" s="6">
        <v>2</v>
      </c>
      <c r="J422" s="7">
        <v>0.3</v>
      </c>
      <c r="K422" s="6" t="str">
        <f t="shared" si="37"/>
        <v>Wednesday</v>
      </c>
      <c r="L422" s="2" t="str">
        <f t="shared" si="38"/>
        <v>January</v>
      </c>
      <c r="M422" s="2" t="str">
        <f t="shared" si="39"/>
        <v>Spring</v>
      </c>
      <c r="N422" s="2" t="str">
        <f t="shared" si="40"/>
        <v>Wednesday</v>
      </c>
      <c r="O422" t="str">
        <f t="shared" si="41"/>
        <v>Cloudy</v>
      </c>
    </row>
    <row r="423" spans="1:15" x14ac:dyDescent="0.25">
      <c r="A423" s="8">
        <v>421</v>
      </c>
      <c r="B423" s="9">
        <v>40562</v>
      </c>
      <c r="C423" s="6">
        <v>1</v>
      </c>
      <c r="D423" s="6" t="str">
        <f t="shared" si="36"/>
        <v>2011</v>
      </c>
      <c r="E423" s="6">
        <v>1</v>
      </c>
      <c r="F423" s="6">
        <v>13</v>
      </c>
      <c r="G423" s="6" t="b">
        <v>0</v>
      </c>
      <c r="H423" s="6">
        <v>3</v>
      </c>
      <c r="I423" s="6">
        <v>1</v>
      </c>
      <c r="J423" s="7">
        <v>0.4</v>
      </c>
      <c r="K423" s="6" t="str">
        <f t="shared" si="37"/>
        <v>Wednesday</v>
      </c>
      <c r="L423" s="2" t="str">
        <f t="shared" si="38"/>
        <v>January</v>
      </c>
      <c r="M423" s="2" t="str">
        <f t="shared" si="39"/>
        <v>Spring</v>
      </c>
      <c r="N423" s="2" t="str">
        <f t="shared" si="40"/>
        <v>Wednesday</v>
      </c>
      <c r="O423" t="str">
        <f t="shared" si="41"/>
        <v>Clear</v>
      </c>
    </row>
    <row r="424" spans="1:15" x14ac:dyDescent="0.25">
      <c r="A424" s="8">
        <v>422</v>
      </c>
      <c r="B424" s="9">
        <v>40562</v>
      </c>
      <c r="C424" s="6">
        <v>1</v>
      </c>
      <c r="D424" s="6" t="str">
        <f t="shared" si="36"/>
        <v>2011</v>
      </c>
      <c r="E424" s="6">
        <v>1</v>
      </c>
      <c r="F424" s="6">
        <v>14</v>
      </c>
      <c r="G424" s="6" t="b">
        <v>0</v>
      </c>
      <c r="H424" s="6">
        <v>3</v>
      </c>
      <c r="I424" s="6">
        <v>1</v>
      </c>
      <c r="J424" s="7">
        <v>0.4</v>
      </c>
      <c r="K424" s="6" t="str">
        <f t="shared" si="37"/>
        <v>Wednesday</v>
      </c>
      <c r="L424" s="2" t="str">
        <f t="shared" si="38"/>
        <v>January</v>
      </c>
      <c r="M424" s="2" t="str">
        <f t="shared" si="39"/>
        <v>Spring</v>
      </c>
      <c r="N424" s="2" t="str">
        <f t="shared" si="40"/>
        <v>Wednesday</v>
      </c>
      <c r="O424" t="str">
        <f t="shared" si="41"/>
        <v>Clear</v>
      </c>
    </row>
    <row r="425" spans="1:15" x14ac:dyDescent="0.25">
      <c r="A425" s="8">
        <v>423</v>
      </c>
      <c r="B425" s="9">
        <v>40562</v>
      </c>
      <c r="C425" s="6">
        <v>1</v>
      </c>
      <c r="D425" s="6" t="str">
        <f t="shared" si="36"/>
        <v>2011</v>
      </c>
      <c r="E425" s="6">
        <v>1</v>
      </c>
      <c r="F425" s="6">
        <v>15</v>
      </c>
      <c r="G425" s="6" t="b">
        <v>0</v>
      </c>
      <c r="H425" s="6">
        <v>3</v>
      </c>
      <c r="I425" s="6">
        <v>1</v>
      </c>
      <c r="J425" s="7">
        <v>0.4</v>
      </c>
      <c r="K425" s="6" t="str">
        <f t="shared" si="37"/>
        <v>Wednesday</v>
      </c>
      <c r="L425" s="2" t="str">
        <f t="shared" si="38"/>
        <v>January</v>
      </c>
      <c r="M425" s="2" t="str">
        <f t="shared" si="39"/>
        <v>Spring</v>
      </c>
      <c r="N425" s="2" t="str">
        <f t="shared" si="40"/>
        <v>Wednesday</v>
      </c>
      <c r="O425" t="str">
        <f t="shared" si="41"/>
        <v>Clear</v>
      </c>
    </row>
    <row r="426" spans="1:15" x14ac:dyDescent="0.25">
      <c r="A426" s="8">
        <v>424</v>
      </c>
      <c r="B426" s="9">
        <v>40562</v>
      </c>
      <c r="C426" s="6">
        <v>1</v>
      </c>
      <c r="D426" s="6" t="str">
        <f t="shared" si="36"/>
        <v>2011</v>
      </c>
      <c r="E426" s="6">
        <v>1</v>
      </c>
      <c r="F426" s="6">
        <v>16</v>
      </c>
      <c r="G426" s="6" t="b">
        <v>0</v>
      </c>
      <c r="H426" s="6">
        <v>3</v>
      </c>
      <c r="I426" s="6">
        <v>1</v>
      </c>
      <c r="J426" s="7">
        <v>0.38</v>
      </c>
      <c r="K426" s="6" t="str">
        <f t="shared" si="37"/>
        <v>Wednesday</v>
      </c>
      <c r="L426" s="2" t="str">
        <f t="shared" si="38"/>
        <v>January</v>
      </c>
      <c r="M426" s="2" t="str">
        <f t="shared" si="39"/>
        <v>Spring</v>
      </c>
      <c r="N426" s="2" t="str">
        <f t="shared" si="40"/>
        <v>Wednesday</v>
      </c>
      <c r="O426" t="str">
        <f t="shared" si="41"/>
        <v>Clear</v>
      </c>
    </row>
    <row r="427" spans="1:15" x14ac:dyDescent="0.25">
      <c r="A427" s="8">
        <v>425</v>
      </c>
      <c r="B427" s="9">
        <v>40562</v>
      </c>
      <c r="C427" s="6">
        <v>1</v>
      </c>
      <c r="D427" s="6" t="str">
        <f t="shared" si="36"/>
        <v>2011</v>
      </c>
      <c r="E427" s="6">
        <v>1</v>
      </c>
      <c r="F427" s="6">
        <v>17</v>
      </c>
      <c r="G427" s="6" t="b">
        <v>0</v>
      </c>
      <c r="H427" s="6">
        <v>3</v>
      </c>
      <c r="I427" s="6">
        <v>1</v>
      </c>
      <c r="J427" s="7">
        <v>0.36</v>
      </c>
      <c r="K427" s="6" t="str">
        <f t="shared" si="37"/>
        <v>Wednesday</v>
      </c>
      <c r="L427" s="2" t="str">
        <f t="shared" si="38"/>
        <v>January</v>
      </c>
      <c r="M427" s="2" t="str">
        <f t="shared" si="39"/>
        <v>Spring</v>
      </c>
      <c r="N427" s="2" t="str">
        <f t="shared" si="40"/>
        <v>Wednesday</v>
      </c>
      <c r="O427" t="str">
        <f t="shared" si="41"/>
        <v>Clear</v>
      </c>
    </row>
    <row r="428" spans="1:15" x14ac:dyDescent="0.25">
      <c r="A428" s="8">
        <v>426</v>
      </c>
      <c r="B428" s="9">
        <v>40562</v>
      </c>
      <c r="C428" s="6">
        <v>1</v>
      </c>
      <c r="D428" s="6" t="str">
        <f t="shared" si="36"/>
        <v>2011</v>
      </c>
      <c r="E428" s="6">
        <v>1</v>
      </c>
      <c r="F428" s="6">
        <v>18</v>
      </c>
      <c r="G428" s="6" t="b">
        <v>0</v>
      </c>
      <c r="H428" s="6">
        <v>3</v>
      </c>
      <c r="I428" s="6">
        <v>1</v>
      </c>
      <c r="J428" s="7">
        <v>0.34</v>
      </c>
      <c r="K428" s="6" t="str">
        <f t="shared" si="37"/>
        <v>Wednesday</v>
      </c>
      <c r="L428" s="2" t="str">
        <f t="shared" si="38"/>
        <v>January</v>
      </c>
      <c r="M428" s="2" t="str">
        <f t="shared" si="39"/>
        <v>Spring</v>
      </c>
      <c r="N428" s="2" t="str">
        <f t="shared" si="40"/>
        <v>Wednesday</v>
      </c>
      <c r="O428" t="str">
        <f t="shared" si="41"/>
        <v>Clear</v>
      </c>
    </row>
    <row r="429" spans="1:15" x14ac:dyDescent="0.25">
      <c r="A429" s="8">
        <v>427</v>
      </c>
      <c r="B429" s="9">
        <v>40562</v>
      </c>
      <c r="C429" s="6">
        <v>1</v>
      </c>
      <c r="D429" s="6" t="str">
        <f t="shared" si="36"/>
        <v>2011</v>
      </c>
      <c r="E429" s="6">
        <v>1</v>
      </c>
      <c r="F429" s="6">
        <v>19</v>
      </c>
      <c r="G429" s="6" t="b">
        <v>0</v>
      </c>
      <c r="H429" s="6">
        <v>3</v>
      </c>
      <c r="I429" s="6">
        <v>1</v>
      </c>
      <c r="J429" s="7">
        <v>0.32</v>
      </c>
      <c r="K429" s="6" t="str">
        <f t="shared" si="37"/>
        <v>Wednesday</v>
      </c>
      <c r="L429" s="2" t="str">
        <f t="shared" si="38"/>
        <v>January</v>
      </c>
      <c r="M429" s="2" t="str">
        <f t="shared" si="39"/>
        <v>Spring</v>
      </c>
      <c r="N429" s="2" t="str">
        <f t="shared" si="40"/>
        <v>Wednesday</v>
      </c>
      <c r="O429" t="str">
        <f t="shared" si="41"/>
        <v>Clear</v>
      </c>
    </row>
    <row r="430" spans="1:15" x14ac:dyDescent="0.25">
      <c r="A430" s="8">
        <v>428</v>
      </c>
      <c r="B430" s="9">
        <v>40562</v>
      </c>
      <c r="C430" s="6">
        <v>1</v>
      </c>
      <c r="D430" s="6" t="str">
        <f t="shared" si="36"/>
        <v>2011</v>
      </c>
      <c r="E430" s="6">
        <v>1</v>
      </c>
      <c r="F430" s="6">
        <v>20</v>
      </c>
      <c r="G430" s="6" t="b">
        <v>0</v>
      </c>
      <c r="H430" s="6">
        <v>3</v>
      </c>
      <c r="I430" s="6">
        <v>1</v>
      </c>
      <c r="J430" s="7">
        <v>0.32</v>
      </c>
      <c r="K430" s="6" t="str">
        <f t="shared" si="37"/>
        <v>Wednesday</v>
      </c>
      <c r="L430" s="2" t="str">
        <f t="shared" si="38"/>
        <v>January</v>
      </c>
      <c r="M430" s="2" t="str">
        <f t="shared" si="39"/>
        <v>Spring</v>
      </c>
      <c r="N430" s="2" t="str">
        <f t="shared" si="40"/>
        <v>Wednesday</v>
      </c>
      <c r="O430" t="str">
        <f t="shared" si="41"/>
        <v>Clear</v>
      </c>
    </row>
    <row r="431" spans="1:15" x14ac:dyDescent="0.25">
      <c r="A431" s="8">
        <v>429</v>
      </c>
      <c r="B431" s="9">
        <v>40562</v>
      </c>
      <c r="C431" s="6">
        <v>1</v>
      </c>
      <c r="D431" s="6" t="str">
        <f t="shared" si="36"/>
        <v>2011</v>
      </c>
      <c r="E431" s="6">
        <v>1</v>
      </c>
      <c r="F431" s="6">
        <v>21</v>
      </c>
      <c r="G431" s="6" t="b">
        <v>0</v>
      </c>
      <c r="H431" s="6">
        <v>3</v>
      </c>
      <c r="I431" s="6">
        <v>1</v>
      </c>
      <c r="J431" s="7">
        <v>0.32</v>
      </c>
      <c r="K431" s="6" t="str">
        <f t="shared" si="37"/>
        <v>Wednesday</v>
      </c>
      <c r="L431" s="2" t="str">
        <f t="shared" si="38"/>
        <v>January</v>
      </c>
      <c r="M431" s="2" t="str">
        <f t="shared" si="39"/>
        <v>Spring</v>
      </c>
      <c r="N431" s="2" t="str">
        <f t="shared" si="40"/>
        <v>Wednesday</v>
      </c>
      <c r="O431" t="str">
        <f t="shared" si="41"/>
        <v>Clear</v>
      </c>
    </row>
    <row r="432" spans="1:15" x14ac:dyDescent="0.25">
      <c r="A432" s="8">
        <v>430</v>
      </c>
      <c r="B432" s="9">
        <v>40562</v>
      </c>
      <c r="C432" s="6">
        <v>1</v>
      </c>
      <c r="D432" s="6" t="str">
        <f t="shared" si="36"/>
        <v>2011</v>
      </c>
      <c r="E432" s="6">
        <v>1</v>
      </c>
      <c r="F432" s="6">
        <v>22</v>
      </c>
      <c r="G432" s="6" t="b">
        <v>0</v>
      </c>
      <c r="H432" s="6">
        <v>3</v>
      </c>
      <c r="I432" s="6">
        <v>1</v>
      </c>
      <c r="J432" s="7">
        <v>0.3</v>
      </c>
      <c r="K432" s="6" t="str">
        <f t="shared" si="37"/>
        <v>Wednesday</v>
      </c>
      <c r="L432" s="2" t="str">
        <f t="shared" si="38"/>
        <v>January</v>
      </c>
      <c r="M432" s="2" t="str">
        <f t="shared" si="39"/>
        <v>Spring</v>
      </c>
      <c r="N432" s="2" t="str">
        <f t="shared" si="40"/>
        <v>Wednesday</v>
      </c>
      <c r="O432" t="str">
        <f t="shared" si="41"/>
        <v>Clear</v>
      </c>
    </row>
    <row r="433" spans="1:15" x14ac:dyDescent="0.25">
      <c r="A433" s="8">
        <v>431</v>
      </c>
      <c r="B433" s="9">
        <v>40562</v>
      </c>
      <c r="C433" s="6">
        <v>1</v>
      </c>
      <c r="D433" s="6" t="str">
        <f t="shared" si="36"/>
        <v>2011</v>
      </c>
      <c r="E433" s="6">
        <v>1</v>
      </c>
      <c r="F433" s="6">
        <v>23</v>
      </c>
      <c r="G433" s="6" t="b">
        <v>0</v>
      </c>
      <c r="H433" s="6">
        <v>3</v>
      </c>
      <c r="I433" s="6">
        <v>1</v>
      </c>
      <c r="J433" s="7">
        <v>0.3</v>
      </c>
      <c r="K433" s="6" t="str">
        <f t="shared" si="37"/>
        <v>Wednesday</v>
      </c>
      <c r="L433" s="2" t="str">
        <f t="shared" si="38"/>
        <v>January</v>
      </c>
      <c r="M433" s="2" t="str">
        <f t="shared" si="39"/>
        <v>Spring</v>
      </c>
      <c r="N433" s="2" t="str">
        <f t="shared" si="40"/>
        <v>Wednesday</v>
      </c>
      <c r="O433" t="str">
        <f t="shared" si="41"/>
        <v>Clear</v>
      </c>
    </row>
    <row r="434" spans="1:15" x14ac:dyDescent="0.25">
      <c r="A434" s="8">
        <v>432</v>
      </c>
      <c r="B434" s="9">
        <v>40563</v>
      </c>
      <c r="C434" s="6">
        <v>1</v>
      </c>
      <c r="D434" s="6" t="str">
        <f t="shared" si="36"/>
        <v>2011</v>
      </c>
      <c r="E434" s="6">
        <v>1</v>
      </c>
      <c r="F434" s="6">
        <v>0</v>
      </c>
      <c r="G434" s="6" t="b">
        <v>0</v>
      </c>
      <c r="H434" s="6">
        <v>4</v>
      </c>
      <c r="I434" s="6">
        <v>1</v>
      </c>
      <c r="J434" s="7">
        <v>0.26</v>
      </c>
      <c r="K434" s="6" t="str">
        <f t="shared" si="37"/>
        <v>Thursday</v>
      </c>
      <c r="L434" s="2" t="str">
        <f t="shared" si="38"/>
        <v>January</v>
      </c>
      <c r="M434" s="2" t="str">
        <f t="shared" si="39"/>
        <v>Spring</v>
      </c>
      <c r="N434" s="2" t="str">
        <f t="shared" si="40"/>
        <v>Thursday</v>
      </c>
      <c r="O434" t="str">
        <f t="shared" si="41"/>
        <v>Clear</v>
      </c>
    </row>
    <row r="435" spans="1:15" x14ac:dyDescent="0.25">
      <c r="A435" s="8">
        <v>433</v>
      </c>
      <c r="B435" s="9">
        <v>40563</v>
      </c>
      <c r="C435" s="6">
        <v>1</v>
      </c>
      <c r="D435" s="6" t="str">
        <f t="shared" si="36"/>
        <v>2011</v>
      </c>
      <c r="E435" s="6">
        <v>1</v>
      </c>
      <c r="F435" s="6">
        <v>1</v>
      </c>
      <c r="G435" s="6" t="b">
        <v>0</v>
      </c>
      <c r="H435" s="6">
        <v>4</v>
      </c>
      <c r="I435" s="6">
        <v>1</v>
      </c>
      <c r="J435" s="7">
        <v>0.26</v>
      </c>
      <c r="K435" s="6" t="str">
        <f t="shared" si="37"/>
        <v>Thursday</v>
      </c>
      <c r="L435" s="2" t="str">
        <f t="shared" si="38"/>
        <v>January</v>
      </c>
      <c r="M435" s="2" t="str">
        <f t="shared" si="39"/>
        <v>Spring</v>
      </c>
      <c r="N435" s="2" t="str">
        <f t="shared" si="40"/>
        <v>Thursday</v>
      </c>
      <c r="O435" t="str">
        <f t="shared" si="41"/>
        <v>Clear</v>
      </c>
    </row>
    <row r="436" spans="1:15" x14ac:dyDescent="0.25">
      <c r="A436" s="8">
        <v>434</v>
      </c>
      <c r="B436" s="9">
        <v>40563</v>
      </c>
      <c r="C436" s="6">
        <v>1</v>
      </c>
      <c r="D436" s="6" t="str">
        <f t="shared" si="36"/>
        <v>2011</v>
      </c>
      <c r="E436" s="6">
        <v>1</v>
      </c>
      <c r="F436" s="6">
        <v>2</v>
      </c>
      <c r="G436" s="6" t="b">
        <v>0</v>
      </c>
      <c r="H436" s="6">
        <v>4</v>
      </c>
      <c r="I436" s="6">
        <v>1</v>
      </c>
      <c r="J436" s="7">
        <v>0.26</v>
      </c>
      <c r="K436" s="6" t="str">
        <f t="shared" si="37"/>
        <v>Thursday</v>
      </c>
      <c r="L436" s="2" t="str">
        <f t="shared" si="38"/>
        <v>January</v>
      </c>
      <c r="M436" s="2" t="str">
        <f t="shared" si="39"/>
        <v>Spring</v>
      </c>
      <c r="N436" s="2" t="str">
        <f t="shared" si="40"/>
        <v>Thursday</v>
      </c>
      <c r="O436" t="str">
        <f t="shared" si="41"/>
        <v>Clear</v>
      </c>
    </row>
    <row r="437" spans="1:15" x14ac:dyDescent="0.25">
      <c r="A437" s="8">
        <v>435</v>
      </c>
      <c r="B437" s="9">
        <v>40563</v>
      </c>
      <c r="C437" s="6">
        <v>1</v>
      </c>
      <c r="D437" s="6" t="str">
        <f t="shared" si="36"/>
        <v>2011</v>
      </c>
      <c r="E437" s="6">
        <v>1</v>
      </c>
      <c r="F437" s="6">
        <v>3</v>
      </c>
      <c r="G437" s="6" t="b">
        <v>0</v>
      </c>
      <c r="H437" s="6">
        <v>4</v>
      </c>
      <c r="I437" s="6">
        <v>1</v>
      </c>
      <c r="J437" s="7">
        <v>0.26</v>
      </c>
      <c r="K437" s="6" t="str">
        <f t="shared" si="37"/>
        <v>Thursday</v>
      </c>
      <c r="L437" s="2" t="str">
        <f t="shared" si="38"/>
        <v>January</v>
      </c>
      <c r="M437" s="2" t="str">
        <f t="shared" si="39"/>
        <v>Spring</v>
      </c>
      <c r="N437" s="2" t="str">
        <f t="shared" si="40"/>
        <v>Thursday</v>
      </c>
      <c r="O437" t="str">
        <f t="shared" si="41"/>
        <v>Clear</v>
      </c>
    </row>
    <row r="438" spans="1:15" x14ac:dyDescent="0.25">
      <c r="A438" s="8">
        <v>436</v>
      </c>
      <c r="B438" s="9">
        <v>40563</v>
      </c>
      <c r="C438" s="6">
        <v>1</v>
      </c>
      <c r="D438" s="6" t="str">
        <f t="shared" si="36"/>
        <v>2011</v>
      </c>
      <c r="E438" s="6">
        <v>1</v>
      </c>
      <c r="F438" s="6">
        <v>4</v>
      </c>
      <c r="G438" s="6" t="b">
        <v>0</v>
      </c>
      <c r="H438" s="6">
        <v>4</v>
      </c>
      <c r="I438" s="6">
        <v>1</v>
      </c>
      <c r="J438" s="7">
        <v>0.26</v>
      </c>
      <c r="K438" s="6" t="str">
        <f t="shared" si="37"/>
        <v>Thursday</v>
      </c>
      <c r="L438" s="2" t="str">
        <f t="shared" si="38"/>
        <v>January</v>
      </c>
      <c r="M438" s="2" t="str">
        <f t="shared" si="39"/>
        <v>Spring</v>
      </c>
      <c r="N438" s="2" t="str">
        <f t="shared" si="40"/>
        <v>Thursday</v>
      </c>
      <c r="O438" t="str">
        <f t="shared" si="41"/>
        <v>Clear</v>
      </c>
    </row>
    <row r="439" spans="1:15" x14ac:dyDescent="0.25">
      <c r="A439" s="8">
        <v>437</v>
      </c>
      <c r="B439" s="9">
        <v>40563</v>
      </c>
      <c r="C439" s="6">
        <v>1</v>
      </c>
      <c r="D439" s="6" t="str">
        <f t="shared" si="36"/>
        <v>2011</v>
      </c>
      <c r="E439" s="6">
        <v>1</v>
      </c>
      <c r="F439" s="6">
        <v>5</v>
      </c>
      <c r="G439" s="6" t="b">
        <v>0</v>
      </c>
      <c r="H439" s="6">
        <v>4</v>
      </c>
      <c r="I439" s="6">
        <v>1</v>
      </c>
      <c r="J439" s="7">
        <v>0.24</v>
      </c>
      <c r="K439" s="6" t="str">
        <f t="shared" si="37"/>
        <v>Thursday</v>
      </c>
      <c r="L439" s="2" t="str">
        <f t="shared" si="38"/>
        <v>January</v>
      </c>
      <c r="M439" s="2" t="str">
        <f t="shared" si="39"/>
        <v>Spring</v>
      </c>
      <c r="N439" s="2" t="str">
        <f t="shared" si="40"/>
        <v>Thursday</v>
      </c>
      <c r="O439" t="str">
        <f t="shared" si="41"/>
        <v>Clear</v>
      </c>
    </row>
    <row r="440" spans="1:15" x14ac:dyDescent="0.25">
      <c r="A440" s="8">
        <v>438</v>
      </c>
      <c r="B440" s="9">
        <v>40563</v>
      </c>
      <c r="C440" s="6">
        <v>1</v>
      </c>
      <c r="D440" s="6" t="str">
        <f t="shared" si="36"/>
        <v>2011</v>
      </c>
      <c r="E440" s="6">
        <v>1</v>
      </c>
      <c r="F440" s="6">
        <v>6</v>
      </c>
      <c r="G440" s="6" t="b">
        <v>0</v>
      </c>
      <c r="H440" s="6">
        <v>4</v>
      </c>
      <c r="I440" s="6">
        <v>1</v>
      </c>
      <c r="J440" s="7">
        <v>0.22</v>
      </c>
      <c r="K440" s="6" t="str">
        <f t="shared" si="37"/>
        <v>Thursday</v>
      </c>
      <c r="L440" s="2" t="str">
        <f t="shared" si="38"/>
        <v>January</v>
      </c>
      <c r="M440" s="2" t="str">
        <f t="shared" si="39"/>
        <v>Spring</v>
      </c>
      <c r="N440" s="2" t="str">
        <f t="shared" si="40"/>
        <v>Thursday</v>
      </c>
      <c r="O440" t="str">
        <f t="shared" si="41"/>
        <v>Clear</v>
      </c>
    </row>
    <row r="441" spans="1:15" x14ac:dyDescent="0.25">
      <c r="A441" s="8">
        <v>439</v>
      </c>
      <c r="B441" s="9">
        <v>40563</v>
      </c>
      <c r="C441" s="6">
        <v>1</v>
      </c>
      <c r="D441" s="6" t="str">
        <f t="shared" si="36"/>
        <v>2011</v>
      </c>
      <c r="E441" s="6">
        <v>1</v>
      </c>
      <c r="F441" s="6">
        <v>7</v>
      </c>
      <c r="G441" s="6" t="b">
        <v>0</v>
      </c>
      <c r="H441" s="6">
        <v>4</v>
      </c>
      <c r="I441" s="6">
        <v>1</v>
      </c>
      <c r="J441" s="7">
        <v>0.22</v>
      </c>
      <c r="K441" s="6" t="str">
        <f t="shared" si="37"/>
        <v>Thursday</v>
      </c>
      <c r="L441" s="2" t="str">
        <f t="shared" si="38"/>
        <v>January</v>
      </c>
      <c r="M441" s="2" t="str">
        <f t="shared" si="39"/>
        <v>Spring</v>
      </c>
      <c r="N441" s="2" t="str">
        <f t="shared" si="40"/>
        <v>Thursday</v>
      </c>
      <c r="O441" t="str">
        <f t="shared" si="41"/>
        <v>Clear</v>
      </c>
    </row>
    <row r="442" spans="1:15" x14ac:dyDescent="0.25">
      <c r="A442" s="8">
        <v>440</v>
      </c>
      <c r="B442" s="9">
        <v>40563</v>
      </c>
      <c r="C442" s="6">
        <v>1</v>
      </c>
      <c r="D442" s="6" t="str">
        <f t="shared" si="36"/>
        <v>2011</v>
      </c>
      <c r="E442" s="6">
        <v>1</v>
      </c>
      <c r="F442" s="6">
        <v>8</v>
      </c>
      <c r="G442" s="6" t="b">
        <v>0</v>
      </c>
      <c r="H442" s="6">
        <v>4</v>
      </c>
      <c r="I442" s="6">
        <v>1</v>
      </c>
      <c r="J442" s="7">
        <v>0.22</v>
      </c>
      <c r="K442" s="6" t="str">
        <f t="shared" si="37"/>
        <v>Thursday</v>
      </c>
      <c r="L442" s="2" t="str">
        <f t="shared" si="38"/>
        <v>January</v>
      </c>
      <c r="M442" s="2" t="str">
        <f t="shared" si="39"/>
        <v>Spring</v>
      </c>
      <c r="N442" s="2" t="str">
        <f t="shared" si="40"/>
        <v>Thursday</v>
      </c>
      <c r="O442" t="str">
        <f t="shared" si="41"/>
        <v>Clear</v>
      </c>
    </row>
    <row r="443" spans="1:15" x14ac:dyDescent="0.25">
      <c r="A443" s="8">
        <v>441</v>
      </c>
      <c r="B443" s="9">
        <v>40563</v>
      </c>
      <c r="C443" s="6">
        <v>1</v>
      </c>
      <c r="D443" s="6" t="str">
        <f t="shared" si="36"/>
        <v>2011</v>
      </c>
      <c r="E443" s="6">
        <v>1</v>
      </c>
      <c r="F443" s="6">
        <v>9</v>
      </c>
      <c r="G443" s="6" t="b">
        <v>0</v>
      </c>
      <c r="H443" s="6">
        <v>4</v>
      </c>
      <c r="I443" s="6">
        <v>2</v>
      </c>
      <c r="J443" s="7">
        <v>0.24</v>
      </c>
      <c r="K443" s="6" t="str">
        <f t="shared" si="37"/>
        <v>Thursday</v>
      </c>
      <c r="L443" s="2" t="str">
        <f t="shared" si="38"/>
        <v>January</v>
      </c>
      <c r="M443" s="2" t="str">
        <f t="shared" si="39"/>
        <v>Spring</v>
      </c>
      <c r="N443" s="2" t="str">
        <f t="shared" si="40"/>
        <v>Thursday</v>
      </c>
      <c r="O443" t="str">
        <f t="shared" si="41"/>
        <v>Cloudy</v>
      </c>
    </row>
    <row r="444" spans="1:15" x14ac:dyDescent="0.25">
      <c r="A444" s="8">
        <v>442</v>
      </c>
      <c r="B444" s="9">
        <v>40563</v>
      </c>
      <c r="C444" s="6">
        <v>1</v>
      </c>
      <c r="D444" s="6" t="str">
        <f t="shared" si="36"/>
        <v>2011</v>
      </c>
      <c r="E444" s="6">
        <v>1</v>
      </c>
      <c r="F444" s="6">
        <v>10</v>
      </c>
      <c r="G444" s="6" t="b">
        <v>0</v>
      </c>
      <c r="H444" s="6">
        <v>4</v>
      </c>
      <c r="I444" s="6">
        <v>1</v>
      </c>
      <c r="J444" s="7">
        <v>0.26</v>
      </c>
      <c r="K444" s="6" t="str">
        <f t="shared" si="37"/>
        <v>Thursday</v>
      </c>
      <c r="L444" s="2" t="str">
        <f t="shared" si="38"/>
        <v>January</v>
      </c>
      <c r="M444" s="2" t="str">
        <f t="shared" si="39"/>
        <v>Spring</v>
      </c>
      <c r="N444" s="2" t="str">
        <f t="shared" si="40"/>
        <v>Thursday</v>
      </c>
      <c r="O444" t="str">
        <f t="shared" si="41"/>
        <v>Clear</v>
      </c>
    </row>
    <row r="445" spans="1:15" x14ac:dyDescent="0.25">
      <c r="A445" s="8">
        <v>443</v>
      </c>
      <c r="B445" s="9">
        <v>40563</v>
      </c>
      <c r="C445" s="6">
        <v>1</v>
      </c>
      <c r="D445" s="6" t="str">
        <f t="shared" si="36"/>
        <v>2011</v>
      </c>
      <c r="E445" s="6">
        <v>1</v>
      </c>
      <c r="F445" s="6">
        <v>11</v>
      </c>
      <c r="G445" s="6" t="b">
        <v>0</v>
      </c>
      <c r="H445" s="6">
        <v>4</v>
      </c>
      <c r="I445" s="6">
        <v>2</v>
      </c>
      <c r="J445" s="7">
        <v>0.28000000000000003</v>
      </c>
      <c r="K445" s="6" t="str">
        <f t="shared" si="37"/>
        <v>Thursday</v>
      </c>
      <c r="L445" s="2" t="str">
        <f t="shared" si="38"/>
        <v>January</v>
      </c>
      <c r="M445" s="2" t="str">
        <f t="shared" si="39"/>
        <v>Spring</v>
      </c>
      <c r="N445" s="2" t="str">
        <f t="shared" si="40"/>
        <v>Thursday</v>
      </c>
      <c r="O445" t="str">
        <f t="shared" si="41"/>
        <v>Cloudy</v>
      </c>
    </row>
    <row r="446" spans="1:15" x14ac:dyDescent="0.25">
      <c r="A446" s="8">
        <v>444</v>
      </c>
      <c r="B446" s="9">
        <v>40563</v>
      </c>
      <c r="C446" s="6">
        <v>1</v>
      </c>
      <c r="D446" s="6" t="str">
        <f t="shared" si="36"/>
        <v>2011</v>
      </c>
      <c r="E446" s="6">
        <v>1</v>
      </c>
      <c r="F446" s="6">
        <v>12</v>
      </c>
      <c r="G446" s="6" t="b">
        <v>0</v>
      </c>
      <c r="H446" s="6">
        <v>4</v>
      </c>
      <c r="I446" s="6">
        <v>2</v>
      </c>
      <c r="J446" s="7">
        <v>0.3</v>
      </c>
      <c r="K446" s="6" t="str">
        <f t="shared" si="37"/>
        <v>Thursday</v>
      </c>
      <c r="L446" s="2" t="str">
        <f t="shared" si="38"/>
        <v>January</v>
      </c>
      <c r="M446" s="2" t="str">
        <f t="shared" si="39"/>
        <v>Spring</v>
      </c>
      <c r="N446" s="2" t="str">
        <f t="shared" si="40"/>
        <v>Thursday</v>
      </c>
      <c r="O446" t="str">
        <f t="shared" si="41"/>
        <v>Cloudy</v>
      </c>
    </row>
    <row r="447" spans="1:15" x14ac:dyDescent="0.25">
      <c r="A447" s="8">
        <v>445</v>
      </c>
      <c r="B447" s="9">
        <v>40563</v>
      </c>
      <c r="C447" s="6">
        <v>1</v>
      </c>
      <c r="D447" s="6" t="str">
        <f t="shared" si="36"/>
        <v>2011</v>
      </c>
      <c r="E447" s="6">
        <v>1</v>
      </c>
      <c r="F447" s="6">
        <v>13</v>
      </c>
      <c r="G447" s="6" t="b">
        <v>0</v>
      </c>
      <c r="H447" s="6">
        <v>4</v>
      </c>
      <c r="I447" s="6">
        <v>2</v>
      </c>
      <c r="J447" s="7">
        <v>0.28000000000000003</v>
      </c>
      <c r="K447" s="6" t="str">
        <f t="shared" si="37"/>
        <v>Thursday</v>
      </c>
      <c r="L447" s="2" t="str">
        <f t="shared" si="38"/>
        <v>January</v>
      </c>
      <c r="M447" s="2" t="str">
        <f t="shared" si="39"/>
        <v>Spring</v>
      </c>
      <c r="N447" s="2" t="str">
        <f t="shared" si="40"/>
        <v>Thursday</v>
      </c>
      <c r="O447" t="str">
        <f t="shared" si="41"/>
        <v>Cloudy</v>
      </c>
    </row>
    <row r="448" spans="1:15" x14ac:dyDescent="0.25">
      <c r="A448" s="8">
        <v>446</v>
      </c>
      <c r="B448" s="9">
        <v>40563</v>
      </c>
      <c r="C448" s="6">
        <v>1</v>
      </c>
      <c r="D448" s="6" t="str">
        <f t="shared" si="36"/>
        <v>2011</v>
      </c>
      <c r="E448" s="6">
        <v>1</v>
      </c>
      <c r="F448" s="6">
        <v>14</v>
      </c>
      <c r="G448" s="6" t="b">
        <v>0</v>
      </c>
      <c r="H448" s="6">
        <v>4</v>
      </c>
      <c r="I448" s="6">
        <v>2</v>
      </c>
      <c r="J448" s="7">
        <v>0.3</v>
      </c>
      <c r="K448" s="6" t="str">
        <f t="shared" si="37"/>
        <v>Thursday</v>
      </c>
      <c r="L448" s="2" t="str">
        <f t="shared" si="38"/>
        <v>January</v>
      </c>
      <c r="M448" s="2" t="str">
        <f t="shared" si="39"/>
        <v>Spring</v>
      </c>
      <c r="N448" s="2" t="str">
        <f t="shared" si="40"/>
        <v>Thursday</v>
      </c>
      <c r="O448" t="str">
        <f t="shared" si="41"/>
        <v>Cloudy</v>
      </c>
    </row>
    <row r="449" spans="1:15" x14ac:dyDescent="0.25">
      <c r="A449" s="8">
        <v>447</v>
      </c>
      <c r="B449" s="9">
        <v>40563</v>
      </c>
      <c r="C449" s="6">
        <v>1</v>
      </c>
      <c r="D449" s="6" t="str">
        <f t="shared" si="36"/>
        <v>2011</v>
      </c>
      <c r="E449" s="6">
        <v>1</v>
      </c>
      <c r="F449" s="6">
        <v>15</v>
      </c>
      <c r="G449" s="6" t="b">
        <v>0</v>
      </c>
      <c r="H449" s="6">
        <v>4</v>
      </c>
      <c r="I449" s="6">
        <v>2</v>
      </c>
      <c r="J449" s="7">
        <v>0.32</v>
      </c>
      <c r="K449" s="6" t="str">
        <f t="shared" si="37"/>
        <v>Thursday</v>
      </c>
      <c r="L449" s="2" t="str">
        <f t="shared" si="38"/>
        <v>January</v>
      </c>
      <c r="M449" s="2" t="str">
        <f t="shared" si="39"/>
        <v>Spring</v>
      </c>
      <c r="N449" s="2" t="str">
        <f t="shared" si="40"/>
        <v>Thursday</v>
      </c>
      <c r="O449" t="str">
        <f t="shared" si="41"/>
        <v>Cloudy</v>
      </c>
    </row>
    <row r="450" spans="1:15" x14ac:dyDescent="0.25">
      <c r="A450" s="8">
        <v>448</v>
      </c>
      <c r="B450" s="9">
        <v>40563</v>
      </c>
      <c r="C450" s="6">
        <v>1</v>
      </c>
      <c r="D450" s="6" t="str">
        <f t="shared" si="36"/>
        <v>2011</v>
      </c>
      <c r="E450" s="6">
        <v>1</v>
      </c>
      <c r="F450" s="6">
        <v>16</v>
      </c>
      <c r="G450" s="6" t="b">
        <v>0</v>
      </c>
      <c r="H450" s="6">
        <v>4</v>
      </c>
      <c r="I450" s="6">
        <v>2</v>
      </c>
      <c r="J450" s="7">
        <v>0.3</v>
      </c>
      <c r="K450" s="6" t="str">
        <f t="shared" si="37"/>
        <v>Thursday</v>
      </c>
      <c r="L450" s="2" t="str">
        <f t="shared" si="38"/>
        <v>January</v>
      </c>
      <c r="M450" s="2" t="str">
        <f t="shared" si="39"/>
        <v>Spring</v>
      </c>
      <c r="N450" s="2" t="str">
        <f t="shared" si="40"/>
        <v>Thursday</v>
      </c>
      <c r="O450" t="str">
        <f t="shared" si="41"/>
        <v>Cloudy</v>
      </c>
    </row>
    <row r="451" spans="1:15" x14ac:dyDescent="0.25">
      <c r="A451" s="8">
        <v>449</v>
      </c>
      <c r="B451" s="9">
        <v>40563</v>
      </c>
      <c r="C451" s="6">
        <v>1</v>
      </c>
      <c r="D451" s="6" t="str">
        <f t="shared" si="36"/>
        <v>2011</v>
      </c>
      <c r="E451" s="6">
        <v>1</v>
      </c>
      <c r="F451" s="6">
        <v>17</v>
      </c>
      <c r="G451" s="6" t="b">
        <v>0</v>
      </c>
      <c r="H451" s="6">
        <v>4</v>
      </c>
      <c r="I451" s="6">
        <v>2</v>
      </c>
      <c r="J451" s="7">
        <v>0.3</v>
      </c>
      <c r="K451" s="6" t="str">
        <f t="shared" si="37"/>
        <v>Thursday</v>
      </c>
      <c r="L451" s="2" t="str">
        <f t="shared" si="38"/>
        <v>January</v>
      </c>
      <c r="M451" s="2" t="str">
        <f t="shared" si="39"/>
        <v>Spring</v>
      </c>
      <c r="N451" s="2" t="str">
        <f t="shared" si="40"/>
        <v>Thursday</v>
      </c>
      <c r="O451" t="str">
        <f t="shared" si="41"/>
        <v>Cloudy</v>
      </c>
    </row>
    <row r="452" spans="1:15" x14ac:dyDescent="0.25">
      <c r="A452" s="8">
        <v>450</v>
      </c>
      <c r="B452" s="9">
        <v>40563</v>
      </c>
      <c r="C452" s="6">
        <v>1</v>
      </c>
      <c r="D452" s="6" t="str">
        <f t="shared" ref="D452:D515" si="42">TEXT(B452,"yyyy")</f>
        <v>2011</v>
      </c>
      <c r="E452" s="6">
        <v>1</v>
      </c>
      <c r="F452" s="6">
        <v>18</v>
      </c>
      <c r="G452" s="6" t="b">
        <v>0</v>
      </c>
      <c r="H452" s="6">
        <v>4</v>
      </c>
      <c r="I452" s="6">
        <v>2</v>
      </c>
      <c r="J452" s="7">
        <v>0.26</v>
      </c>
      <c r="K452" s="6" t="str">
        <f t="shared" ref="K452:K515" si="43">TEXT(B452,"dddd")</f>
        <v>Thursday</v>
      </c>
      <c r="L452" s="2" t="str">
        <f t="shared" ref="L452:L515" si="44">TEXT(B452,"mmmm")</f>
        <v>January</v>
      </c>
      <c r="M452" s="2" t="str">
        <f t="shared" ref="M452:M515" si="45">IF(C452=1,"Spring",IF(C452=2,"Summer",IF(C452=3,"Fall","Winter")))</f>
        <v>Spring</v>
      </c>
      <c r="N452" s="2" t="str">
        <f t="shared" ref="N452:N515" si="46">IF(H452=0,"Sunday",IF(H452=1,"Monday",IF(H452=2,"Tuesday",IF(H452=3,"Wednesday",IF(H452=4,"Thursday",IF(H452=5,"Friday","Saturday"))))))</f>
        <v>Thursday</v>
      </c>
      <c r="O452" t="str">
        <f t="shared" si="41"/>
        <v>Cloudy</v>
      </c>
    </row>
    <row r="453" spans="1:15" x14ac:dyDescent="0.25">
      <c r="A453" s="8">
        <v>451</v>
      </c>
      <c r="B453" s="9">
        <v>40563</v>
      </c>
      <c r="C453" s="6">
        <v>1</v>
      </c>
      <c r="D453" s="6" t="str">
        <f t="shared" si="42"/>
        <v>2011</v>
      </c>
      <c r="E453" s="6">
        <v>1</v>
      </c>
      <c r="F453" s="6">
        <v>19</v>
      </c>
      <c r="G453" s="6" t="b">
        <v>0</v>
      </c>
      <c r="H453" s="6">
        <v>4</v>
      </c>
      <c r="I453" s="6">
        <v>1</v>
      </c>
      <c r="J453" s="7">
        <v>0.26</v>
      </c>
      <c r="K453" s="6" t="str">
        <f t="shared" si="43"/>
        <v>Thursday</v>
      </c>
      <c r="L453" s="2" t="str">
        <f t="shared" si="44"/>
        <v>January</v>
      </c>
      <c r="M453" s="2" t="str">
        <f t="shared" si="45"/>
        <v>Spring</v>
      </c>
      <c r="N453" s="2" t="str">
        <f t="shared" si="46"/>
        <v>Thursday</v>
      </c>
      <c r="O453" t="str">
        <f t="shared" ref="O453:O516" si="47">IF(I453=1,"Clear",IF(I453=2,"Cloudy",IF(I453=3,"Rain","Heavy Rain")))</f>
        <v>Clear</v>
      </c>
    </row>
    <row r="454" spans="1:15" x14ac:dyDescent="0.25">
      <c r="A454" s="8">
        <v>452</v>
      </c>
      <c r="B454" s="9">
        <v>40563</v>
      </c>
      <c r="C454" s="6">
        <v>1</v>
      </c>
      <c r="D454" s="6" t="str">
        <f t="shared" si="42"/>
        <v>2011</v>
      </c>
      <c r="E454" s="6">
        <v>1</v>
      </c>
      <c r="F454" s="6">
        <v>20</v>
      </c>
      <c r="G454" s="6" t="b">
        <v>0</v>
      </c>
      <c r="H454" s="6">
        <v>4</v>
      </c>
      <c r="I454" s="6">
        <v>2</v>
      </c>
      <c r="J454" s="7">
        <v>0.26</v>
      </c>
      <c r="K454" s="6" t="str">
        <f t="shared" si="43"/>
        <v>Thursday</v>
      </c>
      <c r="L454" s="2" t="str">
        <f t="shared" si="44"/>
        <v>January</v>
      </c>
      <c r="M454" s="2" t="str">
        <f t="shared" si="45"/>
        <v>Spring</v>
      </c>
      <c r="N454" s="2" t="str">
        <f t="shared" si="46"/>
        <v>Thursday</v>
      </c>
      <c r="O454" t="str">
        <f t="shared" si="47"/>
        <v>Cloudy</v>
      </c>
    </row>
    <row r="455" spans="1:15" x14ac:dyDescent="0.25">
      <c r="A455" s="8">
        <v>453</v>
      </c>
      <c r="B455" s="9">
        <v>40563</v>
      </c>
      <c r="C455" s="6">
        <v>1</v>
      </c>
      <c r="D455" s="6" t="str">
        <f t="shared" si="42"/>
        <v>2011</v>
      </c>
      <c r="E455" s="6">
        <v>1</v>
      </c>
      <c r="F455" s="6">
        <v>21</v>
      </c>
      <c r="G455" s="6" t="b">
        <v>0</v>
      </c>
      <c r="H455" s="6">
        <v>4</v>
      </c>
      <c r="I455" s="6">
        <v>2</v>
      </c>
      <c r="J455" s="7">
        <v>0.24</v>
      </c>
      <c r="K455" s="6" t="str">
        <f t="shared" si="43"/>
        <v>Thursday</v>
      </c>
      <c r="L455" s="2" t="str">
        <f t="shared" si="44"/>
        <v>January</v>
      </c>
      <c r="M455" s="2" t="str">
        <f t="shared" si="45"/>
        <v>Spring</v>
      </c>
      <c r="N455" s="2" t="str">
        <f t="shared" si="46"/>
        <v>Thursday</v>
      </c>
      <c r="O455" t="str">
        <f t="shared" si="47"/>
        <v>Cloudy</v>
      </c>
    </row>
    <row r="456" spans="1:15" x14ac:dyDescent="0.25">
      <c r="A456" s="8">
        <v>454</v>
      </c>
      <c r="B456" s="9">
        <v>40563</v>
      </c>
      <c r="C456" s="6">
        <v>1</v>
      </c>
      <c r="D456" s="6" t="str">
        <f t="shared" si="42"/>
        <v>2011</v>
      </c>
      <c r="E456" s="6">
        <v>1</v>
      </c>
      <c r="F456" s="6">
        <v>22</v>
      </c>
      <c r="G456" s="6" t="b">
        <v>0</v>
      </c>
      <c r="H456" s="6">
        <v>4</v>
      </c>
      <c r="I456" s="6">
        <v>2</v>
      </c>
      <c r="J456" s="7">
        <v>0.24</v>
      </c>
      <c r="K456" s="6" t="str">
        <f t="shared" si="43"/>
        <v>Thursday</v>
      </c>
      <c r="L456" s="2" t="str">
        <f t="shared" si="44"/>
        <v>January</v>
      </c>
      <c r="M456" s="2" t="str">
        <f t="shared" si="45"/>
        <v>Spring</v>
      </c>
      <c r="N456" s="2" t="str">
        <f t="shared" si="46"/>
        <v>Thursday</v>
      </c>
      <c r="O456" t="str">
        <f t="shared" si="47"/>
        <v>Cloudy</v>
      </c>
    </row>
    <row r="457" spans="1:15" x14ac:dyDescent="0.25">
      <c r="A457" s="8">
        <v>455</v>
      </c>
      <c r="B457" s="9">
        <v>40563</v>
      </c>
      <c r="C457" s="6">
        <v>1</v>
      </c>
      <c r="D457" s="6" t="str">
        <f t="shared" si="42"/>
        <v>2011</v>
      </c>
      <c r="E457" s="6">
        <v>1</v>
      </c>
      <c r="F457" s="6">
        <v>23</v>
      </c>
      <c r="G457" s="6" t="b">
        <v>0</v>
      </c>
      <c r="H457" s="6">
        <v>4</v>
      </c>
      <c r="I457" s="6">
        <v>2</v>
      </c>
      <c r="J457" s="7">
        <v>0.24</v>
      </c>
      <c r="K457" s="6" t="str">
        <f t="shared" si="43"/>
        <v>Thursday</v>
      </c>
      <c r="L457" s="2" t="str">
        <f t="shared" si="44"/>
        <v>January</v>
      </c>
      <c r="M457" s="2" t="str">
        <f t="shared" si="45"/>
        <v>Spring</v>
      </c>
      <c r="N457" s="2" t="str">
        <f t="shared" si="46"/>
        <v>Thursday</v>
      </c>
      <c r="O457" t="str">
        <f t="shared" si="47"/>
        <v>Cloudy</v>
      </c>
    </row>
    <row r="458" spans="1:15" x14ac:dyDescent="0.25">
      <c r="A458" s="8">
        <v>456</v>
      </c>
      <c r="B458" s="9">
        <v>40564</v>
      </c>
      <c r="C458" s="6">
        <v>1</v>
      </c>
      <c r="D458" s="6" t="str">
        <f t="shared" si="42"/>
        <v>2011</v>
      </c>
      <c r="E458" s="6">
        <v>1</v>
      </c>
      <c r="F458" s="6">
        <v>0</v>
      </c>
      <c r="G458" s="6" t="b">
        <v>0</v>
      </c>
      <c r="H458" s="6">
        <v>5</v>
      </c>
      <c r="I458" s="6">
        <v>2</v>
      </c>
      <c r="J458" s="7">
        <v>0.24</v>
      </c>
      <c r="K458" s="6" t="str">
        <f t="shared" si="43"/>
        <v>Friday</v>
      </c>
      <c r="L458" s="2" t="str">
        <f t="shared" si="44"/>
        <v>January</v>
      </c>
      <c r="M458" s="2" t="str">
        <f t="shared" si="45"/>
        <v>Spring</v>
      </c>
      <c r="N458" s="2" t="str">
        <f t="shared" si="46"/>
        <v>Friday</v>
      </c>
      <c r="O458" t="str">
        <f t="shared" si="47"/>
        <v>Cloudy</v>
      </c>
    </row>
    <row r="459" spans="1:15" x14ac:dyDescent="0.25">
      <c r="A459" s="8">
        <v>457</v>
      </c>
      <c r="B459" s="9">
        <v>40564</v>
      </c>
      <c r="C459" s="6">
        <v>1</v>
      </c>
      <c r="D459" s="6" t="str">
        <f t="shared" si="42"/>
        <v>2011</v>
      </c>
      <c r="E459" s="6">
        <v>1</v>
      </c>
      <c r="F459" s="6">
        <v>1</v>
      </c>
      <c r="G459" s="6" t="b">
        <v>0</v>
      </c>
      <c r="H459" s="6">
        <v>5</v>
      </c>
      <c r="I459" s="6">
        <v>2</v>
      </c>
      <c r="J459" s="7">
        <v>0.24</v>
      </c>
      <c r="K459" s="6" t="str">
        <f t="shared" si="43"/>
        <v>Friday</v>
      </c>
      <c r="L459" s="2" t="str">
        <f t="shared" si="44"/>
        <v>January</v>
      </c>
      <c r="M459" s="2" t="str">
        <f t="shared" si="45"/>
        <v>Spring</v>
      </c>
      <c r="N459" s="2" t="str">
        <f t="shared" si="46"/>
        <v>Friday</v>
      </c>
      <c r="O459" t="str">
        <f t="shared" si="47"/>
        <v>Cloudy</v>
      </c>
    </row>
    <row r="460" spans="1:15" x14ac:dyDescent="0.25">
      <c r="A460" s="8">
        <v>458</v>
      </c>
      <c r="B460" s="9">
        <v>40564</v>
      </c>
      <c r="C460" s="6">
        <v>1</v>
      </c>
      <c r="D460" s="6" t="str">
        <f t="shared" si="42"/>
        <v>2011</v>
      </c>
      <c r="E460" s="6">
        <v>1</v>
      </c>
      <c r="F460" s="6">
        <v>2</v>
      </c>
      <c r="G460" s="6" t="b">
        <v>0</v>
      </c>
      <c r="H460" s="6">
        <v>5</v>
      </c>
      <c r="I460" s="6">
        <v>3</v>
      </c>
      <c r="J460" s="7">
        <v>0.24</v>
      </c>
      <c r="K460" s="6" t="str">
        <f t="shared" si="43"/>
        <v>Friday</v>
      </c>
      <c r="L460" s="2" t="str">
        <f t="shared" si="44"/>
        <v>January</v>
      </c>
      <c r="M460" s="2" t="str">
        <f t="shared" si="45"/>
        <v>Spring</v>
      </c>
      <c r="N460" s="2" t="str">
        <f t="shared" si="46"/>
        <v>Friday</v>
      </c>
      <c r="O460" t="str">
        <f t="shared" si="47"/>
        <v>Rain</v>
      </c>
    </row>
    <row r="461" spans="1:15" x14ac:dyDescent="0.25">
      <c r="A461" s="8">
        <v>459</v>
      </c>
      <c r="B461" s="9">
        <v>40564</v>
      </c>
      <c r="C461" s="6">
        <v>1</v>
      </c>
      <c r="D461" s="6" t="str">
        <f t="shared" si="42"/>
        <v>2011</v>
      </c>
      <c r="E461" s="6">
        <v>1</v>
      </c>
      <c r="F461" s="6">
        <v>3</v>
      </c>
      <c r="G461" s="6" t="b">
        <v>0</v>
      </c>
      <c r="H461" s="6">
        <v>5</v>
      </c>
      <c r="I461" s="6">
        <v>3</v>
      </c>
      <c r="J461" s="7">
        <v>0.22</v>
      </c>
      <c r="K461" s="6" t="str">
        <f t="shared" si="43"/>
        <v>Friday</v>
      </c>
      <c r="L461" s="2" t="str">
        <f t="shared" si="44"/>
        <v>January</v>
      </c>
      <c r="M461" s="2" t="str">
        <f t="shared" si="45"/>
        <v>Spring</v>
      </c>
      <c r="N461" s="2" t="str">
        <f t="shared" si="46"/>
        <v>Friday</v>
      </c>
      <c r="O461" t="str">
        <f t="shared" si="47"/>
        <v>Rain</v>
      </c>
    </row>
    <row r="462" spans="1:15" x14ac:dyDescent="0.25">
      <c r="A462" s="8">
        <v>460</v>
      </c>
      <c r="B462" s="9">
        <v>40564</v>
      </c>
      <c r="C462" s="6">
        <v>1</v>
      </c>
      <c r="D462" s="6" t="str">
        <f t="shared" si="42"/>
        <v>2011</v>
      </c>
      <c r="E462" s="6">
        <v>1</v>
      </c>
      <c r="F462" s="6">
        <v>4</v>
      </c>
      <c r="G462" s="6" t="b">
        <v>0</v>
      </c>
      <c r="H462" s="6">
        <v>5</v>
      </c>
      <c r="I462" s="6">
        <v>2</v>
      </c>
      <c r="J462" s="7">
        <v>0.22</v>
      </c>
      <c r="K462" s="6" t="str">
        <f t="shared" si="43"/>
        <v>Friday</v>
      </c>
      <c r="L462" s="2" t="str">
        <f t="shared" si="44"/>
        <v>January</v>
      </c>
      <c r="M462" s="2" t="str">
        <f t="shared" si="45"/>
        <v>Spring</v>
      </c>
      <c r="N462" s="2" t="str">
        <f t="shared" si="46"/>
        <v>Friday</v>
      </c>
      <c r="O462" t="str">
        <f t="shared" si="47"/>
        <v>Cloudy</v>
      </c>
    </row>
    <row r="463" spans="1:15" x14ac:dyDescent="0.25">
      <c r="A463" s="8">
        <v>461</v>
      </c>
      <c r="B463" s="9">
        <v>40564</v>
      </c>
      <c r="C463" s="6">
        <v>1</v>
      </c>
      <c r="D463" s="6" t="str">
        <f t="shared" si="42"/>
        <v>2011</v>
      </c>
      <c r="E463" s="6">
        <v>1</v>
      </c>
      <c r="F463" s="6">
        <v>5</v>
      </c>
      <c r="G463" s="6" t="b">
        <v>0</v>
      </c>
      <c r="H463" s="6">
        <v>5</v>
      </c>
      <c r="I463" s="6">
        <v>1</v>
      </c>
      <c r="J463" s="7">
        <v>0.24</v>
      </c>
      <c r="K463" s="6" t="str">
        <f t="shared" si="43"/>
        <v>Friday</v>
      </c>
      <c r="L463" s="2" t="str">
        <f t="shared" si="44"/>
        <v>January</v>
      </c>
      <c r="M463" s="2" t="str">
        <f t="shared" si="45"/>
        <v>Spring</v>
      </c>
      <c r="N463" s="2" t="str">
        <f t="shared" si="46"/>
        <v>Friday</v>
      </c>
      <c r="O463" t="str">
        <f t="shared" si="47"/>
        <v>Clear</v>
      </c>
    </row>
    <row r="464" spans="1:15" x14ac:dyDescent="0.25">
      <c r="A464" s="8">
        <v>462</v>
      </c>
      <c r="B464" s="9">
        <v>40564</v>
      </c>
      <c r="C464" s="6">
        <v>1</v>
      </c>
      <c r="D464" s="6" t="str">
        <f t="shared" si="42"/>
        <v>2011</v>
      </c>
      <c r="E464" s="6">
        <v>1</v>
      </c>
      <c r="F464" s="6">
        <v>6</v>
      </c>
      <c r="G464" s="6" t="b">
        <v>0</v>
      </c>
      <c r="H464" s="6">
        <v>5</v>
      </c>
      <c r="I464" s="6">
        <v>1</v>
      </c>
      <c r="J464" s="7">
        <v>0.22</v>
      </c>
      <c r="K464" s="6" t="str">
        <f t="shared" si="43"/>
        <v>Friday</v>
      </c>
      <c r="L464" s="2" t="str">
        <f t="shared" si="44"/>
        <v>January</v>
      </c>
      <c r="M464" s="2" t="str">
        <f t="shared" si="45"/>
        <v>Spring</v>
      </c>
      <c r="N464" s="2" t="str">
        <f t="shared" si="46"/>
        <v>Friday</v>
      </c>
      <c r="O464" t="str">
        <f t="shared" si="47"/>
        <v>Clear</v>
      </c>
    </row>
    <row r="465" spans="1:15" x14ac:dyDescent="0.25">
      <c r="A465" s="8">
        <v>463</v>
      </c>
      <c r="B465" s="9">
        <v>40564</v>
      </c>
      <c r="C465" s="6">
        <v>1</v>
      </c>
      <c r="D465" s="6" t="str">
        <f t="shared" si="42"/>
        <v>2011</v>
      </c>
      <c r="E465" s="6">
        <v>1</v>
      </c>
      <c r="F465" s="6">
        <v>7</v>
      </c>
      <c r="G465" s="6" t="b">
        <v>0</v>
      </c>
      <c r="H465" s="6">
        <v>5</v>
      </c>
      <c r="I465" s="6">
        <v>1</v>
      </c>
      <c r="J465" s="7">
        <v>0.2</v>
      </c>
      <c r="K465" s="6" t="str">
        <f t="shared" si="43"/>
        <v>Friday</v>
      </c>
      <c r="L465" s="2" t="str">
        <f t="shared" si="44"/>
        <v>January</v>
      </c>
      <c r="M465" s="2" t="str">
        <f t="shared" si="45"/>
        <v>Spring</v>
      </c>
      <c r="N465" s="2" t="str">
        <f t="shared" si="46"/>
        <v>Friday</v>
      </c>
      <c r="O465" t="str">
        <f t="shared" si="47"/>
        <v>Clear</v>
      </c>
    </row>
    <row r="466" spans="1:15" x14ac:dyDescent="0.25">
      <c r="A466" s="8">
        <v>464</v>
      </c>
      <c r="B466" s="9">
        <v>40564</v>
      </c>
      <c r="C466" s="6">
        <v>1</v>
      </c>
      <c r="D466" s="6" t="str">
        <f t="shared" si="42"/>
        <v>2011</v>
      </c>
      <c r="E466" s="6">
        <v>1</v>
      </c>
      <c r="F466" s="6">
        <v>8</v>
      </c>
      <c r="G466" s="6" t="b">
        <v>0</v>
      </c>
      <c r="H466" s="6">
        <v>5</v>
      </c>
      <c r="I466" s="6">
        <v>1</v>
      </c>
      <c r="J466" s="7">
        <v>0.2</v>
      </c>
      <c r="K466" s="6" t="str">
        <f t="shared" si="43"/>
        <v>Friday</v>
      </c>
      <c r="L466" s="2" t="str">
        <f t="shared" si="44"/>
        <v>January</v>
      </c>
      <c r="M466" s="2" t="str">
        <f t="shared" si="45"/>
        <v>Spring</v>
      </c>
      <c r="N466" s="2" t="str">
        <f t="shared" si="46"/>
        <v>Friday</v>
      </c>
      <c r="O466" t="str">
        <f t="shared" si="47"/>
        <v>Clear</v>
      </c>
    </row>
    <row r="467" spans="1:15" x14ac:dyDescent="0.25">
      <c r="A467" s="8">
        <v>465</v>
      </c>
      <c r="B467" s="9">
        <v>40564</v>
      </c>
      <c r="C467" s="6">
        <v>1</v>
      </c>
      <c r="D467" s="6" t="str">
        <f t="shared" si="42"/>
        <v>2011</v>
      </c>
      <c r="E467" s="6">
        <v>1</v>
      </c>
      <c r="F467" s="6">
        <v>9</v>
      </c>
      <c r="G467" s="6" t="b">
        <v>0</v>
      </c>
      <c r="H467" s="6">
        <v>5</v>
      </c>
      <c r="I467" s="6">
        <v>1</v>
      </c>
      <c r="J467" s="7">
        <v>0.2</v>
      </c>
      <c r="K467" s="6" t="str">
        <f t="shared" si="43"/>
        <v>Friday</v>
      </c>
      <c r="L467" s="2" t="str">
        <f t="shared" si="44"/>
        <v>January</v>
      </c>
      <c r="M467" s="2" t="str">
        <f t="shared" si="45"/>
        <v>Spring</v>
      </c>
      <c r="N467" s="2" t="str">
        <f t="shared" si="46"/>
        <v>Friday</v>
      </c>
      <c r="O467" t="str">
        <f t="shared" si="47"/>
        <v>Clear</v>
      </c>
    </row>
    <row r="468" spans="1:15" x14ac:dyDescent="0.25">
      <c r="A468" s="8">
        <v>466</v>
      </c>
      <c r="B468" s="9">
        <v>40564</v>
      </c>
      <c r="C468" s="6">
        <v>1</v>
      </c>
      <c r="D468" s="6" t="str">
        <f t="shared" si="42"/>
        <v>2011</v>
      </c>
      <c r="E468" s="6">
        <v>1</v>
      </c>
      <c r="F468" s="6">
        <v>10</v>
      </c>
      <c r="G468" s="6" t="b">
        <v>0</v>
      </c>
      <c r="H468" s="6">
        <v>5</v>
      </c>
      <c r="I468" s="6">
        <v>1</v>
      </c>
      <c r="J468" s="7">
        <v>0.2</v>
      </c>
      <c r="K468" s="6" t="str">
        <f t="shared" si="43"/>
        <v>Friday</v>
      </c>
      <c r="L468" s="2" t="str">
        <f t="shared" si="44"/>
        <v>January</v>
      </c>
      <c r="M468" s="2" t="str">
        <f t="shared" si="45"/>
        <v>Spring</v>
      </c>
      <c r="N468" s="2" t="str">
        <f t="shared" si="46"/>
        <v>Friday</v>
      </c>
      <c r="O468" t="str">
        <f t="shared" si="47"/>
        <v>Clear</v>
      </c>
    </row>
    <row r="469" spans="1:15" x14ac:dyDescent="0.25">
      <c r="A469" s="8">
        <v>467</v>
      </c>
      <c r="B469" s="9">
        <v>40564</v>
      </c>
      <c r="C469" s="6">
        <v>1</v>
      </c>
      <c r="D469" s="6" t="str">
        <f t="shared" si="42"/>
        <v>2011</v>
      </c>
      <c r="E469" s="6">
        <v>1</v>
      </c>
      <c r="F469" s="6">
        <v>11</v>
      </c>
      <c r="G469" s="6" t="b">
        <v>0</v>
      </c>
      <c r="H469" s="6">
        <v>5</v>
      </c>
      <c r="I469" s="6">
        <v>1</v>
      </c>
      <c r="J469" s="7">
        <v>0.22</v>
      </c>
      <c r="K469" s="6" t="str">
        <f t="shared" si="43"/>
        <v>Friday</v>
      </c>
      <c r="L469" s="2" t="str">
        <f t="shared" si="44"/>
        <v>January</v>
      </c>
      <c r="M469" s="2" t="str">
        <f t="shared" si="45"/>
        <v>Spring</v>
      </c>
      <c r="N469" s="2" t="str">
        <f t="shared" si="46"/>
        <v>Friday</v>
      </c>
      <c r="O469" t="str">
        <f t="shared" si="47"/>
        <v>Clear</v>
      </c>
    </row>
    <row r="470" spans="1:15" x14ac:dyDescent="0.25">
      <c r="A470" s="8">
        <v>468</v>
      </c>
      <c r="B470" s="9">
        <v>40564</v>
      </c>
      <c r="C470" s="6">
        <v>1</v>
      </c>
      <c r="D470" s="6" t="str">
        <f t="shared" si="42"/>
        <v>2011</v>
      </c>
      <c r="E470" s="6">
        <v>1</v>
      </c>
      <c r="F470" s="6">
        <v>12</v>
      </c>
      <c r="G470" s="6" t="b">
        <v>0</v>
      </c>
      <c r="H470" s="6">
        <v>5</v>
      </c>
      <c r="I470" s="6">
        <v>1</v>
      </c>
      <c r="J470" s="7">
        <v>0.22</v>
      </c>
      <c r="K470" s="6" t="str">
        <f t="shared" si="43"/>
        <v>Friday</v>
      </c>
      <c r="L470" s="2" t="str">
        <f t="shared" si="44"/>
        <v>January</v>
      </c>
      <c r="M470" s="2" t="str">
        <f t="shared" si="45"/>
        <v>Spring</v>
      </c>
      <c r="N470" s="2" t="str">
        <f t="shared" si="46"/>
        <v>Friday</v>
      </c>
      <c r="O470" t="str">
        <f t="shared" si="47"/>
        <v>Clear</v>
      </c>
    </row>
    <row r="471" spans="1:15" x14ac:dyDescent="0.25">
      <c r="A471" s="8">
        <v>469</v>
      </c>
      <c r="B471" s="9">
        <v>40564</v>
      </c>
      <c r="C471" s="6">
        <v>1</v>
      </c>
      <c r="D471" s="6" t="str">
        <f t="shared" si="42"/>
        <v>2011</v>
      </c>
      <c r="E471" s="6">
        <v>1</v>
      </c>
      <c r="F471" s="6">
        <v>13</v>
      </c>
      <c r="G471" s="6" t="b">
        <v>0</v>
      </c>
      <c r="H471" s="6">
        <v>5</v>
      </c>
      <c r="I471" s="6">
        <v>1</v>
      </c>
      <c r="J471" s="7">
        <v>0.2</v>
      </c>
      <c r="K471" s="6" t="str">
        <f t="shared" si="43"/>
        <v>Friday</v>
      </c>
      <c r="L471" s="2" t="str">
        <f t="shared" si="44"/>
        <v>January</v>
      </c>
      <c r="M471" s="2" t="str">
        <f t="shared" si="45"/>
        <v>Spring</v>
      </c>
      <c r="N471" s="2" t="str">
        <f t="shared" si="46"/>
        <v>Friday</v>
      </c>
      <c r="O471" t="str">
        <f t="shared" si="47"/>
        <v>Clear</v>
      </c>
    </row>
    <row r="472" spans="1:15" x14ac:dyDescent="0.25">
      <c r="A472" s="8">
        <v>470</v>
      </c>
      <c r="B472" s="9">
        <v>40564</v>
      </c>
      <c r="C472" s="6">
        <v>1</v>
      </c>
      <c r="D472" s="6" t="str">
        <f t="shared" si="42"/>
        <v>2011</v>
      </c>
      <c r="E472" s="6">
        <v>1</v>
      </c>
      <c r="F472" s="6">
        <v>14</v>
      </c>
      <c r="G472" s="6" t="b">
        <v>0</v>
      </c>
      <c r="H472" s="6">
        <v>5</v>
      </c>
      <c r="I472" s="6">
        <v>1</v>
      </c>
      <c r="J472" s="7">
        <v>0.2</v>
      </c>
      <c r="K472" s="6" t="str">
        <f t="shared" si="43"/>
        <v>Friday</v>
      </c>
      <c r="L472" s="2" t="str">
        <f t="shared" si="44"/>
        <v>January</v>
      </c>
      <c r="M472" s="2" t="str">
        <f t="shared" si="45"/>
        <v>Spring</v>
      </c>
      <c r="N472" s="2" t="str">
        <f t="shared" si="46"/>
        <v>Friday</v>
      </c>
      <c r="O472" t="str">
        <f t="shared" si="47"/>
        <v>Clear</v>
      </c>
    </row>
    <row r="473" spans="1:15" x14ac:dyDescent="0.25">
      <c r="A473" s="8">
        <v>471</v>
      </c>
      <c r="B473" s="9">
        <v>40564</v>
      </c>
      <c r="C473" s="6">
        <v>1</v>
      </c>
      <c r="D473" s="6" t="str">
        <f t="shared" si="42"/>
        <v>2011</v>
      </c>
      <c r="E473" s="6">
        <v>1</v>
      </c>
      <c r="F473" s="6">
        <v>15</v>
      </c>
      <c r="G473" s="6" t="b">
        <v>0</v>
      </c>
      <c r="H473" s="6">
        <v>5</v>
      </c>
      <c r="I473" s="6">
        <v>1</v>
      </c>
      <c r="J473" s="7">
        <v>0.16</v>
      </c>
      <c r="K473" s="6" t="str">
        <f t="shared" si="43"/>
        <v>Friday</v>
      </c>
      <c r="L473" s="2" t="str">
        <f t="shared" si="44"/>
        <v>January</v>
      </c>
      <c r="M473" s="2" t="str">
        <f t="shared" si="45"/>
        <v>Spring</v>
      </c>
      <c r="N473" s="2" t="str">
        <f t="shared" si="46"/>
        <v>Friday</v>
      </c>
      <c r="O473" t="str">
        <f t="shared" si="47"/>
        <v>Clear</v>
      </c>
    </row>
    <row r="474" spans="1:15" x14ac:dyDescent="0.25">
      <c r="A474" s="8">
        <v>472</v>
      </c>
      <c r="B474" s="9">
        <v>40564</v>
      </c>
      <c r="C474" s="6">
        <v>1</v>
      </c>
      <c r="D474" s="6" t="str">
        <f t="shared" si="42"/>
        <v>2011</v>
      </c>
      <c r="E474" s="6">
        <v>1</v>
      </c>
      <c r="F474" s="6">
        <v>16</v>
      </c>
      <c r="G474" s="6" t="b">
        <v>0</v>
      </c>
      <c r="H474" s="6">
        <v>5</v>
      </c>
      <c r="I474" s="6">
        <v>1</v>
      </c>
      <c r="J474" s="7">
        <v>0.16</v>
      </c>
      <c r="K474" s="6" t="str">
        <f t="shared" si="43"/>
        <v>Friday</v>
      </c>
      <c r="L474" s="2" t="str">
        <f t="shared" si="44"/>
        <v>January</v>
      </c>
      <c r="M474" s="2" t="str">
        <f t="shared" si="45"/>
        <v>Spring</v>
      </c>
      <c r="N474" s="2" t="str">
        <f t="shared" si="46"/>
        <v>Friday</v>
      </c>
      <c r="O474" t="str">
        <f t="shared" si="47"/>
        <v>Clear</v>
      </c>
    </row>
    <row r="475" spans="1:15" x14ac:dyDescent="0.25">
      <c r="A475" s="8">
        <v>473</v>
      </c>
      <c r="B475" s="9">
        <v>40564</v>
      </c>
      <c r="C475" s="6">
        <v>1</v>
      </c>
      <c r="D475" s="6" t="str">
        <f t="shared" si="42"/>
        <v>2011</v>
      </c>
      <c r="E475" s="6">
        <v>1</v>
      </c>
      <c r="F475" s="6">
        <v>17</v>
      </c>
      <c r="G475" s="6" t="b">
        <v>0</v>
      </c>
      <c r="H475" s="6">
        <v>5</v>
      </c>
      <c r="I475" s="6">
        <v>1</v>
      </c>
      <c r="J475" s="7">
        <v>0.14000000000000001</v>
      </c>
      <c r="K475" s="6" t="str">
        <f t="shared" si="43"/>
        <v>Friday</v>
      </c>
      <c r="L475" s="2" t="str">
        <f t="shared" si="44"/>
        <v>January</v>
      </c>
      <c r="M475" s="2" t="str">
        <f t="shared" si="45"/>
        <v>Spring</v>
      </c>
      <c r="N475" s="2" t="str">
        <f t="shared" si="46"/>
        <v>Friday</v>
      </c>
      <c r="O475" t="str">
        <f t="shared" si="47"/>
        <v>Clear</v>
      </c>
    </row>
    <row r="476" spans="1:15" x14ac:dyDescent="0.25">
      <c r="A476" s="8">
        <v>474</v>
      </c>
      <c r="B476" s="9">
        <v>40564</v>
      </c>
      <c r="C476" s="6">
        <v>1</v>
      </c>
      <c r="D476" s="6" t="str">
        <f t="shared" si="42"/>
        <v>2011</v>
      </c>
      <c r="E476" s="6">
        <v>1</v>
      </c>
      <c r="F476" s="6">
        <v>18</v>
      </c>
      <c r="G476" s="6" t="b">
        <v>0</v>
      </c>
      <c r="H476" s="6">
        <v>5</v>
      </c>
      <c r="I476" s="6">
        <v>1</v>
      </c>
      <c r="J476" s="7">
        <v>0.12</v>
      </c>
      <c r="K476" s="6" t="str">
        <f t="shared" si="43"/>
        <v>Friday</v>
      </c>
      <c r="L476" s="2" t="str">
        <f t="shared" si="44"/>
        <v>January</v>
      </c>
      <c r="M476" s="2" t="str">
        <f t="shared" si="45"/>
        <v>Spring</v>
      </c>
      <c r="N476" s="2" t="str">
        <f t="shared" si="46"/>
        <v>Friday</v>
      </c>
      <c r="O476" t="str">
        <f t="shared" si="47"/>
        <v>Clear</v>
      </c>
    </row>
    <row r="477" spans="1:15" x14ac:dyDescent="0.25">
      <c r="A477" s="8">
        <v>475</v>
      </c>
      <c r="B477" s="9">
        <v>40564</v>
      </c>
      <c r="C477" s="6">
        <v>1</v>
      </c>
      <c r="D477" s="6" t="str">
        <f t="shared" si="42"/>
        <v>2011</v>
      </c>
      <c r="E477" s="6">
        <v>1</v>
      </c>
      <c r="F477" s="6">
        <v>19</v>
      </c>
      <c r="G477" s="6" t="b">
        <v>0</v>
      </c>
      <c r="H477" s="6">
        <v>5</v>
      </c>
      <c r="I477" s="6">
        <v>1</v>
      </c>
      <c r="J477" s="7">
        <v>0.12</v>
      </c>
      <c r="K477" s="6" t="str">
        <f t="shared" si="43"/>
        <v>Friday</v>
      </c>
      <c r="L477" s="2" t="str">
        <f t="shared" si="44"/>
        <v>January</v>
      </c>
      <c r="M477" s="2" t="str">
        <f t="shared" si="45"/>
        <v>Spring</v>
      </c>
      <c r="N477" s="2" t="str">
        <f t="shared" si="46"/>
        <v>Friday</v>
      </c>
      <c r="O477" t="str">
        <f t="shared" si="47"/>
        <v>Clear</v>
      </c>
    </row>
    <row r="478" spans="1:15" x14ac:dyDescent="0.25">
      <c r="A478" s="8">
        <v>476</v>
      </c>
      <c r="B478" s="9">
        <v>40564</v>
      </c>
      <c r="C478" s="6">
        <v>1</v>
      </c>
      <c r="D478" s="6" t="str">
        <f t="shared" si="42"/>
        <v>2011</v>
      </c>
      <c r="E478" s="6">
        <v>1</v>
      </c>
      <c r="F478" s="6">
        <v>20</v>
      </c>
      <c r="G478" s="6" t="b">
        <v>0</v>
      </c>
      <c r="H478" s="6">
        <v>5</v>
      </c>
      <c r="I478" s="6">
        <v>1</v>
      </c>
      <c r="J478" s="7">
        <v>0.1</v>
      </c>
      <c r="K478" s="6" t="str">
        <f t="shared" si="43"/>
        <v>Friday</v>
      </c>
      <c r="L478" s="2" t="str">
        <f t="shared" si="44"/>
        <v>January</v>
      </c>
      <c r="M478" s="2" t="str">
        <f t="shared" si="45"/>
        <v>Spring</v>
      </c>
      <c r="N478" s="2" t="str">
        <f t="shared" si="46"/>
        <v>Friday</v>
      </c>
      <c r="O478" t="str">
        <f t="shared" si="47"/>
        <v>Clear</v>
      </c>
    </row>
    <row r="479" spans="1:15" x14ac:dyDescent="0.25">
      <c r="A479" s="8">
        <v>477</v>
      </c>
      <c r="B479" s="9">
        <v>40564</v>
      </c>
      <c r="C479" s="6">
        <v>1</v>
      </c>
      <c r="D479" s="6" t="str">
        <f t="shared" si="42"/>
        <v>2011</v>
      </c>
      <c r="E479" s="6">
        <v>1</v>
      </c>
      <c r="F479" s="6">
        <v>21</v>
      </c>
      <c r="G479" s="6" t="b">
        <v>0</v>
      </c>
      <c r="H479" s="6">
        <v>5</v>
      </c>
      <c r="I479" s="6">
        <v>1</v>
      </c>
      <c r="J479" s="7">
        <v>0.08</v>
      </c>
      <c r="K479" s="6" t="str">
        <f t="shared" si="43"/>
        <v>Friday</v>
      </c>
      <c r="L479" s="2" t="str">
        <f t="shared" si="44"/>
        <v>January</v>
      </c>
      <c r="M479" s="2" t="str">
        <f t="shared" si="45"/>
        <v>Spring</v>
      </c>
      <c r="N479" s="2" t="str">
        <f t="shared" si="46"/>
        <v>Friday</v>
      </c>
      <c r="O479" t="str">
        <f t="shared" si="47"/>
        <v>Clear</v>
      </c>
    </row>
    <row r="480" spans="1:15" x14ac:dyDescent="0.25">
      <c r="A480" s="8">
        <v>478</v>
      </c>
      <c r="B480" s="9">
        <v>40564</v>
      </c>
      <c r="C480" s="6">
        <v>1</v>
      </c>
      <c r="D480" s="6" t="str">
        <f t="shared" si="42"/>
        <v>2011</v>
      </c>
      <c r="E480" s="6">
        <v>1</v>
      </c>
      <c r="F480" s="6">
        <v>22</v>
      </c>
      <c r="G480" s="6" t="b">
        <v>0</v>
      </c>
      <c r="H480" s="6">
        <v>5</v>
      </c>
      <c r="I480" s="6">
        <v>1</v>
      </c>
      <c r="J480" s="7">
        <v>0.06</v>
      </c>
      <c r="K480" s="6" t="str">
        <f t="shared" si="43"/>
        <v>Friday</v>
      </c>
      <c r="L480" s="2" t="str">
        <f t="shared" si="44"/>
        <v>January</v>
      </c>
      <c r="M480" s="2" t="str">
        <f t="shared" si="45"/>
        <v>Spring</v>
      </c>
      <c r="N480" s="2" t="str">
        <f t="shared" si="46"/>
        <v>Friday</v>
      </c>
      <c r="O480" t="str">
        <f t="shared" si="47"/>
        <v>Clear</v>
      </c>
    </row>
    <row r="481" spans="1:15" x14ac:dyDescent="0.25">
      <c r="A481" s="8">
        <v>479</v>
      </c>
      <c r="B481" s="9">
        <v>40564</v>
      </c>
      <c r="C481" s="6">
        <v>1</v>
      </c>
      <c r="D481" s="6" t="str">
        <f t="shared" si="42"/>
        <v>2011</v>
      </c>
      <c r="E481" s="6">
        <v>1</v>
      </c>
      <c r="F481" s="6">
        <v>23</v>
      </c>
      <c r="G481" s="6" t="b">
        <v>0</v>
      </c>
      <c r="H481" s="6">
        <v>5</v>
      </c>
      <c r="I481" s="6">
        <v>1</v>
      </c>
      <c r="J481" s="7">
        <v>0.06</v>
      </c>
      <c r="K481" s="6" t="str">
        <f t="shared" si="43"/>
        <v>Friday</v>
      </c>
      <c r="L481" s="2" t="str">
        <f t="shared" si="44"/>
        <v>January</v>
      </c>
      <c r="M481" s="2" t="str">
        <f t="shared" si="45"/>
        <v>Spring</v>
      </c>
      <c r="N481" s="2" t="str">
        <f t="shared" si="46"/>
        <v>Friday</v>
      </c>
      <c r="O481" t="str">
        <f t="shared" si="47"/>
        <v>Clear</v>
      </c>
    </row>
    <row r="482" spans="1:15" x14ac:dyDescent="0.25">
      <c r="A482" s="8">
        <v>480</v>
      </c>
      <c r="B482" s="9">
        <v>40565</v>
      </c>
      <c r="C482" s="6">
        <v>1</v>
      </c>
      <c r="D482" s="6" t="str">
        <f t="shared" si="42"/>
        <v>2011</v>
      </c>
      <c r="E482" s="6">
        <v>1</v>
      </c>
      <c r="F482" s="6">
        <v>0</v>
      </c>
      <c r="G482" s="6" t="b">
        <v>0</v>
      </c>
      <c r="H482" s="6">
        <v>6</v>
      </c>
      <c r="I482" s="6">
        <v>1</v>
      </c>
      <c r="J482" s="7">
        <v>0.04</v>
      </c>
      <c r="K482" s="6" t="str">
        <f t="shared" si="43"/>
        <v>Saturday</v>
      </c>
      <c r="L482" s="2" t="str">
        <f t="shared" si="44"/>
        <v>January</v>
      </c>
      <c r="M482" s="2" t="str">
        <f t="shared" si="45"/>
        <v>Spring</v>
      </c>
      <c r="N482" s="2" t="str">
        <f t="shared" si="46"/>
        <v>Saturday</v>
      </c>
      <c r="O482" t="str">
        <f t="shared" si="47"/>
        <v>Clear</v>
      </c>
    </row>
    <row r="483" spans="1:15" x14ac:dyDescent="0.25">
      <c r="A483" s="8">
        <v>481</v>
      </c>
      <c r="B483" s="9">
        <v>40565</v>
      </c>
      <c r="C483" s="6">
        <v>1</v>
      </c>
      <c r="D483" s="6" t="str">
        <f t="shared" si="42"/>
        <v>2011</v>
      </c>
      <c r="E483" s="6">
        <v>1</v>
      </c>
      <c r="F483" s="6">
        <v>1</v>
      </c>
      <c r="G483" s="6" t="b">
        <v>0</v>
      </c>
      <c r="H483" s="6">
        <v>6</v>
      </c>
      <c r="I483" s="6">
        <v>2</v>
      </c>
      <c r="J483" s="7">
        <v>0.04</v>
      </c>
      <c r="K483" s="6" t="str">
        <f t="shared" si="43"/>
        <v>Saturday</v>
      </c>
      <c r="L483" s="2" t="str">
        <f t="shared" si="44"/>
        <v>January</v>
      </c>
      <c r="M483" s="2" t="str">
        <f t="shared" si="45"/>
        <v>Spring</v>
      </c>
      <c r="N483" s="2" t="str">
        <f t="shared" si="46"/>
        <v>Saturday</v>
      </c>
      <c r="O483" t="str">
        <f t="shared" si="47"/>
        <v>Cloudy</v>
      </c>
    </row>
    <row r="484" spans="1:15" x14ac:dyDescent="0.25">
      <c r="A484" s="8">
        <v>482</v>
      </c>
      <c r="B484" s="9">
        <v>40565</v>
      </c>
      <c r="C484" s="6">
        <v>1</v>
      </c>
      <c r="D484" s="6" t="str">
        <f t="shared" si="42"/>
        <v>2011</v>
      </c>
      <c r="E484" s="6">
        <v>1</v>
      </c>
      <c r="F484" s="6">
        <v>2</v>
      </c>
      <c r="G484" s="6" t="b">
        <v>0</v>
      </c>
      <c r="H484" s="6">
        <v>6</v>
      </c>
      <c r="I484" s="6">
        <v>2</v>
      </c>
      <c r="J484" s="7">
        <v>0.04</v>
      </c>
      <c r="K484" s="6" t="str">
        <f t="shared" si="43"/>
        <v>Saturday</v>
      </c>
      <c r="L484" s="2" t="str">
        <f t="shared" si="44"/>
        <v>January</v>
      </c>
      <c r="M484" s="2" t="str">
        <f t="shared" si="45"/>
        <v>Spring</v>
      </c>
      <c r="N484" s="2" t="str">
        <f t="shared" si="46"/>
        <v>Saturday</v>
      </c>
      <c r="O484" t="str">
        <f t="shared" si="47"/>
        <v>Cloudy</v>
      </c>
    </row>
    <row r="485" spans="1:15" x14ac:dyDescent="0.25">
      <c r="A485" s="8">
        <v>483</v>
      </c>
      <c r="B485" s="9">
        <v>40565</v>
      </c>
      <c r="C485" s="6">
        <v>1</v>
      </c>
      <c r="D485" s="6" t="str">
        <f t="shared" si="42"/>
        <v>2011</v>
      </c>
      <c r="E485" s="6">
        <v>1</v>
      </c>
      <c r="F485" s="6">
        <v>3</v>
      </c>
      <c r="G485" s="6" t="b">
        <v>0</v>
      </c>
      <c r="H485" s="6">
        <v>6</v>
      </c>
      <c r="I485" s="6">
        <v>2</v>
      </c>
      <c r="J485" s="7">
        <v>0.04</v>
      </c>
      <c r="K485" s="6" t="str">
        <f t="shared" si="43"/>
        <v>Saturday</v>
      </c>
      <c r="L485" s="2" t="str">
        <f t="shared" si="44"/>
        <v>January</v>
      </c>
      <c r="M485" s="2" t="str">
        <f t="shared" si="45"/>
        <v>Spring</v>
      </c>
      <c r="N485" s="2" t="str">
        <f t="shared" si="46"/>
        <v>Saturday</v>
      </c>
      <c r="O485" t="str">
        <f t="shared" si="47"/>
        <v>Cloudy</v>
      </c>
    </row>
    <row r="486" spans="1:15" x14ac:dyDescent="0.25">
      <c r="A486" s="8">
        <v>484</v>
      </c>
      <c r="B486" s="9">
        <v>40565</v>
      </c>
      <c r="C486" s="6">
        <v>1</v>
      </c>
      <c r="D486" s="6" t="str">
        <f t="shared" si="42"/>
        <v>2011</v>
      </c>
      <c r="E486" s="6">
        <v>1</v>
      </c>
      <c r="F486" s="6">
        <v>4</v>
      </c>
      <c r="G486" s="6" t="b">
        <v>0</v>
      </c>
      <c r="H486" s="6">
        <v>6</v>
      </c>
      <c r="I486" s="6">
        <v>2</v>
      </c>
      <c r="J486" s="7">
        <v>0.02</v>
      </c>
      <c r="K486" s="6" t="str">
        <f t="shared" si="43"/>
        <v>Saturday</v>
      </c>
      <c r="L486" s="2" t="str">
        <f t="shared" si="44"/>
        <v>January</v>
      </c>
      <c r="M486" s="2" t="str">
        <f t="shared" si="45"/>
        <v>Spring</v>
      </c>
      <c r="N486" s="2" t="str">
        <f t="shared" si="46"/>
        <v>Saturday</v>
      </c>
      <c r="O486" t="str">
        <f t="shared" si="47"/>
        <v>Cloudy</v>
      </c>
    </row>
    <row r="487" spans="1:15" x14ac:dyDescent="0.25">
      <c r="A487" s="8">
        <v>485</v>
      </c>
      <c r="B487" s="9">
        <v>40565</v>
      </c>
      <c r="C487" s="6">
        <v>1</v>
      </c>
      <c r="D487" s="6" t="str">
        <f t="shared" si="42"/>
        <v>2011</v>
      </c>
      <c r="E487" s="6">
        <v>1</v>
      </c>
      <c r="F487" s="6">
        <v>6</v>
      </c>
      <c r="G487" s="6" t="b">
        <v>0</v>
      </c>
      <c r="H487" s="6">
        <v>6</v>
      </c>
      <c r="I487" s="6">
        <v>2</v>
      </c>
      <c r="J487" s="7">
        <v>0.02</v>
      </c>
      <c r="K487" s="6" t="str">
        <f t="shared" si="43"/>
        <v>Saturday</v>
      </c>
      <c r="L487" s="2" t="str">
        <f t="shared" si="44"/>
        <v>January</v>
      </c>
      <c r="M487" s="2" t="str">
        <f t="shared" si="45"/>
        <v>Spring</v>
      </c>
      <c r="N487" s="2" t="str">
        <f t="shared" si="46"/>
        <v>Saturday</v>
      </c>
      <c r="O487" t="str">
        <f t="shared" si="47"/>
        <v>Cloudy</v>
      </c>
    </row>
    <row r="488" spans="1:15" x14ac:dyDescent="0.25">
      <c r="A488" s="8">
        <v>486</v>
      </c>
      <c r="B488" s="9">
        <v>40565</v>
      </c>
      <c r="C488" s="6">
        <v>1</v>
      </c>
      <c r="D488" s="6" t="str">
        <f t="shared" si="42"/>
        <v>2011</v>
      </c>
      <c r="E488" s="6">
        <v>1</v>
      </c>
      <c r="F488" s="6">
        <v>7</v>
      </c>
      <c r="G488" s="6" t="b">
        <v>0</v>
      </c>
      <c r="H488" s="6">
        <v>6</v>
      </c>
      <c r="I488" s="6">
        <v>1</v>
      </c>
      <c r="J488" s="7">
        <v>0.02</v>
      </c>
      <c r="K488" s="6" t="str">
        <f t="shared" si="43"/>
        <v>Saturday</v>
      </c>
      <c r="L488" s="2" t="str">
        <f t="shared" si="44"/>
        <v>January</v>
      </c>
      <c r="M488" s="2" t="str">
        <f t="shared" si="45"/>
        <v>Spring</v>
      </c>
      <c r="N488" s="2" t="str">
        <f t="shared" si="46"/>
        <v>Saturday</v>
      </c>
      <c r="O488" t="str">
        <f t="shared" si="47"/>
        <v>Clear</v>
      </c>
    </row>
    <row r="489" spans="1:15" x14ac:dyDescent="0.25">
      <c r="A489" s="8">
        <v>487</v>
      </c>
      <c r="B489" s="9">
        <v>40565</v>
      </c>
      <c r="C489" s="6">
        <v>1</v>
      </c>
      <c r="D489" s="6" t="str">
        <f t="shared" si="42"/>
        <v>2011</v>
      </c>
      <c r="E489" s="6">
        <v>1</v>
      </c>
      <c r="F489" s="6">
        <v>8</v>
      </c>
      <c r="G489" s="6" t="b">
        <v>0</v>
      </c>
      <c r="H489" s="6">
        <v>6</v>
      </c>
      <c r="I489" s="6">
        <v>1</v>
      </c>
      <c r="J489" s="7">
        <v>0.02</v>
      </c>
      <c r="K489" s="6" t="str">
        <f t="shared" si="43"/>
        <v>Saturday</v>
      </c>
      <c r="L489" s="2" t="str">
        <f t="shared" si="44"/>
        <v>January</v>
      </c>
      <c r="M489" s="2" t="str">
        <f t="shared" si="45"/>
        <v>Spring</v>
      </c>
      <c r="N489" s="2" t="str">
        <f t="shared" si="46"/>
        <v>Saturday</v>
      </c>
      <c r="O489" t="str">
        <f t="shared" si="47"/>
        <v>Clear</v>
      </c>
    </row>
    <row r="490" spans="1:15" x14ac:dyDescent="0.25">
      <c r="A490" s="8">
        <v>488</v>
      </c>
      <c r="B490" s="9">
        <v>40565</v>
      </c>
      <c r="C490" s="6">
        <v>1</v>
      </c>
      <c r="D490" s="6" t="str">
        <f t="shared" si="42"/>
        <v>2011</v>
      </c>
      <c r="E490" s="6">
        <v>1</v>
      </c>
      <c r="F490" s="6">
        <v>9</v>
      </c>
      <c r="G490" s="6" t="b">
        <v>0</v>
      </c>
      <c r="H490" s="6">
        <v>6</v>
      </c>
      <c r="I490" s="6">
        <v>1</v>
      </c>
      <c r="J490" s="7">
        <v>0.04</v>
      </c>
      <c r="K490" s="6" t="str">
        <f t="shared" si="43"/>
        <v>Saturday</v>
      </c>
      <c r="L490" s="2" t="str">
        <f t="shared" si="44"/>
        <v>January</v>
      </c>
      <c r="M490" s="2" t="str">
        <f t="shared" si="45"/>
        <v>Spring</v>
      </c>
      <c r="N490" s="2" t="str">
        <f t="shared" si="46"/>
        <v>Saturday</v>
      </c>
      <c r="O490" t="str">
        <f t="shared" si="47"/>
        <v>Clear</v>
      </c>
    </row>
    <row r="491" spans="1:15" x14ac:dyDescent="0.25">
      <c r="A491" s="8">
        <v>489</v>
      </c>
      <c r="B491" s="9">
        <v>40565</v>
      </c>
      <c r="C491" s="6">
        <v>1</v>
      </c>
      <c r="D491" s="6" t="str">
        <f t="shared" si="42"/>
        <v>2011</v>
      </c>
      <c r="E491" s="6">
        <v>1</v>
      </c>
      <c r="F491" s="6">
        <v>10</v>
      </c>
      <c r="G491" s="6" t="b">
        <v>0</v>
      </c>
      <c r="H491" s="6">
        <v>6</v>
      </c>
      <c r="I491" s="6">
        <v>2</v>
      </c>
      <c r="J491" s="7">
        <v>0.04</v>
      </c>
      <c r="K491" s="6" t="str">
        <f t="shared" si="43"/>
        <v>Saturday</v>
      </c>
      <c r="L491" s="2" t="str">
        <f t="shared" si="44"/>
        <v>January</v>
      </c>
      <c r="M491" s="2" t="str">
        <f t="shared" si="45"/>
        <v>Spring</v>
      </c>
      <c r="N491" s="2" t="str">
        <f t="shared" si="46"/>
        <v>Saturday</v>
      </c>
      <c r="O491" t="str">
        <f t="shared" si="47"/>
        <v>Cloudy</v>
      </c>
    </row>
    <row r="492" spans="1:15" x14ac:dyDescent="0.25">
      <c r="A492" s="8">
        <v>490</v>
      </c>
      <c r="B492" s="9">
        <v>40565</v>
      </c>
      <c r="C492" s="6">
        <v>1</v>
      </c>
      <c r="D492" s="6" t="str">
        <f t="shared" si="42"/>
        <v>2011</v>
      </c>
      <c r="E492" s="6">
        <v>1</v>
      </c>
      <c r="F492" s="6">
        <v>11</v>
      </c>
      <c r="G492" s="6" t="b">
        <v>0</v>
      </c>
      <c r="H492" s="6">
        <v>6</v>
      </c>
      <c r="I492" s="6">
        <v>2</v>
      </c>
      <c r="J492" s="7">
        <v>0.06</v>
      </c>
      <c r="K492" s="6" t="str">
        <f t="shared" si="43"/>
        <v>Saturday</v>
      </c>
      <c r="L492" s="2" t="str">
        <f t="shared" si="44"/>
        <v>January</v>
      </c>
      <c r="M492" s="2" t="str">
        <f t="shared" si="45"/>
        <v>Spring</v>
      </c>
      <c r="N492" s="2" t="str">
        <f t="shared" si="46"/>
        <v>Saturday</v>
      </c>
      <c r="O492" t="str">
        <f t="shared" si="47"/>
        <v>Cloudy</v>
      </c>
    </row>
    <row r="493" spans="1:15" x14ac:dyDescent="0.25">
      <c r="A493" s="8">
        <v>491</v>
      </c>
      <c r="B493" s="9">
        <v>40565</v>
      </c>
      <c r="C493" s="6">
        <v>1</v>
      </c>
      <c r="D493" s="6" t="str">
        <f t="shared" si="42"/>
        <v>2011</v>
      </c>
      <c r="E493" s="6">
        <v>1</v>
      </c>
      <c r="F493" s="6">
        <v>12</v>
      </c>
      <c r="G493" s="6" t="b">
        <v>0</v>
      </c>
      <c r="H493" s="6">
        <v>6</v>
      </c>
      <c r="I493" s="6">
        <v>2</v>
      </c>
      <c r="J493" s="7">
        <v>0.06</v>
      </c>
      <c r="K493" s="6" t="str">
        <f t="shared" si="43"/>
        <v>Saturday</v>
      </c>
      <c r="L493" s="2" t="str">
        <f t="shared" si="44"/>
        <v>January</v>
      </c>
      <c r="M493" s="2" t="str">
        <f t="shared" si="45"/>
        <v>Spring</v>
      </c>
      <c r="N493" s="2" t="str">
        <f t="shared" si="46"/>
        <v>Saturday</v>
      </c>
      <c r="O493" t="str">
        <f t="shared" si="47"/>
        <v>Cloudy</v>
      </c>
    </row>
    <row r="494" spans="1:15" x14ac:dyDescent="0.25">
      <c r="A494" s="8">
        <v>492</v>
      </c>
      <c r="B494" s="9">
        <v>40565</v>
      </c>
      <c r="C494" s="6">
        <v>1</v>
      </c>
      <c r="D494" s="6" t="str">
        <f t="shared" si="42"/>
        <v>2011</v>
      </c>
      <c r="E494" s="6">
        <v>1</v>
      </c>
      <c r="F494" s="6">
        <v>13</v>
      </c>
      <c r="G494" s="6" t="b">
        <v>0</v>
      </c>
      <c r="H494" s="6">
        <v>6</v>
      </c>
      <c r="I494" s="6">
        <v>1</v>
      </c>
      <c r="J494" s="7">
        <v>0.08</v>
      </c>
      <c r="K494" s="6" t="str">
        <f t="shared" si="43"/>
        <v>Saturday</v>
      </c>
      <c r="L494" s="2" t="str">
        <f t="shared" si="44"/>
        <v>January</v>
      </c>
      <c r="M494" s="2" t="str">
        <f t="shared" si="45"/>
        <v>Spring</v>
      </c>
      <c r="N494" s="2" t="str">
        <f t="shared" si="46"/>
        <v>Saturday</v>
      </c>
      <c r="O494" t="str">
        <f t="shared" si="47"/>
        <v>Clear</v>
      </c>
    </row>
    <row r="495" spans="1:15" x14ac:dyDescent="0.25">
      <c r="A495" s="8">
        <v>493</v>
      </c>
      <c r="B495" s="9">
        <v>40565</v>
      </c>
      <c r="C495" s="6">
        <v>1</v>
      </c>
      <c r="D495" s="6" t="str">
        <f t="shared" si="42"/>
        <v>2011</v>
      </c>
      <c r="E495" s="6">
        <v>1</v>
      </c>
      <c r="F495" s="6">
        <v>14</v>
      </c>
      <c r="G495" s="6" t="b">
        <v>0</v>
      </c>
      <c r="H495" s="6">
        <v>6</v>
      </c>
      <c r="I495" s="6">
        <v>1</v>
      </c>
      <c r="J495" s="7">
        <v>0.1</v>
      </c>
      <c r="K495" s="6" t="str">
        <f t="shared" si="43"/>
        <v>Saturday</v>
      </c>
      <c r="L495" s="2" t="str">
        <f t="shared" si="44"/>
        <v>January</v>
      </c>
      <c r="M495" s="2" t="str">
        <f t="shared" si="45"/>
        <v>Spring</v>
      </c>
      <c r="N495" s="2" t="str">
        <f t="shared" si="46"/>
        <v>Saturday</v>
      </c>
      <c r="O495" t="str">
        <f t="shared" si="47"/>
        <v>Clear</v>
      </c>
    </row>
    <row r="496" spans="1:15" x14ac:dyDescent="0.25">
      <c r="A496" s="8">
        <v>494</v>
      </c>
      <c r="B496" s="9">
        <v>40565</v>
      </c>
      <c r="C496" s="6">
        <v>1</v>
      </c>
      <c r="D496" s="6" t="str">
        <f t="shared" si="42"/>
        <v>2011</v>
      </c>
      <c r="E496" s="6">
        <v>1</v>
      </c>
      <c r="F496" s="6">
        <v>15</v>
      </c>
      <c r="G496" s="6" t="b">
        <v>0</v>
      </c>
      <c r="H496" s="6">
        <v>6</v>
      </c>
      <c r="I496" s="6">
        <v>1</v>
      </c>
      <c r="J496" s="7">
        <v>0.12</v>
      </c>
      <c r="K496" s="6" t="str">
        <f t="shared" si="43"/>
        <v>Saturday</v>
      </c>
      <c r="L496" s="2" t="str">
        <f t="shared" si="44"/>
        <v>January</v>
      </c>
      <c r="M496" s="2" t="str">
        <f t="shared" si="45"/>
        <v>Spring</v>
      </c>
      <c r="N496" s="2" t="str">
        <f t="shared" si="46"/>
        <v>Saturday</v>
      </c>
      <c r="O496" t="str">
        <f t="shared" si="47"/>
        <v>Clear</v>
      </c>
    </row>
    <row r="497" spans="1:15" x14ac:dyDescent="0.25">
      <c r="A497" s="8">
        <v>495</v>
      </c>
      <c r="B497" s="9">
        <v>40565</v>
      </c>
      <c r="C497" s="6">
        <v>1</v>
      </c>
      <c r="D497" s="6" t="str">
        <f t="shared" si="42"/>
        <v>2011</v>
      </c>
      <c r="E497" s="6">
        <v>1</v>
      </c>
      <c r="F497" s="6">
        <v>16</v>
      </c>
      <c r="G497" s="6" t="b">
        <v>0</v>
      </c>
      <c r="H497" s="6">
        <v>6</v>
      </c>
      <c r="I497" s="6">
        <v>1</v>
      </c>
      <c r="J497" s="7">
        <v>0.12</v>
      </c>
      <c r="K497" s="6" t="str">
        <f t="shared" si="43"/>
        <v>Saturday</v>
      </c>
      <c r="L497" s="2" t="str">
        <f t="shared" si="44"/>
        <v>January</v>
      </c>
      <c r="M497" s="2" t="str">
        <f t="shared" si="45"/>
        <v>Spring</v>
      </c>
      <c r="N497" s="2" t="str">
        <f t="shared" si="46"/>
        <v>Saturday</v>
      </c>
      <c r="O497" t="str">
        <f t="shared" si="47"/>
        <v>Clear</v>
      </c>
    </row>
    <row r="498" spans="1:15" x14ac:dyDescent="0.25">
      <c r="A498" s="8">
        <v>496</v>
      </c>
      <c r="B498" s="9">
        <v>40565</v>
      </c>
      <c r="C498" s="6">
        <v>1</v>
      </c>
      <c r="D498" s="6" t="str">
        <f t="shared" si="42"/>
        <v>2011</v>
      </c>
      <c r="E498" s="6">
        <v>1</v>
      </c>
      <c r="F498" s="6">
        <v>17</v>
      </c>
      <c r="G498" s="6" t="b">
        <v>0</v>
      </c>
      <c r="H498" s="6">
        <v>6</v>
      </c>
      <c r="I498" s="6">
        <v>1</v>
      </c>
      <c r="J498" s="7">
        <v>0.12</v>
      </c>
      <c r="K498" s="6" t="str">
        <f t="shared" si="43"/>
        <v>Saturday</v>
      </c>
      <c r="L498" s="2" t="str">
        <f t="shared" si="44"/>
        <v>January</v>
      </c>
      <c r="M498" s="2" t="str">
        <f t="shared" si="45"/>
        <v>Spring</v>
      </c>
      <c r="N498" s="2" t="str">
        <f t="shared" si="46"/>
        <v>Saturday</v>
      </c>
      <c r="O498" t="str">
        <f t="shared" si="47"/>
        <v>Clear</v>
      </c>
    </row>
    <row r="499" spans="1:15" x14ac:dyDescent="0.25">
      <c r="A499" s="8">
        <v>497</v>
      </c>
      <c r="B499" s="9">
        <v>40565</v>
      </c>
      <c r="C499" s="6">
        <v>1</v>
      </c>
      <c r="D499" s="6" t="str">
        <f t="shared" si="42"/>
        <v>2011</v>
      </c>
      <c r="E499" s="6">
        <v>1</v>
      </c>
      <c r="F499" s="6">
        <v>18</v>
      </c>
      <c r="G499" s="6" t="b">
        <v>0</v>
      </c>
      <c r="H499" s="6">
        <v>6</v>
      </c>
      <c r="I499" s="6">
        <v>1</v>
      </c>
      <c r="J499" s="7">
        <v>0.08</v>
      </c>
      <c r="K499" s="6" t="str">
        <f t="shared" si="43"/>
        <v>Saturday</v>
      </c>
      <c r="L499" s="2" t="str">
        <f t="shared" si="44"/>
        <v>January</v>
      </c>
      <c r="M499" s="2" t="str">
        <f t="shared" si="45"/>
        <v>Spring</v>
      </c>
      <c r="N499" s="2" t="str">
        <f t="shared" si="46"/>
        <v>Saturday</v>
      </c>
      <c r="O499" t="str">
        <f t="shared" si="47"/>
        <v>Clear</v>
      </c>
    </row>
    <row r="500" spans="1:15" x14ac:dyDescent="0.25">
      <c r="A500" s="8">
        <v>498</v>
      </c>
      <c r="B500" s="9">
        <v>40565</v>
      </c>
      <c r="C500" s="6">
        <v>1</v>
      </c>
      <c r="D500" s="6" t="str">
        <f t="shared" si="42"/>
        <v>2011</v>
      </c>
      <c r="E500" s="6">
        <v>1</v>
      </c>
      <c r="F500" s="6">
        <v>19</v>
      </c>
      <c r="G500" s="6" t="b">
        <v>0</v>
      </c>
      <c r="H500" s="6">
        <v>6</v>
      </c>
      <c r="I500" s="6">
        <v>1</v>
      </c>
      <c r="J500" s="7">
        <v>0.08</v>
      </c>
      <c r="K500" s="6" t="str">
        <f t="shared" si="43"/>
        <v>Saturday</v>
      </c>
      <c r="L500" s="2" t="str">
        <f t="shared" si="44"/>
        <v>January</v>
      </c>
      <c r="M500" s="2" t="str">
        <f t="shared" si="45"/>
        <v>Spring</v>
      </c>
      <c r="N500" s="2" t="str">
        <f t="shared" si="46"/>
        <v>Saturday</v>
      </c>
      <c r="O500" t="str">
        <f t="shared" si="47"/>
        <v>Clear</v>
      </c>
    </row>
    <row r="501" spans="1:15" x14ac:dyDescent="0.25">
      <c r="A501" s="8">
        <v>499</v>
      </c>
      <c r="B501" s="9">
        <v>40565</v>
      </c>
      <c r="C501" s="6">
        <v>1</v>
      </c>
      <c r="D501" s="6" t="str">
        <f t="shared" si="42"/>
        <v>2011</v>
      </c>
      <c r="E501" s="6">
        <v>1</v>
      </c>
      <c r="F501" s="6">
        <v>20</v>
      </c>
      <c r="G501" s="6" t="b">
        <v>0</v>
      </c>
      <c r="H501" s="6">
        <v>6</v>
      </c>
      <c r="I501" s="6">
        <v>1</v>
      </c>
      <c r="J501" s="7">
        <v>0.06</v>
      </c>
      <c r="K501" s="6" t="str">
        <f t="shared" si="43"/>
        <v>Saturday</v>
      </c>
      <c r="L501" s="2" t="str">
        <f t="shared" si="44"/>
        <v>January</v>
      </c>
      <c r="M501" s="2" t="str">
        <f t="shared" si="45"/>
        <v>Spring</v>
      </c>
      <c r="N501" s="2" t="str">
        <f t="shared" si="46"/>
        <v>Saturday</v>
      </c>
      <c r="O501" t="str">
        <f t="shared" si="47"/>
        <v>Clear</v>
      </c>
    </row>
    <row r="502" spans="1:15" x14ac:dyDescent="0.25">
      <c r="A502" s="8">
        <v>500</v>
      </c>
      <c r="B502" s="9">
        <v>40565</v>
      </c>
      <c r="C502" s="6">
        <v>1</v>
      </c>
      <c r="D502" s="6" t="str">
        <f t="shared" si="42"/>
        <v>2011</v>
      </c>
      <c r="E502" s="6">
        <v>1</v>
      </c>
      <c r="F502" s="6">
        <v>21</v>
      </c>
      <c r="G502" s="6" t="b">
        <v>0</v>
      </c>
      <c r="H502" s="6">
        <v>6</v>
      </c>
      <c r="I502" s="6">
        <v>1</v>
      </c>
      <c r="J502" s="7">
        <v>0.06</v>
      </c>
      <c r="K502" s="6" t="str">
        <f t="shared" si="43"/>
        <v>Saturday</v>
      </c>
      <c r="L502" s="2" t="str">
        <f t="shared" si="44"/>
        <v>January</v>
      </c>
      <c r="M502" s="2" t="str">
        <f t="shared" si="45"/>
        <v>Spring</v>
      </c>
      <c r="N502" s="2" t="str">
        <f t="shared" si="46"/>
        <v>Saturday</v>
      </c>
      <c r="O502" t="str">
        <f t="shared" si="47"/>
        <v>Clear</v>
      </c>
    </row>
    <row r="503" spans="1:15" x14ac:dyDescent="0.25">
      <c r="A503" s="8">
        <v>501</v>
      </c>
      <c r="B503" s="9">
        <v>40565</v>
      </c>
      <c r="C503" s="6">
        <v>1</v>
      </c>
      <c r="D503" s="6" t="str">
        <f t="shared" si="42"/>
        <v>2011</v>
      </c>
      <c r="E503" s="6">
        <v>1</v>
      </c>
      <c r="F503" s="6">
        <v>22</v>
      </c>
      <c r="G503" s="6" t="b">
        <v>0</v>
      </c>
      <c r="H503" s="6">
        <v>6</v>
      </c>
      <c r="I503" s="6">
        <v>1</v>
      </c>
      <c r="J503" s="7">
        <v>0.06</v>
      </c>
      <c r="K503" s="6" t="str">
        <f t="shared" si="43"/>
        <v>Saturday</v>
      </c>
      <c r="L503" s="2" t="str">
        <f t="shared" si="44"/>
        <v>January</v>
      </c>
      <c r="M503" s="2" t="str">
        <f t="shared" si="45"/>
        <v>Spring</v>
      </c>
      <c r="N503" s="2" t="str">
        <f t="shared" si="46"/>
        <v>Saturday</v>
      </c>
      <c r="O503" t="str">
        <f t="shared" si="47"/>
        <v>Clear</v>
      </c>
    </row>
    <row r="504" spans="1:15" x14ac:dyDescent="0.25">
      <c r="A504" s="8">
        <v>502</v>
      </c>
      <c r="B504" s="9">
        <v>40565</v>
      </c>
      <c r="C504" s="6">
        <v>1</v>
      </c>
      <c r="D504" s="6" t="str">
        <f t="shared" si="42"/>
        <v>2011</v>
      </c>
      <c r="E504" s="6">
        <v>1</v>
      </c>
      <c r="F504" s="6">
        <v>23</v>
      </c>
      <c r="G504" s="6" t="b">
        <v>0</v>
      </c>
      <c r="H504" s="6">
        <v>6</v>
      </c>
      <c r="I504" s="6">
        <v>1</v>
      </c>
      <c r="J504" s="7">
        <v>0.04</v>
      </c>
      <c r="K504" s="6" t="str">
        <f t="shared" si="43"/>
        <v>Saturday</v>
      </c>
      <c r="L504" s="2" t="str">
        <f t="shared" si="44"/>
        <v>January</v>
      </c>
      <c r="M504" s="2" t="str">
        <f t="shared" si="45"/>
        <v>Spring</v>
      </c>
      <c r="N504" s="2" t="str">
        <f t="shared" si="46"/>
        <v>Saturday</v>
      </c>
      <c r="O504" t="str">
        <f t="shared" si="47"/>
        <v>Clear</v>
      </c>
    </row>
    <row r="505" spans="1:15" x14ac:dyDescent="0.25">
      <c r="A505" s="8">
        <v>503</v>
      </c>
      <c r="B505" s="9">
        <v>40566</v>
      </c>
      <c r="C505" s="6">
        <v>1</v>
      </c>
      <c r="D505" s="6" t="str">
        <f t="shared" si="42"/>
        <v>2011</v>
      </c>
      <c r="E505" s="6">
        <v>1</v>
      </c>
      <c r="F505" s="6">
        <v>0</v>
      </c>
      <c r="G505" s="6" t="b">
        <v>0</v>
      </c>
      <c r="H505" s="6">
        <v>0</v>
      </c>
      <c r="I505" s="6">
        <v>1</v>
      </c>
      <c r="J505" s="7">
        <v>0.04</v>
      </c>
      <c r="K505" s="6" t="str">
        <f t="shared" si="43"/>
        <v>Sunday</v>
      </c>
      <c r="L505" s="2" t="str">
        <f t="shared" si="44"/>
        <v>January</v>
      </c>
      <c r="M505" s="2" t="str">
        <f t="shared" si="45"/>
        <v>Spring</v>
      </c>
      <c r="N505" s="2" t="str">
        <f t="shared" si="46"/>
        <v>Sunday</v>
      </c>
      <c r="O505" t="str">
        <f t="shared" si="47"/>
        <v>Clear</v>
      </c>
    </row>
    <row r="506" spans="1:15" x14ac:dyDescent="0.25">
      <c r="A506" s="8">
        <v>504</v>
      </c>
      <c r="B506" s="9">
        <v>40566</v>
      </c>
      <c r="C506" s="6">
        <v>1</v>
      </c>
      <c r="D506" s="6" t="str">
        <f t="shared" si="42"/>
        <v>2011</v>
      </c>
      <c r="E506" s="6">
        <v>1</v>
      </c>
      <c r="F506" s="6">
        <v>1</v>
      </c>
      <c r="G506" s="6" t="b">
        <v>0</v>
      </c>
      <c r="H506" s="6">
        <v>0</v>
      </c>
      <c r="I506" s="6">
        <v>1</v>
      </c>
      <c r="J506" s="7">
        <v>0.04</v>
      </c>
      <c r="K506" s="6" t="str">
        <f t="shared" si="43"/>
        <v>Sunday</v>
      </c>
      <c r="L506" s="2" t="str">
        <f t="shared" si="44"/>
        <v>January</v>
      </c>
      <c r="M506" s="2" t="str">
        <f t="shared" si="45"/>
        <v>Spring</v>
      </c>
      <c r="N506" s="2" t="str">
        <f t="shared" si="46"/>
        <v>Sunday</v>
      </c>
      <c r="O506" t="str">
        <f t="shared" si="47"/>
        <v>Clear</v>
      </c>
    </row>
    <row r="507" spans="1:15" x14ac:dyDescent="0.25">
      <c r="A507" s="8">
        <v>505</v>
      </c>
      <c r="B507" s="9">
        <v>40566</v>
      </c>
      <c r="C507" s="6">
        <v>1</v>
      </c>
      <c r="D507" s="6" t="str">
        <f t="shared" si="42"/>
        <v>2011</v>
      </c>
      <c r="E507" s="6">
        <v>1</v>
      </c>
      <c r="F507" s="6">
        <v>2</v>
      </c>
      <c r="G507" s="6" t="b">
        <v>0</v>
      </c>
      <c r="H507" s="6">
        <v>0</v>
      </c>
      <c r="I507" s="6">
        <v>1</v>
      </c>
      <c r="J507" s="7">
        <v>0.02</v>
      </c>
      <c r="K507" s="6" t="str">
        <f t="shared" si="43"/>
        <v>Sunday</v>
      </c>
      <c r="L507" s="2" t="str">
        <f t="shared" si="44"/>
        <v>January</v>
      </c>
      <c r="M507" s="2" t="str">
        <f t="shared" si="45"/>
        <v>Spring</v>
      </c>
      <c r="N507" s="2" t="str">
        <f t="shared" si="46"/>
        <v>Sunday</v>
      </c>
      <c r="O507" t="str">
        <f t="shared" si="47"/>
        <v>Clear</v>
      </c>
    </row>
    <row r="508" spans="1:15" x14ac:dyDescent="0.25">
      <c r="A508" s="8">
        <v>506</v>
      </c>
      <c r="B508" s="9">
        <v>40566</v>
      </c>
      <c r="C508" s="6">
        <v>1</v>
      </c>
      <c r="D508" s="6" t="str">
        <f t="shared" si="42"/>
        <v>2011</v>
      </c>
      <c r="E508" s="6">
        <v>1</v>
      </c>
      <c r="F508" s="6">
        <v>3</v>
      </c>
      <c r="G508" s="6" t="b">
        <v>0</v>
      </c>
      <c r="H508" s="6">
        <v>0</v>
      </c>
      <c r="I508" s="6">
        <v>1</v>
      </c>
      <c r="J508" s="7">
        <v>0.02</v>
      </c>
      <c r="K508" s="6" t="str">
        <f t="shared" si="43"/>
        <v>Sunday</v>
      </c>
      <c r="L508" s="2" t="str">
        <f t="shared" si="44"/>
        <v>January</v>
      </c>
      <c r="M508" s="2" t="str">
        <f t="shared" si="45"/>
        <v>Spring</v>
      </c>
      <c r="N508" s="2" t="str">
        <f t="shared" si="46"/>
        <v>Sunday</v>
      </c>
      <c r="O508" t="str">
        <f t="shared" si="47"/>
        <v>Clear</v>
      </c>
    </row>
    <row r="509" spans="1:15" x14ac:dyDescent="0.25">
      <c r="A509" s="8">
        <v>507</v>
      </c>
      <c r="B509" s="9">
        <v>40566</v>
      </c>
      <c r="C509" s="6">
        <v>1</v>
      </c>
      <c r="D509" s="6" t="str">
        <f t="shared" si="42"/>
        <v>2011</v>
      </c>
      <c r="E509" s="6">
        <v>1</v>
      </c>
      <c r="F509" s="6">
        <v>5</v>
      </c>
      <c r="G509" s="6" t="b">
        <v>0</v>
      </c>
      <c r="H509" s="6">
        <v>0</v>
      </c>
      <c r="I509" s="6">
        <v>2</v>
      </c>
      <c r="J509" s="7">
        <v>0.04</v>
      </c>
      <c r="K509" s="6" t="str">
        <f t="shared" si="43"/>
        <v>Sunday</v>
      </c>
      <c r="L509" s="2" t="str">
        <f t="shared" si="44"/>
        <v>January</v>
      </c>
      <c r="M509" s="2" t="str">
        <f t="shared" si="45"/>
        <v>Spring</v>
      </c>
      <c r="N509" s="2" t="str">
        <f t="shared" si="46"/>
        <v>Sunday</v>
      </c>
      <c r="O509" t="str">
        <f t="shared" si="47"/>
        <v>Cloudy</v>
      </c>
    </row>
    <row r="510" spans="1:15" x14ac:dyDescent="0.25">
      <c r="A510" s="8">
        <v>508</v>
      </c>
      <c r="B510" s="9">
        <v>40566</v>
      </c>
      <c r="C510" s="6">
        <v>1</v>
      </c>
      <c r="D510" s="6" t="str">
        <f t="shared" si="42"/>
        <v>2011</v>
      </c>
      <c r="E510" s="6">
        <v>1</v>
      </c>
      <c r="F510" s="6">
        <v>6</v>
      </c>
      <c r="G510" s="6" t="b">
        <v>0</v>
      </c>
      <c r="H510" s="6">
        <v>0</v>
      </c>
      <c r="I510" s="6">
        <v>2</v>
      </c>
      <c r="J510" s="7">
        <v>0.04</v>
      </c>
      <c r="K510" s="6" t="str">
        <f t="shared" si="43"/>
        <v>Sunday</v>
      </c>
      <c r="L510" s="2" t="str">
        <f t="shared" si="44"/>
        <v>January</v>
      </c>
      <c r="M510" s="2" t="str">
        <f t="shared" si="45"/>
        <v>Spring</v>
      </c>
      <c r="N510" s="2" t="str">
        <f t="shared" si="46"/>
        <v>Sunday</v>
      </c>
      <c r="O510" t="str">
        <f t="shared" si="47"/>
        <v>Cloudy</v>
      </c>
    </row>
    <row r="511" spans="1:15" x14ac:dyDescent="0.25">
      <c r="A511" s="8">
        <v>509</v>
      </c>
      <c r="B511" s="9">
        <v>40566</v>
      </c>
      <c r="C511" s="6">
        <v>1</v>
      </c>
      <c r="D511" s="6" t="str">
        <f t="shared" si="42"/>
        <v>2011</v>
      </c>
      <c r="E511" s="6">
        <v>1</v>
      </c>
      <c r="F511" s="6">
        <v>7</v>
      </c>
      <c r="G511" s="6" t="b">
        <v>0</v>
      </c>
      <c r="H511" s="6">
        <v>0</v>
      </c>
      <c r="I511" s="6">
        <v>1</v>
      </c>
      <c r="J511" s="7">
        <v>0.08</v>
      </c>
      <c r="K511" s="6" t="str">
        <f t="shared" si="43"/>
        <v>Sunday</v>
      </c>
      <c r="L511" s="2" t="str">
        <f t="shared" si="44"/>
        <v>January</v>
      </c>
      <c r="M511" s="2" t="str">
        <f t="shared" si="45"/>
        <v>Spring</v>
      </c>
      <c r="N511" s="2" t="str">
        <f t="shared" si="46"/>
        <v>Sunday</v>
      </c>
      <c r="O511" t="str">
        <f t="shared" si="47"/>
        <v>Clear</v>
      </c>
    </row>
    <row r="512" spans="1:15" x14ac:dyDescent="0.25">
      <c r="A512" s="8">
        <v>510</v>
      </c>
      <c r="B512" s="9">
        <v>40566</v>
      </c>
      <c r="C512" s="6">
        <v>1</v>
      </c>
      <c r="D512" s="6" t="str">
        <f t="shared" si="42"/>
        <v>2011</v>
      </c>
      <c r="E512" s="6">
        <v>1</v>
      </c>
      <c r="F512" s="6">
        <v>8</v>
      </c>
      <c r="G512" s="6" t="b">
        <v>0</v>
      </c>
      <c r="H512" s="6">
        <v>0</v>
      </c>
      <c r="I512" s="6">
        <v>1</v>
      </c>
      <c r="J512" s="7">
        <v>0.06</v>
      </c>
      <c r="K512" s="6" t="str">
        <f t="shared" si="43"/>
        <v>Sunday</v>
      </c>
      <c r="L512" s="2" t="str">
        <f t="shared" si="44"/>
        <v>January</v>
      </c>
      <c r="M512" s="2" t="str">
        <f t="shared" si="45"/>
        <v>Spring</v>
      </c>
      <c r="N512" s="2" t="str">
        <f t="shared" si="46"/>
        <v>Sunday</v>
      </c>
      <c r="O512" t="str">
        <f t="shared" si="47"/>
        <v>Clear</v>
      </c>
    </row>
    <row r="513" spans="1:15" x14ac:dyDescent="0.25">
      <c r="A513" s="8">
        <v>511</v>
      </c>
      <c r="B513" s="9">
        <v>40566</v>
      </c>
      <c r="C513" s="6">
        <v>1</v>
      </c>
      <c r="D513" s="6" t="str">
        <f t="shared" si="42"/>
        <v>2011</v>
      </c>
      <c r="E513" s="6">
        <v>1</v>
      </c>
      <c r="F513" s="6">
        <v>9</v>
      </c>
      <c r="G513" s="6" t="b">
        <v>0</v>
      </c>
      <c r="H513" s="6">
        <v>0</v>
      </c>
      <c r="I513" s="6">
        <v>1</v>
      </c>
      <c r="J513" s="7">
        <v>0.1</v>
      </c>
      <c r="K513" s="6" t="str">
        <f t="shared" si="43"/>
        <v>Sunday</v>
      </c>
      <c r="L513" s="2" t="str">
        <f t="shared" si="44"/>
        <v>January</v>
      </c>
      <c r="M513" s="2" t="str">
        <f t="shared" si="45"/>
        <v>Spring</v>
      </c>
      <c r="N513" s="2" t="str">
        <f t="shared" si="46"/>
        <v>Sunday</v>
      </c>
      <c r="O513" t="str">
        <f t="shared" si="47"/>
        <v>Clear</v>
      </c>
    </row>
    <row r="514" spans="1:15" x14ac:dyDescent="0.25">
      <c r="A514" s="8">
        <v>512</v>
      </c>
      <c r="B514" s="9">
        <v>40566</v>
      </c>
      <c r="C514" s="6">
        <v>1</v>
      </c>
      <c r="D514" s="6" t="str">
        <f t="shared" si="42"/>
        <v>2011</v>
      </c>
      <c r="E514" s="6">
        <v>1</v>
      </c>
      <c r="F514" s="6">
        <v>10</v>
      </c>
      <c r="G514" s="6" t="b">
        <v>0</v>
      </c>
      <c r="H514" s="6">
        <v>0</v>
      </c>
      <c r="I514" s="6">
        <v>1</v>
      </c>
      <c r="J514" s="7">
        <v>0.14000000000000001</v>
      </c>
      <c r="K514" s="6" t="str">
        <f t="shared" si="43"/>
        <v>Sunday</v>
      </c>
      <c r="L514" s="2" t="str">
        <f t="shared" si="44"/>
        <v>January</v>
      </c>
      <c r="M514" s="2" t="str">
        <f t="shared" si="45"/>
        <v>Spring</v>
      </c>
      <c r="N514" s="2" t="str">
        <f t="shared" si="46"/>
        <v>Sunday</v>
      </c>
      <c r="O514" t="str">
        <f t="shared" si="47"/>
        <v>Clear</v>
      </c>
    </row>
    <row r="515" spans="1:15" x14ac:dyDescent="0.25">
      <c r="A515" s="8">
        <v>513</v>
      </c>
      <c r="B515" s="9">
        <v>40566</v>
      </c>
      <c r="C515" s="6">
        <v>1</v>
      </c>
      <c r="D515" s="6" t="str">
        <f t="shared" si="42"/>
        <v>2011</v>
      </c>
      <c r="E515" s="6">
        <v>1</v>
      </c>
      <c r="F515" s="6">
        <v>11</v>
      </c>
      <c r="G515" s="6" t="b">
        <v>0</v>
      </c>
      <c r="H515" s="6">
        <v>0</v>
      </c>
      <c r="I515" s="6">
        <v>1</v>
      </c>
      <c r="J515" s="7">
        <v>0.14000000000000001</v>
      </c>
      <c r="K515" s="6" t="str">
        <f t="shared" si="43"/>
        <v>Sunday</v>
      </c>
      <c r="L515" s="2" t="str">
        <f t="shared" si="44"/>
        <v>January</v>
      </c>
      <c r="M515" s="2" t="str">
        <f t="shared" si="45"/>
        <v>Spring</v>
      </c>
      <c r="N515" s="2" t="str">
        <f t="shared" si="46"/>
        <v>Sunday</v>
      </c>
      <c r="O515" t="str">
        <f t="shared" si="47"/>
        <v>Clear</v>
      </c>
    </row>
    <row r="516" spans="1:15" x14ac:dyDescent="0.25">
      <c r="A516" s="8">
        <v>514</v>
      </c>
      <c r="B516" s="9">
        <v>40566</v>
      </c>
      <c r="C516" s="6">
        <v>1</v>
      </c>
      <c r="D516" s="6" t="str">
        <f t="shared" ref="D516:D579" si="48">TEXT(B516,"yyyy")</f>
        <v>2011</v>
      </c>
      <c r="E516" s="6">
        <v>1</v>
      </c>
      <c r="F516" s="6">
        <v>12</v>
      </c>
      <c r="G516" s="6" t="b">
        <v>0</v>
      </c>
      <c r="H516" s="6">
        <v>0</v>
      </c>
      <c r="I516" s="6">
        <v>1</v>
      </c>
      <c r="J516" s="7">
        <v>0.16</v>
      </c>
      <c r="K516" s="6" t="str">
        <f t="shared" ref="K516:K579" si="49">TEXT(B516,"dddd")</f>
        <v>Sunday</v>
      </c>
      <c r="L516" s="2" t="str">
        <f t="shared" ref="L516:L579" si="50">TEXT(B516,"mmmm")</f>
        <v>January</v>
      </c>
      <c r="M516" s="2" t="str">
        <f t="shared" ref="M516:M579" si="51">IF(C516=1,"Spring",IF(C516=2,"Summer",IF(C516=3,"Fall","Winter")))</f>
        <v>Spring</v>
      </c>
      <c r="N516" s="2" t="str">
        <f t="shared" ref="N516:N579" si="52">IF(H516=0,"Sunday",IF(H516=1,"Monday",IF(H516=2,"Tuesday",IF(H516=3,"Wednesday",IF(H516=4,"Thursday",IF(H516=5,"Friday","Saturday"))))))</f>
        <v>Sunday</v>
      </c>
      <c r="O516" t="str">
        <f t="shared" si="47"/>
        <v>Clear</v>
      </c>
    </row>
    <row r="517" spans="1:15" x14ac:dyDescent="0.25">
      <c r="A517" s="8">
        <v>515</v>
      </c>
      <c r="B517" s="9">
        <v>40566</v>
      </c>
      <c r="C517" s="6">
        <v>1</v>
      </c>
      <c r="D517" s="6" t="str">
        <f t="shared" si="48"/>
        <v>2011</v>
      </c>
      <c r="E517" s="6">
        <v>1</v>
      </c>
      <c r="F517" s="6">
        <v>13</v>
      </c>
      <c r="G517" s="6" t="b">
        <v>0</v>
      </c>
      <c r="H517" s="6">
        <v>0</v>
      </c>
      <c r="I517" s="6">
        <v>1</v>
      </c>
      <c r="J517" s="7">
        <v>0.14000000000000001</v>
      </c>
      <c r="K517" s="6" t="str">
        <f t="shared" si="49"/>
        <v>Sunday</v>
      </c>
      <c r="L517" s="2" t="str">
        <f t="shared" si="50"/>
        <v>January</v>
      </c>
      <c r="M517" s="2" t="str">
        <f t="shared" si="51"/>
        <v>Spring</v>
      </c>
      <c r="N517" s="2" t="str">
        <f t="shared" si="52"/>
        <v>Sunday</v>
      </c>
      <c r="O517" t="str">
        <f t="shared" ref="O517:O580" si="53">IF(I517=1,"Clear",IF(I517=2,"Cloudy",IF(I517=3,"Rain","Heavy Rain")))</f>
        <v>Clear</v>
      </c>
    </row>
    <row r="518" spans="1:15" x14ac:dyDescent="0.25">
      <c r="A518" s="8">
        <v>516</v>
      </c>
      <c r="B518" s="9">
        <v>40566</v>
      </c>
      <c r="C518" s="6">
        <v>1</v>
      </c>
      <c r="D518" s="6" t="str">
        <f t="shared" si="48"/>
        <v>2011</v>
      </c>
      <c r="E518" s="6">
        <v>1</v>
      </c>
      <c r="F518" s="6">
        <v>14</v>
      </c>
      <c r="G518" s="6" t="b">
        <v>0</v>
      </c>
      <c r="H518" s="6">
        <v>0</v>
      </c>
      <c r="I518" s="6">
        <v>1</v>
      </c>
      <c r="J518" s="7">
        <v>0.16</v>
      </c>
      <c r="K518" s="6" t="str">
        <f t="shared" si="49"/>
        <v>Sunday</v>
      </c>
      <c r="L518" s="2" t="str">
        <f t="shared" si="50"/>
        <v>January</v>
      </c>
      <c r="M518" s="2" t="str">
        <f t="shared" si="51"/>
        <v>Spring</v>
      </c>
      <c r="N518" s="2" t="str">
        <f t="shared" si="52"/>
        <v>Sunday</v>
      </c>
      <c r="O518" t="str">
        <f t="shared" si="53"/>
        <v>Clear</v>
      </c>
    </row>
    <row r="519" spans="1:15" x14ac:dyDescent="0.25">
      <c r="A519" s="8">
        <v>517</v>
      </c>
      <c r="B519" s="9">
        <v>40566</v>
      </c>
      <c r="C519" s="6">
        <v>1</v>
      </c>
      <c r="D519" s="6" t="str">
        <f t="shared" si="48"/>
        <v>2011</v>
      </c>
      <c r="E519" s="6">
        <v>1</v>
      </c>
      <c r="F519" s="6">
        <v>15</v>
      </c>
      <c r="G519" s="6" t="b">
        <v>0</v>
      </c>
      <c r="H519" s="6">
        <v>0</v>
      </c>
      <c r="I519" s="6">
        <v>1</v>
      </c>
      <c r="J519" s="7">
        <v>0.16</v>
      </c>
      <c r="K519" s="6" t="str">
        <f t="shared" si="49"/>
        <v>Sunday</v>
      </c>
      <c r="L519" s="2" t="str">
        <f t="shared" si="50"/>
        <v>January</v>
      </c>
      <c r="M519" s="2" t="str">
        <f t="shared" si="51"/>
        <v>Spring</v>
      </c>
      <c r="N519" s="2" t="str">
        <f t="shared" si="52"/>
        <v>Sunday</v>
      </c>
      <c r="O519" t="str">
        <f t="shared" si="53"/>
        <v>Clear</v>
      </c>
    </row>
    <row r="520" spans="1:15" x14ac:dyDescent="0.25">
      <c r="A520" s="8">
        <v>518</v>
      </c>
      <c r="B520" s="9">
        <v>40566</v>
      </c>
      <c r="C520" s="6">
        <v>1</v>
      </c>
      <c r="D520" s="6" t="str">
        <f t="shared" si="48"/>
        <v>2011</v>
      </c>
      <c r="E520" s="6">
        <v>1</v>
      </c>
      <c r="F520" s="6">
        <v>16</v>
      </c>
      <c r="G520" s="6" t="b">
        <v>0</v>
      </c>
      <c r="H520" s="6">
        <v>0</v>
      </c>
      <c r="I520" s="6">
        <v>1</v>
      </c>
      <c r="J520" s="7">
        <v>0.16</v>
      </c>
      <c r="K520" s="6" t="str">
        <f t="shared" si="49"/>
        <v>Sunday</v>
      </c>
      <c r="L520" s="2" t="str">
        <f t="shared" si="50"/>
        <v>January</v>
      </c>
      <c r="M520" s="2" t="str">
        <f t="shared" si="51"/>
        <v>Spring</v>
      </c>
      <c r="N520" s="2" t="str">
        <f t="shared" si="52"/>
        <v>Sunday</v>
      </c>
      <c r="O520" t="str">
        <f t="shared" si="53"/>
        <v>Clear</v>
      </c>
    </row>
    <row r="521" spans="1:15" x14ac:dyDescent="0.25">
      <c r="A521" s="8">
        <v>519</v>
      </c>
      <c r="B521" s="9">
        <v>40566</v>
      </c>
      <c r="C521" s="6">
        <v>1</v>
      </c>
      <c r="D521" s="6" t="str">
        <f t="shared" si="48"/>
        <v>2011</v>
      </c>
      <c r="E521" s="6">
        <v>1</v>
      </c>
      <c r="F521" s="6">
        <v>17</v>
      </c>
      <c r="G521" s="6" t="b">
        <v>0</v>
      </c>
      <c r="H521" s="6">
        <v>0</v>
      </c>
      <c r="I521" s="6">
        <v>1</v>
      </c>
      <c r="J521" s="7">
        <v>0.14000000000000001</v>
      </c>
      <c r="K521" s="6" t="str">
        <f t="shared" si="49"/>
        <v>Sunday</v>
      </c>
      <c r="L521" s="2" t="str">
        <f t="shared" si="50"/>
        <v>January</v>
      </c>
      <c r="M521" s="2" t="str">
        <f t="shared" si="51"/>
        <v>Spring</v>
      </c>
      <c r="N521" s="2" t="str">
        <f t="shared" si="52"/>
        <v>Sunday</v>
      </c>
      <c r="O521" t="str">
        <f t="shared" si="53"/>
        <v>Clear</v>
      </c>
    </row>
    <row r="522" spans="1:15" x14ac:dyDescent="0.25">
      <c r="A522" s="8">
        <v>520</v>
      </c>
      <c r="B522" s="9">
        <v>40566</v>
      </c>
      <c r="C522" s="6">
        <v>1</v>
      </c>
      <c r="D522" s="6" t="str">
        <f t="shared" si="48"/>
        <v>2011</v>
      </c>
      <c r="E522" s="6">
        <v>1</v>
      </c>
      <c r="F522" s="6">
        <v>18</v>
      </c>
      <c r="G522" s="6" t="b">
        <v>0</v>
      </c>
      <c r="H522" s="6">
        <v>0</v>
      </c>
      <c r="I522" s="6">
        <v>1</v>
      </c>
      <c r="J522" s="7">
        <v>0.12</v>
      </c>
      <c r="K522" s="6" t="str">
        <f t="shared" si="49"/>
        <v>Sunday</v>
      </c>
      <c r="L522" s="2" t="str">
        <f t="shared" si="50"/>
        <v>January</v>
      </c>
      <c r="M522" s="2" t="str">
        <f t="shared" si="51"/>
        <v>Spring</v>
      </c>
      <c r="N522" s="2" t="str">
        <f t="shared" si="52"/>
        <v>Sunday</v>
      </c>
      <c r="O522" t="str">
        <f t="shared" si="53"/>
        <v>Clear</v>
      </c>
    </row>
    <row r="523" spans="1:15" x14ac:dyDescent="0.25">
      <c r="A523" s="8">
        <v>521</v>
      </c>
      <c r="B523" s="9">
        <v>40566</v>
      </c>
      <c r="C523" s="6">
        <v>1</v>
      </c>
      <c r="D523" s="6" t="str">
        <f t="shared" si="48"/>
        <v>2011</v>
      </c>
      <c r="E523" s="6">
        <v>1</v>
      </c>
      <c r="F523" s="6">
        <v>19</v>
      </c>
      <c r="G523" s="6" t="b">
        <v>0</v>
      </c>
      <c r="H523" s="6">
        <v>0</v>
      </c>
      <c r="I523" s="6">
        <v>1</v>
      </c>
      <c r="J523" s="7">
        <v>0.12</v>
      </c>
      <c r="K523" s="6" t="str">
        <f t="shared" si="49"/>
        <v>Sunday</v>
      </c>
      <c r="L523" s="2" t="str">
        <f t="shared" si="50"/>
        <v>January</v>
      </c>
      <c r="M523" s="2" t="str">
        <f t="shared" si="51"/>
        <v>Spring</v>
      </c>
      <c r="N523" s="2" t="str">
        <f t="shared" si="52"/>
        <v>Sunday</v>
      </c>
      <c r="O523" t="str">
        <f t="shared" si="53"/>
        <v>Clear</v>
      </c>
    </row>
    <row r="524" spans="1:15" x14ac:dyDescent="0.25">
      <c r="A524" s="8">
        <v>522</v>
      </c>
      <c r="B524" s="9">
        <v>40566</v>
      </c>
      <c r="C524" s="6">
        <v>1</v>
      </c>
      <c r="D524" s="6" t="str">
        <f t="shared" si="48"/>
        <v>2011</v>
      </c>
      <c r="E524" s="6">
        <v>1</v>
      </c>
      <c r="F524" s="6">
        <v>20</v>
      </c>
      <c r="G524" s="6" t="b">
        <v>0</v>
      </c>
      <c r="H524" s="6">
        <v>0</v>
      </c>
      <c r="I524" s="6">
        <v>1</v>
      </c>
      <c r="J524" s="7">
        <v>0.1</v>
      </c>
      <c r="K524" s="6" t="str">
        <f t="shared" si="49"/>
        <v>Sunday</v>
      </c>
      <c r="L524" s="2" t="str">
        <f t="shared" si="50"/>
        <v>January</v>
      </c>
      <c r="M524" s="2" t="str">
        <f t="shared" si="51"/>
        <v>Spring</v>
      </c>
      <c r="N524" s="2" t="str">
        <f t="shared" si="52"/>
        <v>Sunday</v>
      </c>
      <c r="O524" t="str">
        <f t="shared" si="53"/>
        <v>Clear</v>
      </c>
    </row>
    <row r="525" spans="1:15" x14ac:dyDescent="0.25">
      <c r="A525" s="8">
        <v>523</v>
      </c>
      <c r="B525" s="9">
        <v>40566</v>
      </c>
      <c r="C525" s="6">
        <v>1</v>
      </c>
      <c r="D525" s="6" t="str">
        <f t="shared" si="48"/>
        <v>2011</v>
      </c>
      <c r="E525" s="6">
        <v>1</v>
      </c>
      <c r="F525" s="6">
        <v>21</v>
      </c>
      <c r="G525" s="6" t="b">
        <v>0</v>
      </c>
      <c r="H525" s="6">
        <v>0</v>
      </c>
      <c r="I525" s="6">
        <v>1</v>
      </c>
      <c r="J525" s="7">
        <v>0.1</v>
      </c>
      <c r="K525" s="6" t="str">
        <f t="shared" si="49"/>
        <v>Sunday</v>
      </c>
      <c r="L525" s="2" t="str">
        <f t="shared" si="50"/>
        <v>January</v>
      </c>
      <c r="M525" s="2" t="str">
        <f t="shared" si="51"/>
        <v>Spring</v>
      </c>
      <c r="N525" s="2" t="str">
        <f t="shared" si="52"/>
        <v>Sunday</v>
      </c>
      <c r="O525" t="str">
        <f t="shared" si="53"/>
        <v>Clear</v>
      </c>
    </row>
    <row r="526" spans="1:15" x14ac:dyDescent="0.25">
      <c r="A526" s="8">
        <v>524</v>
      </c>
      <c r="B526" s="9">
        <v>40566</v>
      </c>
      <c r="C526" s="6">
        <v>1</v>
      </c>
      <c r="D526" s="6" t="str">
        <f t="shared" si="48"/>
        <v>2011</v>
      </c>
      <c r="E526" s="6">
        <v>1</v>
      </c>
      <c r="F526" s="6">
        <v>22</v>
      </c>
      <c r="G526" s="6" t="b">
        <v>0</v>
      </c>
      <c r="H526" s="6">
        <v>0</v>
      </c>
      <c r="I526" s="6">
        <v>1</v>
      </c>
      <c r="J526" s="7">
        <v>0.08</v>
      </c>
      <c r="K526" s="6" t="str">
        <f t="shared" si="49"/>
        <v>Sunday</v>
      </c>
      <c r="L526" s="2" t="str">
        <f t="shared" si="50"/>
        <v>January</v>
      </c>
      <c r="M526" s="2" t="str">
        <f t="shared" si="51"/>
        <v>Spring</v>
      </c>
      <c r="N526" s="2" t="str">
        <f t="shared" si="52"/>
        <v>Sunday</v>
      </c>
      <c r="O526" t="str">
        <f t="shared" si="53"/>
        <v>Clear</v>
      </c>
    </row>
    <row r="527" spans="1:15" x14ac:dyDescent="0.25">
      <c r="A527" s="8">
        <v>525</v>
      </c>
      <c r="B527" s="9">
        <v>40566</v>
      </c>
      <c r="C527" s="6">
        <v>1</v>
      </c>
      <c r="D527" s="6" t="str">
        <f t="shared" si="48"/>
        <v>2011</v>
      </c>
      <c r="E527" s="6">
        <v>1</v>
      </c>
      <c r="F527" s="6">
        <v>23</v>
      </c>
      <c r="G527" s="6" t="b">
        <v>0</v>
      </c>
      <c r="H527" s="6">
        <v>0</v>
      </c>
      <c r="I527" s="6">
        <v>1</v>
      </c>
      <c r="J527" s="7">
        <v>0.06</v>
      </c>
      <c r="K527" s="6" t="str">
        <f t="shared" si="49"/>
        <v>Sunday</v>
      </c>
      <c r="L527" s="2" t="str">
        <f t="shared" si="50"/>
        <v>January</v>
      </c>
      <c r="M527" s="2" t="str">
        <f t="shared" si="51"/>
        <v>Spring</v>
      </c>
      <c r="N527" s="2" t="str">
        <f t="shared" si="52"/>
        <v>Sunday</v>
      </c>
      <c r="O527" t="str">
        <f t="shared" si="53"/>
        <v>Clear</v>
      </c>
    </row>
    <row r="528" spans="1:15" x14ac:dyDescent="0.25">
      <c r="A528" s="8">
        <v>526</v>
      </c>
      <c r="B528" s="9">
        <v>40567</v>
      </c>
      <c r="C528" s="6">
        <v>1</v>
      </c>
      <c r="D528" s="6" t="str">
        <f t="shared" si="48"/>
        <v>2011</v>
      </c>
      <c r="E528" s="6">
        <v>1</v>
      </c>
      <c r="F528" s="6">
        <v>0</v>
      </c>
      <c r="G528" s="6" t="b">
        <v>0</v>
      </c>
      <c r="H528" s="6">
        <v>1</v>
      </c>
      <c r="I528" s="6">
        <v>1</v>
      </c>
      <c r="J528" s="7">
        <v>0.06</v>
      </c>
      <c r="K528" s="6" t="str">
        <f t="shared" si="49"/>
        <v>Monday</v>
      </c>
      <c r="L528" s="2" t="str">
        <f t="shared" si="50"/>
        <v>January</v>
      </c>
      <c r="M528" s="2" t="str">
        <f t="shared" si="51"/>
        <v>Spring</v>
      </c>
      <c r="N528" s="2" t="str">
        <f t="shared" si="52"/>
        <v>Monday</v>
      </c>
      <c r="O528" t="str">
        <f t="shared" si="53"/>
        <v>Clear</v>
      </c>
    </row>
    <row r="529" spans="1:15" x14ac:dyDescent="0.25">
      <c r="A529" s="8">
        <v>527</v>
      </c>
      <c r="B529" s="9">
        <v>40567</v>
      </c>
      <c r="C529" s="6">
        <v>1</v>
      </c>
      <c r="D529" s="6" t="str">
        <f t="shared" si="48"/>
        <v>2011</v>
      </c>
      <c r="E529" s="6">
        <v>1</v>
      </c>
      <c r="F529" s="6">
        <v>1</v>
      </c>
      <c r="G529" s="6" t="b">
        <v>0</v>
      </c>
      <c r="H529" s="6">
        <v>1</v>
      </c>
      <c r="I529" s="6">
        <v>1</v>
      </c>
      <c r="J529" s="7">
        <v>0.04</v>
      </c>
      <c r="K529" s="6" t="str">
        <f t="shared" si="49"/>
        <v>Monday</v>
      </c>
      <c r="L529" s="2" t="str">
        <f t="shared" si="50"/>
        <v>January</v>
      </c>
      <c r="M529" s="2" t="str">
        <f t="shared" si="51"/>
        <v>Spring</v>
      </c>
      <c r="N529" s="2" t="str">
        <f t="shared" si="52"/>
        <v>Monday</v>
      </c>
      <c r="O529" t="str">
        <f t="shared" si="53"/>
        <v>Clear</v>
      </c>
    </row>
    <row r="530" spans="1:15" x14ac:dyDescent="0.25">
      <c r="A530" s="8">
        <v>528</v>
      </c>
      <c r="B530" s="9">
        <v>40567</v>
      </c>
      <c r="C530" s="6">
        <v>1</v>
      </c>
      <c r="D530" s="6" t="str">
        <f t="shared" si="48"/>
        <v>2011</v>
      </c>
      <c r="E530" s="6">
        <v>1</v>
      </c>
      <c r="F530" s="6">
        <v>3</v>
      </c>
      <c r="G530" s="6" t="b">
        <v>0</v>
      </c>
      <c r="H530" s="6">
        <v>1</v>
      </c>
      <c r="I530" s="6">
        <v>1</v>
      </c>
      <c r="J530" s="7">
        <v>0.04</v>
      </c>
      <c r="K530" s="6" t="str">
        <f t="shared" si="49"/>
        <v>Monday</v>
      </c>
      <c r="L530" s="2" t="str">
        <f t="shared" si="50"/>
        <v>January</v>
      </c>
      <c r="M530" s="2" t="str">
        <f t="shared" si="51"/>
        <v>Spring</v>
      </c>
      <c r="N530" s="2" t="str">
        <f t="shared" si="52"/>
        <v>Monday</v>
      </c>
      <c r="O530" t="str">
        <f t="shared" si="53"/>
        <v>Clear</v>
      </c>
    </row>
    <row r="531" spans="1:15" x14ac:dyDescent="0.25">
      <c r="A531" s="8">
        <v>529</v>
      </c>
      <c r="B531" s="9">
        <v>40567</v>
      </c>
      <c r="C531" s="6">
        <v>1</v>
      </c>
      <c r="D531" s="6" t="str">
        <f t="shared" si="48"/>
        <v>2011</v>
      </c>
      <c r="E531" s="6">
        <v>1</v>
      </c>
      <c r="F531" s="6">
        <v>4</v>
      </c>
      <c r="G531" s="6" t="b">
        <v>0</v>
      </c>
      <c r="H531" s="6">
        <v>1</v>
      </c>
      <c r="I531" s="6">
        <v>1</v>
      </c>
      <c r="J531" s="7">
        <v>0.02</v>
      </c>
      <c r="K531" s="6" t="str">
        <f t="shared" si="49"/>
        <v>Monday</v>
      </c>
      <c r="L531" s="2" t="str">
        <f t="shared" si="50"/>
        <v>January</v>
      </c>
      <c r="M531" s="2" t="str">
        <f t="shared" si="51"/>
        <v>Spring</v>
      </c>
      <c r="N531" s="2" t="str">
        <f t="shared" si="52"/>
        <v>Monday</v>
      </c>
      <c r="O531" t="str">
        <f t="shared" si="53"/>
        <v>Clear</v>
      </c>
    </row>
    <row r="532" spans="1:15" x14ac:dyDescent="0.25">
      <c r="A532" s="8">
        <v>530</v>
      </c>
      <c r="B532" s="9">
        <v>40567</v>
      </c>
      <c r="C532" s="6">
        <v>1</v>
      </c>
      <c r="D532" s="6" t="str">
        <f t="shared" si="48"/>
        <v>2011</v>
      </c>
      <c r="E532" s="6">
        <v>1</v>
      </c>
      <c r="F532" s="6">
        <v>5</v>
      </c>
      <c r="G532" s="6" t="b">
        <v>0</v>
      </c>
      <c r="H532" s="6">
        <v>1</v>
      </c>
      <c r="I532" s="6">
        <v>1</v>
      </c>
      <c r="J532" s="7">
        <v>0.02</v>
      </c>
      <c r="K532" s="6" t="str">
        <f t="shared" si="49"/>
        <v>Monday</v>
      </c>
      <c r="L532" s="2" t="str">
        <f t="shared" si="50"/>
        <v>January</v>
      </c>
      <c r="M532" s="2" t="str">
        <f t="shared" si="51"/>
        <v>Spring</v>
      </c>
      <c r="N532" s="2" t="str">
        <f t="shared" si="52"/>
        <v>Monday</v>
      </c>
      <c r="O532" t="str">
        <f t="shared" si="53"/>
        <v>Clear</v>
      </c>
    </row>
    <row r="533" spans="1:15" x14ac:dyDescent="0.25">
      <c r="A533" s="8">
        <v>531</v>
      </c>
      <c r="B533" s="9">
        <v>40567</v>
      </c>
      <c r="C533" s="6">
        <v>1</v>
      </c>
      <c r="D533" s="6" t="str">
        <f t="shared" si="48"/>
        <v>2011</v>
      </c>
      <c r="E533" s="6">
        <v>1</v>
      </c>
      <c r="F533" s="6">
        <v>6</v>
      </c>
      <c r="G533" s="6" t="b">
        <v>0</v>
      </c>
      <c r="H533" s="6">
        <v>1</v>
      </c>
      <c r="I533" s="6">
        <v>1</v>
      </c>
      <c r="J533" s="7">
        <v>0.02</v>
      </c>
      <c r="K533" s="6" t="str">
        <f t="shared" si="49"/>
        <v>Monday</v>
      </c>
      <c r="L533" s="2" t="str">
        <f t="shared" si="50"/>
        <v>January</v>
      </c>
      <c r="M533" s="2" t="str">
        <f t="shared" si="51"/>
        <v>Spring</v>
      </c>
      <c r="N533" s="2" t="str">
        <f t="shared" si="52"/>
        <v>Monday</v>
      </c>
      <c r="O533" t="str">
        <f t="shared" si="53"/>
        <v>Clear</v>
      </c>
    </row>
    <row r="534" spans="1:15" x14ac:dyDescent="0.25">
      <c r="A534" s="8">
        <v>532</v>
      </c>
      <c r="B534" s="9">
        <v>40567</v>
      </c>
      <c r="C534" s="6">
        <v>1</v>
      </c>
      <c r="D534" s="6" t="str">
        <f t="shared" si="48"/>
        <v>2011</v>
      </c>
      <c r="E534" s="6">
        <v>1</v>
      </c>
      <c r="F534" s="6">
        <v>7</v>
      </c>
      <c r="G534" s="6" t="b">
        <v>0</v>
      </c>
      <c r="H534" s="6">
        <v>1</v>
      </c>
      <c r="I534" s="6">
        <v>1</v>
      </c>
      <c r="J534" s="7">
        <v>0.02</v>
      </c>
      <c r="K534" s="6" t="str">
        <f t="shared" si="49"/>
        <v>Monday</v>
      </c>
      <c r="L534" s="2" t="str">
        <f t="shared" si="50"/>
        <v>January</v>
      </c>
      <c r="M534" s="2" t="str">
        <f t="shared" si="51"/>
        <v>Spring</v>
      </c>
      <c r="N534" s="2" t="str">
        <f t="shared" si="52"/>
        <v>Monday</v>
      </c>
      <c r="O534" t="str">
        <f t="shared" si="53"/>
        <v>Clear</v>
      </c>
    </row>
    <row r="535" spans="1:15" x14ac:dyDescent="0.25">
      <c r="A535" s="8">
        <v>533</v>
      </c>
      <c r="B535" s="9">
        <v>40567</v>
      </c>
      <c r="C535" s="6">
        <v>1</v>
      </c>
      <c r="D535" s="6" t="str">
        <f t="shared" si="48"/>
        <v>2011</v>
      </c>
      <c r="E535" s="6">
        <v>1</v>
      </c>
      <c r="F535" s="6">
        <v>8</v>
      </c>
      <c r="G535" s="6" t="b">
        <v>0</v>
      </c>
      <c r="H535" s="6">
        <v>1</v>
      </c>
      <c r="I535" s="6">
        <v>1</v>
      </c>
      <c r="J535" s="7">
        <v>0.04</v>
      </c>
      <c r="K535" s="6" t="str">
        <f t="shared" si="49"/>
        <v>Monday</v>
      </c>
      <c r="L535" s="2" t="str">
        <f t="shared" si="50"/>
        <v>January</v>
      </c>
      <c r="M535" s="2" t="str">
        <f t="shared" si="51"/>
        <v>Spring</v>
      </c>
      <c r="N535" s="2" t="str">
        <f t="shared" si="52"/>
        <v>Monday</v>
      </c>
      <c r="O535" t="str">
        <f t="shared" si="53"/>
        <v>Clear</v>
      </c>
    </row>
    <row r="536" spans="1:15" x14ac:dyDescent="0.25">
      <c r="A536" s="8">
        <v>534</v>
      </c>
      <c r="B536" s="9">
        <v>40567</v>
      </c>
      <c r="C536" s="6">
        <v>1</v>
      </c>
      <c r="D536" s="6" t="str">
        <f t="shared" si="48"/>
        <v>2011</v>
      </c>
      <c r="E536" s="6">
        <v>1</v>
      </c>
      <c r="F536" s="6">
        <v>9</v>
      </c>
      <c r="G536" s="6" t="b">
        <v>0</v>
      </c>
      <c r="H536" s="6">
        <v>1</v>
      </c>
      <c r="I536" s="6">
        <v>1</v>
      </c>
      <c r="J536" s="7">
        <v>0.06</v>
      </c>
      <c r="K536" s="6" t="str">
        <f t="shared" si="49"/>
        <v>Monday</v>
      </c>
      <c r="L536" s="2" t="str">
        <f t="shared" si="50"/>
        <v>January</v>
      </c>
      <c r="M536" s="2" t="str">
        <f t="shared" si="51"/>
        <v>Spring</v>
      </c>
      <c r="N536" s="2" t="str">
        <f t="shared" si="52"/>
        <v>Monday</v>
      </c>
      <c r="O536" t="str">
        <f t="shared" si="53"/>
        <v>Clear</v>
      </c>
    </row>
    <row r="537" spans="1:15" x14ac:dyDescent="0.25">
      <c r="A537" s="8">
        <v>535</v>
      </c>
      <c r="B537" s="9">
        <v>40567</v>
      </c>
      <c r="C537" s="6">
        <v>1</v>
      </c>
      <c r="D537" s="6" t="str">
        <f t="shared" si="48"/>
        <v>2011</v>
      </c>
      <c r="E537" s="6">
        <v>1</v>
      </c>
      <c r="F537" s="6">
        <v>10</v>
      </c>
      <c r="G537" s="6" t="b">
        <v>0</v>
      </c>
      <c r="H537" s="6">
        <v>1</v>
      </c>
      <c r="I537" s="6">
        <v>1</v>
      </c>
      <c r="J537" s="7">
        <v>0.1</v>
      </c>
      <c r="K537" s="6" t="str">
        <f t="shared" si="49"/>
        <v>Monday</v>
      </c>
      <c r="L537" s="2" t="str">
        <f t="shared" si="50"/>
        <v>January</v>
      </c>
      <c r="M537" s="2" t="str">
        <f t="shared" si="51"/>
        <v>Spring</v>
      </c>
      <c r="N537" s="2" t="str">
        <f t="shared" si="52"/>
        <v>Monday</v>
      </c>
      <c r="O537" t="str">
        <f t="shared" si="53"/>
        <v>Clear</v>
      </c>
    </row>
    <row r="538" spans="1:15" x14ac:dyDescent="0.25">
      <c r="A538" s="8">
        <v>536</v>
      </c>
      <c r="B538" s="9">
        <v>40567</v>
      </c>
      <c r="C538" s="6">
        <v>1</v>
      </c>
      <c r="D538" s="6" t="str">
        <f t="shared" si="48"/>
        <v>2011</v>
      </c>
      <c r="E538" s="6">
        <v>1</v>
      </c>
      <c r="F538" s="6">
        <v>11</v>
      </c>
      <c r="G538" s="6" t="b">
        <v>0</v>
      </c>
      <c r="H538" s="6">
        <v>1</v>
      </c>
      <c r="I538" s="6">
        <v>1</v>
      </c>
      <c r="J538" s="7">
        <v>0.1</v>
      </c>
      <c r="K538" s="6" t="str">
        <f t="shared" si="49"/>
        <v>Monday</v>
      </c>
      <c r="L538" s="2" t="str">
        <f t="shared" si="50"/>
        <v>January</v>
      </c>
      <c r="M538" s="2" t="str">
        <f t="shared" si="51"/>
        <v>Spring</v>
      </c>
      <c r="N538" s="2" t="str">
        <f t="shared" si="52"/>
        <v>Monday</v>
      </c>
      <c r="O538" t="str">
        <f t="shared" si="53"/>
        <v>Clear</v>
      </c>
    </row>
    <row r="539" spans="1:15" x14ac:dyDescent="0.25">
      <c r="A539" s="8">
        <v>537</v>
      </c>
      <c r="B539" s="9">
        <v>40567</v>
      </c>
      <c r="C539" s="6">
        <v>1</v>
      </c>
      <c r="D539" s="6" t="str">
        <f t="shared" si="48"/>
        <v>2011</v>
      </c>
      <c r="E539" s="6">
        <v>1</v>
      </c>
      <c r="F539" s="6">
        <v>12</v>
      </c>
      <c r="G539" s="6" t="b">
        <v>0</v>
      </c>
      <c r="H539" s="6">
        <v>1</v>
      </c>
      <c r="I539" s="6">
        <v>2</v>
      </c>
      <c r="J539" s="7">
        <v>0.12</v>
      </c>
      <c r="K539" s="6" t="str">
        <f t="shared" si="49"/>
        <v>Monday</v>
      </c>
      <c r="L539" s="2" t="str">
        <f t="shared" si="50"/>
        <v>January</v>
      </c>
      <c r="M539" s="2" t="str">
        <f t="shared" si="51"/>
        <v>Spring</v>
      </c>
      <c r="N539" s="2" t="str">
        <f t="shared" si="52"/>
        <v>Monday</v>
      </c>
      <c r="O539" t="str">
        <f t="shared" si="53"/>
        <v>Cloudy</v>
      </c>
    </row>
    <row r="540" spans="1:15" x14ac:dyDescent="0.25">
      <c r="A540" s="8">
        <v>538</v>
      </c>
      <c r="B540" s="9">
        <v>40567</v>
      </c>
      <c r="C540" s="6">
        <v>1</v>
      </c>
      <c r="D540" s="6" t="str">
        <f t="shared" si="48"/>
        <v>2011</v>
      </c>
      <c r="E540" s="6">
        <v>1</v>
      </c>
      <c r="F540" s="6">
        <v>13</v>
      </c>
      <c r="G540" s="6" t="b">
        <v>0</v>
      </c>
      <c r="H540" s="6">
        <v>1</v>
      </c>
      <c r="I540" s="6">
        <v>2</v>
      </c>
      <c r="J540" s="7">
        <v>0.14000000000000001</v>
      </c>
      <c r="K540" s="6" t="str">
        <f t="shared" si="49"/>
        <v>Monday</v>
      </c>
      <c r="L540" s="2" t="str">
        <f t="shared" si="50"/>
        <v>January</v>
      </c>
      <c r="M540" s="2" t="str">
        <f t="shared" si="51"/>
        <v>Spring</v>
      </c>
      <c r="N540" s="2" t="str">
        <f t="shared" si="52"/>
        <v>Monday</v>
      </c>
      <c r="O540" t="str">
        <f t="shared" si="53"/>
        <v>Cloudy</v>
      </c>
    </row>
    <row r="541" spans="1:15" x14ac:dyDescent="0.25">
      <c r="A541" s="8">
        <v>539</v>
      </c>
      <c r="B541" s="9">
        <v>40567</v>
      </c>
      <c r="C541" s="6">
        <v>1</v>
      </c>
      <c r="D541" s="6" t="str">
        <f t="shared" si="48"/>
        <v>2011</v>
      </c>
      <c r="E541" s="6">
        <v>1</v>
      </c>
      <c r="F541" s="6">
        <v>14</v>
      </c>
      <c r="G541" s="6" t="b">
        <v>0</v>
      </c>
      <c r="H541" s="6">
        <v>1</v>
      </c>
      <c r="I541" s="6">
        <v>2</v>
      </c>
      <c r="J541" s="7">
        <v>0.14000000000000001</v>
      </c>
      <c r="K541" s="6" t="str">
        <f t="shared" si="49"/>
        <v>Monday</v>
      </c>
      <c r="L541" s="2" t="str">
        <f t="shared" si="50"/>
        <v>January</v>
      </c>
      <c r="M541" s="2" t="str">
        <f t="shared" si="51"/>
        <v>Spring</v>
      </c>
      <c r="N541" s="2" t="str">
        <f t="shared" si="52"/>
        <v>Monday</v>
      </c>
      <c r="O541" t="str">
        <f t="shared" si="53"/>
        <v>Cloudy</v>
      </c>
    </row>
    <row r="542" spans="1:15" x14ac:dyDescent="0.25">
      <c r="A542" s="8">
        <v>540</v>
      </c>
      <c r="B542" s="9">
        <v>40567</v>
      </c>
      <c r="C542" s="6">
        <v>1</v>
      </c>
      <c r="D542" s="6" t="str">
        <f t="shared" si="48"/>
        <v>2011</v>
      </c>
      <c r="E542" s="6">
        <v>1</v>
      </c>
      <c r="F542" s="6">
        <v>15</v>
      </c>
      <c r="G542" s="6" t="b">
        <v>0</v>
      </c>
      <c r="H542" s="6">
        <v>1</v>
      </c>
      <c r="I542" s="6">
        <v>1</v>
      </c>
      <c r="J542" s="7">
        <v>0.16</v>
      </c>
      <c r="K542" s="6" t="str">
        <f t="shared" si="49"/>
        <v>Monday</v>
      </c>
      <c r="L542" s="2" t="str">
        <f t="shared" si="50"/>
        <v>January</v>
      </c>
      <c r="M542" s="2" t="str">
        <f t="shared" si="51"/>
        <v>Spring</v>
      </c>
      <c r="N542" s="2" t="str">
        <f t="shared" si="52"/>
        <v>Monday</v>
      </c>
      <c r="O542" t="str">
        <f t="shared" si="53"/>
        <v>Clear</v>
      </c>
    </row>
    <row r="543" spans="1:15" x14ac:dyDescent="0.25">
      <c r="A543" s="8">
        <v>541</v>
      </c>
      <c r="B543" s="9">
        <v>40567</v>
      </c>
      <c r="C543" s="6">
        <v>1</v>
      </c>
      <c r="D543" s="6" t="str">
        <f t="shared" si="48"/>
        <v>2011</v>
      </c>
      <c r="E543" s="6">
        <v>1</v>
      </c>
      <c r="F543" s="6">
        <v>16</v>
      </c>
      <c r="G543" s="6" t="b">
        <v>0</v>
      </c>
      <c r="H543" s="6">
        <v>1</v>
      </c>
      <c r="I543" s="6">
        <v>1</v>
      </c>
      <c r="J543" s="7">
        <v>0.16</v>
      </c>
      <c r="K543" s="6" t="str">
        <f t="shared" si="49"/>
        <v>Monday</v>
      </c>
      <c r="L543" s="2" t="str">
        <f t="shared" si="50"/>
        <v>January</v>
      </c>
      <c r="M543" s="2" t="str">
        <f t="shared" si="51"/>
        <v>Spring</v>
      </c>
      <c r="N543" s="2" t="str">
        <f t="shared" si="52"/>
        <v>Monday</v>
      </c>
      <c r="O543" t="str">
        <f t="shared" si="53"/>
        <v>Clear</v>
      </c>
    </row>
    <row r="544" spans="1:15" x14ac:dyDescent="0.25">
      <c r="A544" s="8">
        <v>542</v>
      </c>
      <c r="B544" s="9">
        <v>40567</v>
      </c>
      <c r="C544" s="6">
        <v>1</v>
      </c>
      <c r="D544" s="6" t="str">
        <f t="shared" si="48"/>
        <v>2011</v>
      </c>
      <c r="E544" s="6">
        <v>1</v>
      </c>
      <c r="F544" s="6">
        <v>17</v>
      </c>
      <c r="G544" s="6" t="b">
        <v>0</v>
      </c>
      <c r="H544" s="6">
        <v>1</v>
      </c>
      <c r="I544" s="6">
        <v>1</v>
      </c>
      <c r="J544" s="7">
        <v>0.14000000000000001</v>
      </c>
      <c r="K544" s="6" t="str">
        <f t="shared" si="49"/>
        <v>Monday</v>
      </c>
      <c r="L544" s="2" t="str">
        <f t="shared" si="50"/>
        <v>January</v>
      </c>
      <c r="M544" s="2" t="str">
        <f t="shared" si="51"/>
        <v>Spring</v>
      </c>
      <c r="N544" s="2" t="str">
        <f t="shared" si="52"/>
        <v>Monday</v>
      </c>
      <c r="O544" t="str">
        <f t="shared" si="53"/>
        <v>Clear</v>
      </c>
    </row>
    <row r="545" spans="1:15" x14ac:dyDescent="0.25">
      <c r="A545" s="8">
        <v>543</v>
      </c>
      <c r="B545" s="9">
        <v>40567</v>
      </c>
      <c r="C545" s="6">
        <v>1</v>
      </c>
      <c r="D545" s="6" t="str">
        <f t="shared" si="48"/>
        <v>2011</v>
      </c>
      <c r="E545" s="6">
        <v>1</v>
      </c>
      <c r="F545" s="6">
        <v>18</v>
      </c>
      <c r="G545" s="6" t="b">
        <v>0</v>
      </c>
      <c r="H545" s="6">
        <v>1</v>
      </c>
      <c r="I545" s="6">
        <v>1</v>
      </c>
      <c r="J545" s="7">
        <v>0.14000000000000001</v>
      </c>
      <c r="K545" s="6" t="str">
        <f t="shared" si="49"/>
        <v>Monday</v>
      </c>
      <c r="L545" s="2" t="str">
        <f t="shared" si="50"/>
        <v>January</v>
      </c>
      <c r="M545" s="2" t="str">
        <f t="shared" si="51"/>
        <v>Spring</v>
      </c>
      <c r="N545" s="2" t="str">
        <f t="shared" si="52"/>
        <v>Monday</v>
      </c>
      <c r="O545" t="str">
        <f t="shared" si="53"/>
        <v>Clear</v>
      </c>
    </row>
    <row r="546" spans="1:15" x14ac:dyDescent="0.25">
      <c r="A546" s="8">
        <v>544</v>
      </c>
      <c r="B546" s="9">
        <v>40567</v>
      </c>
      <c r="C546" s="6">
        <v>1</v>
      </c>
      <c r="D546" s="6" t="str">
        <f t="shared" si="48"/>
        <v>2011</v>
      </c>
      <c r="E546" s="6">
        <v>1</v>
      </c>
      <c r="F546" s="6">
        <v>19</v>
      </c>
      <c r="G546" s="6" t="b">
        <v>0</v>
      </c>
      <c r="H546" s="6">
        <v>1</v>
      </c>
      <c r="I546" s="6">
        <v>1</v>
      </c>
      <c r="J546" s="7">
        <v>0.14000000000000001</v>
      </c>
      <c r="K546" s="6" t="str">
        <f t="shared" si="49"/>
        <v>Monday</v>
      </c>
      <c r="L546" s="2" t="str">
        <f t="shared" si="50"/>
        <v>January</v>
      </c>
      <c r="M546" s="2" t="str">
        <f t="shared" si="51"/>
        <v>Spring</v>
      </c>
      <c r="N546" s="2" t="str">
        <f t="shared" si="52"/>
        <v>Monday</v>
      </c>
      <c r="O546" t="str">
        <f t="shared" si="53"/>
        <v>Clear</v>
      </c>
    </row>
    <row r="547" spans="1:15" x14ac:dyDescent="0.25">
      <c r="A547" s="8">
        <v>545</v>
      </c>
      <c r="B547" s="9">
        <v>40567</v>
      </c>
      <c r="C547" s="6">
        <v>1</v>
      </c>
      <c r="D547" s="6" t="str">
        <f t="shared" si="48"/>
        <v>2011</v>
      </c>
      <c r="E547" s="6">
        <v>1</v>
      </c>
      <c r="F547" s="6">
        <v>20</v>
      </c>
      <c r="G547" s="6" t="b">
        <v>0</v>
      </c>
      <c r="H547" s="6">
        <v>1</v>
      </c>
      <c r="I547" s="6">
        <v>1</v>
      </c>
      <c r="J547" s="7">
        <v>0.14000000000000001</v>
      </c>
      <c r="K547" s="6" t="str">
        <f t="shared" si="49"/>
        <v>Monday</v>
      </c>
      <c r="L547" s="2" t="str">
        <f t="shared" si="50"/>
        <v>January</v>
      </c>
      <c r="M547" s="2" t="str">
        <f t="shared" si="51"/>
        <v>Spring</v>
      </c>
      <c r="N547" s="2" t="str">
        <f t="shared" si="52"/>
        <v>Monday</v>
      </c>
      <c r="O547" t="str">
        <f t="shared" si="53"/>
        <v>Clear</v>
      </c>
    </row>
    <row r="548" spans="1:15" x14ac:dyDescent="0.25">
      <c r="A548" s="8">
        <v>546</v>
      </c>
      <c r="B548" s="9">
        <v>40567</v>
      </c>
      <c r="C548" s="6">
        <v>1</v>
      </c>
      <c r="D548" s="6" t="str">
        <f t="shared" si="48"/>
        <v>2011</v>
      </c>
      <c r="E548" s="6">
        <v>1</v>
      </c>
      <c r="F548" s="6">
        <v>21</v>
      </c>
      <c r="G548" s="6" t="b">
        <v>0</v>
      </c>
      <c r="H548" s="6">
        <v>1</v>
      </c>
      <c r="I548" s="6">
        <v>1</v>
      </c>
      <c r="J548" s="7">
        <v>0.14000000000000001</v>
      </c>
      <c r="K548" s="6" t="str">
        <f t="shared" si="49"/>
        <v>Monday</v>
      </c>
      <c r="L548" s="2" t="str">
        <f t="shared" si="50"/>
        <v>January</v>
      </c>
      <c r="M548" s="2" t="str">
        <f t="shared" si="51"/>
        <v>Spring</v>
      </c>
      <c r="N548" s="2" t="str">
        <f t="shared" si="52"/>
        <v>Monday</v>
      </c>
      <c r="O548" t="str">
        <f t="shared" si="53"/>
        <v>Clear</v>
      </c>
    </row>
    <row r="549" spans="1:15" x14ac:dyDescent="0.25">
      <c r="A549" s="8">
        <v>547</v>
      </c>
      <c r="B549" s="9">
        <v>40567</v>
      </c>
      <c r="C549" s="6">
        <v>1</v>
      </c>
      <c r="D549" s="6" t="str">
        <f t="shared" si="48"/>
        <v>2011</v>
      </c>
      <c r="E549" s="6">
        <v>1</v>
      </c>
      <c r="F549" s="6">
        <v>22</v>
      </c>
      <c r="G549" s="6" t="b">
        <v>0</v>
      </c>
      <c r="H549" s="6">
        <v>1</v>
      </c>
      <c r="I549" s="6">
        <v>2</v>
      </c>
      <c r="J549" s="7">
        <v>0.14000000000000001</v>
      </c>
      <c r="K549" s="6" t="str">
        <f t="shared" si="49"/>
        <v>Monday</v>
      </c>
      <c r="L549" s="2" t="str">
        <f t="shared" si="50"/>
        <v>January</v>
      </c>
      <c r="M549" s="2" t="str">
        <f t="shared" si="51"/>
        <v>Spring</v>
      </c>
      <c r="N549" s="2" t="str">
        <f t="shared" si="52"/>
        <v>Monday</v>
      </c>
      <c r="O549" t="str">
        <f t="shared" si="53"/>
        <v>Cloudy</v>
      </c>
    </row>
    <row r="550" spans="1:15" x14ac:dyDescent="0.25">
      <c r="A550" s="8">
        <v>548</v>
      </c>
      <c r="B550" s="9">
        <v>40567</v>
      </c>
      <c r="C550" s="6">
        <v>1</v>
      </c>
      <c r="D550" s="6" t="str">
        <f t="shared" si="48"/>
        <v>2011</v>
      </c>
      <c r="E550" s="6">
        <v>1</v>
      </c>
      <c r="F550" s="6">
        <v>23</v>
      </c>
      <c r="G550" s="6" t="b">
        <v>0</v>
      </c>
      <c r="H550" s="6">
        <v>1</v>
      </c>
      <c r="I550" s="6">
        <v>2</v>
      </c>
      <c r="J550" s="7">
        <v>0.16</v>
      </c>
      <c r="K550" s="6" t="str">
        <f t="shared" si="49"/>
        <v>Monday</v>
      </c>
      <c r="L550" s="2" t="str">
        <f t="shared" si="50"/>
        <v>January</v>
      </c>
      <c r="M550" s="2" t="str">
        <f t="shared" si="51"/>
        <v>Spring</v>
      </c>
      <c r="N550" s="2" t="str">
        <f t="shared" si="52"/>
        <v>Monday</v>
      </c>
      <c r="O550" t="str">
        <f t="shared" si="53"/>
        <v>Cloudy</v>
      </c>
    </row>
    <row r="551" spans="1:15" x14ac:dyDescent="0.25">
      <c r="A551" s="8">
        <v>549</v>
      </c>
      <c r="B551" s="9">
        <v>40568</v>
      </c>
      <c r="C551" s="6">
        <v>1</v>
      </c>
      <c r="D551" s="6" t="str">
        <f t="shared" si="48"/>
        <v>2011</v>
      </c>
      <c r="E551" s="6">
        <v>1</v>
      </c>
      <c r="F551" s="6">
        <v>0</v>
      </c>
      <c r="G551" s="6" t="b">
        <v>0</v>
      </c>
      <c r="H551" s="6">
        <v>2</v>
      </c>
      <c r="I551" s="6">
        <v>2</v>
      </c>
      <c r="J551" s="7">
        <v>0.16</v>
      </c>
      <c r="K551" s="6" t="str">
        <f t="shared" si="49"/>
        <v>Tuesday</v>
      </c>
      <c r="L551" s="2" t="str">
        <f t="shared" si="50"/>
        <v>January</v>
      </c>
      <c r="M551" s="2" t="str">
        <f t="shared" si="51"/>
        <v>Spring</v>
      </c>
      <c r="N551" s="2" t="str">
        <f t="shared" si="52"/>
        <v>Tuesday</v>
      </c>
      <c r="O551" t="str">
        <f t="shared" si="53"/>
        <v>Cloudy</v>
      </c>
    </row>
    <row r="552" spans="1:15" x14ac:dyDescent="0.25">
      <c r="A552" s="8">
        <v>550</v>
      </c>
      <c r="B552" s="9">
        <v>40568</v>
      </c>
      <c r="C552" s="6">
        <v>1</v>
      </c>
      <c r="D552" s="6" t="str">
        <f t="shared" si="48"/>
        <v>2011</v>
      </c>
      <c r="E552" s="6">
        <v>1</v>
      </c>
      <c r="F552" s="6">
        <v>1</v>
      </c>
      <c r="G552" s="6" t="b">
        <v>0</v>
      </c>
      <c r="H552" s="6">
        <v>2</v>
      </c>
      <c r="I552" s="6">
        <v>2</v>
      </c>
      <c r="J552" s="7">
        <v>0.16</v>
      </c>
      <c r="K552" s="6" t="str">
        <f t="shared" si="49"/>
        <v>Tuesday</v>
      </c>
      <c r="L552" s="2" t="str">
        <f t="shared" si="50"/>
        <v>January</v>
      </c>
      <c r="M552" s="2" t="str">
        <f t="shared" si="51"/>
        <v>Spring</v>
      </c>
      <c r="N552" s="2" t="str">
        <f t="shared" si="52"/>
        <v>Tuesday</v>
      </c>
      <c r="O552" t="str">
        <f t="shared" si="53"/>
        <v>Cloudy</v>
      </c>
    </row>
    <row r="553" spans="1:15" x14ac:dyDescent="0.25">
      <c r="A553" s="8">
        <v>551</v>
      </c>
      <c r="B553" s="9">
        <v>40568</v>
      </c>
      <c r="C553" s="6">
        <v>1</v>
      </c>
      <c r="D553" s="6" t="str">
        <f t="shared" si="48"/>
        <v>2011</v>
      </c>
      <c r="E553" s="6">
        <v>1</v>
      </c>
      <c r="F553" s="6">
        <v>2</v>
      </c>
      <c r="G553" s="6" t="b">
        <v>0</v>
      </c>
      <c r="H553" s="6">
        <v>2</v>
      </c>
      <c r="I553" s="6">
        <v>1</v>
      </c>
      <c r="J553" s="7">
        <v>0.16</v>
      </c>
      <c r="K553" s="6" t="str">
        <f t="shared" si="49"/>
        <v>Tuesday</v>
      </c>
      <c r="L553" s="2" t="str">
        <f t="shared" si="50"/>
        <v>January</v>
      </c>
      <c r="M553" s="2" t="str">
        <f t="shared" si="51"/>
        <v>Spring</v>
      </c>
      <c r="N553" s="2" t="str">
        <f t="shared" si="52"/>
        <v>Tuesday</v>
      </c>
      <c r="O553" t="str">
        <f t="shared" si="53"/>
        <v>Clear</v>
      </c>
    </row>
    <row r="554" spans="1:15" x14ac:dyDescent="0.25">
      <c r="A554" s="8">
        <v>552</v>
      </c>
      <c r="B554" s="9">
        <v>40568</v>
      </c>
      <c r="C554" s="6">
        <v>1</v>
      </c>
      <c r="D554" s="6" t="str">
        <f t="shared" si="48"/>
        <v>2011</v>
      </c>
      <c r="E554" s="6">
        <v>1</v>
      </c>
      <c r="F554" s="6">
        <v>4</v>
      </c>
      <c r="G554" s="6" t="b">
        <v>0</v>
      </c>
      <c r="H554" s="6">
        <v>2</v>
      </c>
      <c r="I554" s="6">
        <v>1</v>
      </c>
      <c r="J554" s="7">
        <v>0.14000000000000001</v>
      </c>
      <c r="K554" s="6" t="str">
        <f t="shared" si="49"/>
        <v>Tuesday</v>
      </c>
      <c r="L554" s="2" t="str">
        <f t="shared" si="50"/>
        <v>January</v>
      </c>
      <c r="M554" s="2" t="str">
        <f t="shared" si="51"/>
        <v>Spring</v>
      </c>
      <c r="N554" s="2" t="str">
        <f t="shared" si="52"/>
        <v>Tuesday</v>
      </c>
      <c r="O554" t="str">
        <f t="shared" si="53"/>
        <v>Clear</v>
      </c>
    </row>
    <row r="555" spans="1:15" x14ac:dyDescent="0.25">
      <c r="A555" s="8">
        <v>553</v>
      </c>
      <c r="B555" s="9">
        <v>40568</v>
      </c>
      <c r="C555" s="6">
        <v>1</v>
      </c>
      <c r="D555" s="6" t="str">
        <f t="shared" si="48"/>
        <v>2011</v>
      </c>
      <c r="E555" s="6">
        <v>1</v>
      </c>
      <c r="F555" s="6">
        <v>5</v>
      </c>
      <c r="G555" s="6" t="b">
        <v>0</v>
      </c>
      <c r="H555" s="6">
        <v>2</v>
      </c>
      <c r="I555" s="6">
        <v>1</v>
      </c>
      <c r="J555" s="7">
        <v>0.14000000000000001</v>
      </c>
      <c r="K555" s="6" t="str">
        <f t="shared" si="49"/>
        <v>Tuesday</v>
      </c>
      <c r="L555" s="2" t="str">
        <f t="shared" si="50"/>
        <v>January</v>
      </c>
      <c r="M555" s="2" t="str">
        <f t="shared" si="51"/>
        <v>Spring</v>
      </c>
      <c r="N555" s="2" t="str">
        <f t="shared" si="52"/>
        <v>Tuesday</v>
      </c>
      <c r="O555" t="str">
        <f t="shared" si="53"/>
        <v>Clear</v>
      </c>
    </row>
    <row r="556" spans="1:15" x14ac:dyDescent="0.25">
      <c r="A556" s="8">
        <v>554</v>
      </c>
      <c r="B556" s="9">
        <v>40568</v>
      </c>
      <c r="C556" s="6">
        <v>1</v>
      </c>
      <c r="D556" s="6" t="str">
        <f t="shared" si="48"/>
        <v>2011</v>
      </c>
      <c r="E556" s="6">
        <v>1</v>
      </c>
      <c r="F556" s="6">
        <v>6</v>
      </c>
      <c r="G556" s="6" t="b">
        <v>0</v>
      </c>
      <c r="H556" s="6">
        <v>2</v>
      </c>
      <c r="I556" s="6">
        <v>1</v>
      </c>
      <c r="J556" s="7">
        <v>0.16</v>
      </c>
      <c r="K556" s="6" t="str">
        <f t="shared" si="49"/>
        <v>Tuesday</v>
      </c>
      <c r="L556" s="2" t="str">
        <f t="shared" si="50"/>
        <v>January</v>
      </c>
      <c r="M556" s="2" t="str">
        <f t="shared" si="51"/>
        <v>Spring</v>
      </c>
      <c r="N556" s="2" t="str">
        <f t="shared" si="52"/>
        <v>Tuesday</v>
      </c>
      <c r="O556" t="str">
        <f t="shared" si="53"/>
        <v>Clear</v>
      </c>
    </row>
    <row r="557" spans="1:15" x14ac:dyDescent="0.25">
      <c r="A557" s="8">
        <v>555</v>
      </c>
      <c r="B557" s="9">
        <v>40568</v>
      </c>
      <c r="C557" s="6">
        <v>1</v>
      </c>
      <c r="D557" s="6" t="str">
        <f t="shared" si="48"/>
        <v>2011</v>
      </c>
      <c r="E557" s="6">
        <v>1</v>
      </c>
      <c r="F557" s="6">
        <v>7</v>
      </c>
      <c r="G557" s="6" t="b">
        <v>0</v>
      </c>
      <c r="H557" s="6">
        <v>2</v>
      </c>
      <c r="I557" s="6">
        <v>1</v>
      </c>
      <c r="J557" s="7">
        <v>0.16</v>
      </c>
      <c r="K557" s="6" t="str">
        <f t="shared" si="49"/>
        <v>Tuesday</v>
      </c>
      <c r="L557" s="2" t="str">
        <f t="shared" si="50"/>
        <v>January</v>
      </c>
      <c r="M557" s="2" t="str">
        <f t="shared" si="51"/>
        <v>Spring</v>
      </c>
      <c r="N557" s="2" t="str">
        <f t="shared" si="52"/>
        <v>Tuesday</v>
      </c>
      <c r="O557" t="str">
        <f t="shared" si="53"/>
        <v>Clear</v>
      </c>
    </row>
    <row r="558" spans="1:15" x14ac:dyDescent="0.25">
      <c r="A558" s="8">
        <v>556</v>
      </c>
      <c r="B558" s="9">
        <v>40568</v>
      </c>
      <c r="C558" s="6">
        <v>1</v>
      </c>
      <c r="D558" s="6" t="str">
        <f t="shared" si="48"/>
        <v>2011</v>
      </c>
      <c r="E558" s="6">
        <v>1</v>
      </c>
      <c r="F558" s="6">
        <v>8</v>
      </c>
      <c r="G558" s="6" t="b">
        <v>0</v>
      </c>
      <c r="H558" s="6">
        <v>2</v>
      </c>
      <c r="I558" s="6">
        <v>2</v>
      </c>
      <c r="J558" s="7">
        <v>0.16</v>
      </c>
      <c r="K558" s="6" t="str">
        <f t="shared" si="49"/>
        <v>Tuesday</v>
      </c>
      <c r="L558" s="2" t="str">
        <f t="shared" si="50"/>
        <v>January</v>
      </c>
      <c r="M558" s="2" t="str">
        <f t="shared" si="51"/>
        <v>Spring</v>
      </c>
      <c r="N558" s="2" t="str">
        <f t="shared" si="52"/>
        <v>Tuesday</v>
      </c>
      <c r="O558" t="str">
        <f t="shared" si="53"/>
        <v>Cloudy</v>
      </c>
    </row>
    <row r="559" spans="1:15" x14ac:dyDescent="0.25">
      <c r="A559" s="8">
        <v>557</v>
      </c>
      <c r="B559" s="9">
        <v>40568</v>
      </c>
      <c r="C559" s="6">
        <v>1</v>
      </c>
      <c r="D559" s="6" t="str">
        <f t="shared" si="48"/>
        <v>2011</v>
      </c>
      <c r="E559" s="6">
        <v>1</v>
      </c>
      <c r="F559" s="6">
        <v>9</v>
      </c>
      <c r="G559" s="6" t="b">
        <v>0</v>
      </c>
      <c r="H559" s="6">
        <v>2</v>
      </c>
      <c r="I559" s="6">
        <v>2</v>
      </c>
      <c r="J559" s="7">
        <v>0.2</v>
      </c>
      <c r="K559" s="6" t="str">
        <f t="shared" si="49"/>
        <v>Tuesday</v>
      </c>
      <c r="L559" s="2" t="str">
        <f t="shared" si="50"/>
        <v>January</v>
      </c>
      <c r="M559" s="2" t="str">
        <f t="shared" si="51"/>
        <v>Spring</v>
      </c>
      <c r="N559" s="2" t="str">
        <f t="shared" si="52"/>
        <v>Tuesday</v>
      </c>
      <c r="O559" t="str">
        <f t="shared" si="53"/>
        <v>Cloudy</v>
      </c>
    </row>
    <row r="560" spans="1:15" x14ac:dyDescent="0.25">
      <c r="A560" s="8">
        <v>558</v>
      </c>
      <c r="B560" s="9">
        <v>40568</v>
      </c>
      <c r="C560" s="6">
        <v>1</v>
      </c>
      <c r="D560" s="6" t="str">
        <f t="shared" si="48"/>
        <v>2011</v>
      </c>
      <c r="E560" s="6">
        <v>1</v>
      </c>
      <c r="F560" s="6">
        <v>10</v>
      </c>
      <c r="G560" s="6" t="b">
        <v>0</v>
      </c>
      <c r="H560" s="6">
        <v>2</v>
      </c>
      <c r="I560" s="6">
        <v>2</v>
      </c>
      <c r="J560" s="7">
        <v>0.22</v>
      </c>
      <c r="K560" s="6" t="str">
        <f t="shared" si="49"/>
        <v>Tuesday</v>
      </c>
      <c r="L560" s="2" t="str">
        <f t="shared" si="50"/>
        <v>January</v>
      </c>
      <c r="M560" s="2" t="str">
        <f t="shared" si="51"/>
        <v>Spring</v>
      </c>
      <c r="N560" s="2" t="str">
        <f t="shared" si="52"/>
        <v>Tuesday</v>
      </c>
      <c r="O560" t="str">
        <f t="shared" si="53"/>
        <v>Cloudy</v>
      </c>
    </row>
    <row r="561" spans="1:15" x14ac:dyDescent="0.25">
      <c r="A561" s="8">
        <v>559</v>
      </c>
      <c r="B561" s="9">
        <v>40568</v>
      </c>
      <c r="C561" s="6">
        <v>1</v>
      </c>
      <c r="D561" s="6" t="str">
        <f t="shared" si="48"/>
        <v>2011</v>
      </c>
      <c r="E561" s="6">
        <v>1</v>
      </c>
      <c r="F561" s="6">
        <v>11</v>
      </c>
      <c r="G561" s="6" t="b">
        <v>0</v>
      </c>
      <c r="H561" s="6">
        <v>2</v>
      </c>
      <c r="I561" s="6">
        <v>2</v>
      </c>
      <c r="J561" s="7">
        <v>0.24</v>
      </c>
      <c r="K561" s="6" t="str">
        <f t="shared" si="49"/>
        <v>Tuesday</v>
      </c>
      <c r="L561" s="2" t="str">
        <f t="shared" si="50"/>
        <v>January</v>
      </c>
      <c r="M561" s="2" t="str">
        <f t="shared" si="51"/>
        <v>Spring</v>
      </c>
      <c r="N561" s="2" t="str">
        <f t="shared" si="52"/>
        <v>Tuesday</v>
      </c>
      <c r="O561" t="str">
        <f t="shared" si="53"/>
        <v>Cloudy</v>
      </c>
    </row>
    <row r="562" spans="1:15" x14ac:dyDescent="0.25">
      <c r="A562" s="8">
        <v>560</v>
      </c>
      <c r="B562" s="9">
        <v>40568</v>
      </c>
      <c r="C562" s="6">
        <v>1</v>
      </c>
      <c r="D562" s="6" t="str">
        <f t="shared" si="48"/>
        <v>2011</v>
      </c>
      <c r="E562" s="6">
        <v>1</v>
      </c>
      <c r="F562" s="6">
        <v>12</v>
      </c>
      <c r="G562" s="6" t="b">
        <v>0</v>
      </c>
      <c r="H562" s="6">
        <v>2</v>
      </c>
      <c r="I562" s="6">
        <v>2</v>
      </c>
      <c r="J562" s="7">
        <v>0.26</v>
      </c>
      <c r="K562" s="6" t="str">
        <f t="shared" si="49"/>
        <v>Tuesday</v>
      </c>
      <c r="L562" s="2" t="str">
        <f t="shared" si="50"/>
        <v>January</v>
      </c>
      <c r="M562" s="2" t="str">
        <f t="shared" si="51"/>
        <v>Spring</v>
      </c>
      <c r="N562" s="2" t="str">
        <f t="shared" si="52"/>
        <v>Tuesday</v>
      </c>
      <c r="O562" t="str">
        <f t="shared" si="53"/>
        <v>Cloudy</v>
      </c>
    </row>
    <row r="563" spans="1:15" x14ac:dyDescent="0.25">
      <c r="A563" s="8">
        <v>561</v>
      </c>
      <c r="B563" s="9">
        <v>40568</v>
      </c>
      <c r="C563" s="6">
        <v>1</v>
      </c>
      <c r="D563" s="6" t="str">
        <f t="shared" si="48"/>
        <v>2011</v>
      </c>
      <c r="E563" s="6">
        <v>1</v>
      </c>
      <c r="F563" s="6">
        <v>13</v>
      </c>
      <c r="G563" s="6" t="b">
        <v>0</v>
      </c>
      <c r="H563" s="6">
        <v>2</v>
      </c>
      <c r="I563" s="6">
        <v>2</v>
      </c>
      <c r="J563" s="7">
        <v>0.26</v>
      </c>
      <c r="K563" s="6" t="str">
        <f t="shared" si="49"/>
        <v>Tuesday</v>
      </c>
      <c r="L563" s="2" t="str">
        <f t="shared" si="50"/>
        <v>January</v>
      </c>
      <c r="M563" s="2" t="str">
        <f t="shared" si="51"/>
        <v>Spring</v>
      </c>
      <c r="N563" s="2" t="str">
        <f t="shared" si="52"/>
        <v>Tuesday</v>
      </c>
      <c r="O563" t="str">
        <f t="shared" si="53"/>
        <v>Cloudy</v>
      </c>
    </row>
    <row r="564" spans="1:15" x14ac:dyDescent="0.25">
      <c r="A564" s="8">
        <v>562</v>
      </c>
      <c r="B564" s="9">
        <v>40568</v>
      </c>
      <c r="C564" s="6">
        <v>1</v>
      </c>
      <c r="D564" s="6" t="str">
        <f t="shared" si="48"/>
        <v>2011</v>
      </c>
      <c r="E564" s="6">
        <v>1</v>
      </c>
      <c r="F564" s="6">
        <v>14</v>
      </c>
      <c r="G564" s="6" t="b">
        <v>0</v>
      </c>
      <c r="H564" s="6">
        <v>2</v>
      </c>
      <c r="I564" s="6">
        <v>2</v>
      </c>
      <c r="J564" s="7">
        <v>0.3</v>
      </c>
      <c r="K564" s="6" t="str">
        <f t="shared" si="49"/>
        <v>Tuesday</v>
      </c>
      <c r="L564" s="2" t="str">
        <f t="shared" si="50"/>
        <v>January</v>
      </c>
      <c r="M564" s="2" t="str">
        <f t="shared" si="51"/>
        <v>Spring</v>
      </c>
      <c r="N564" s="2" t="str">
        <f t="shared" si="52"/>
        <v>Tuesday</v>
      </c>
      <c r="O564" t="str">
        <f t="shared" si="53"/>
        <v>Cloudy</v>
      </c>
    </row>
    <row r="565" spans="1:15" x14ac:dyDescent="0.25">
      <c r="A565" s="8">
        <v>563</v>
      </c>
      <c r="B565" s="9">
        <v>40568</v>
      </c>
      <c r="C565" s="6">
        <v>1</v>
      </c>
      <c r="D565" s="6" t="str">
        <f t="shared" si="48"/>
        <v>2011</v>
      </c>
      <c r="E565" s="6">
        <v>1</v>
      </c>
      <c r="F565" s="6">
        <v>15</v>
      </c>
      <c r="G565" s="6" t="b">
        <v>0</v>
      </c>
      <c r="H565" s="6">
        <v>2</v>
      </c>
      <c r="I565" s="6">
        <v>2</v>
      </c>
      <c r="J565" s="7">
        <v>0.32</v>
      </c>
      <c r="K565" s="6" t="str">
        <f t="shared" si="49"/>
        <v>Tuesday</v>
      </c>
      <c r="L565" s="2" t="str">
        <f t="shared" si="50"/>
        <v>January</v>
      </c>
      <c r="M565" s="2" t="str">
        <f t="shared" si="51"/>
        <v>Spring</v>
      </c>
      <c r="N565" s="2" t="str">
        <f t="shared" si="52"/>
        <v>Tuesday</v>
      </c>
      <c r="O565" t="str">
        <f t="shared" si="53"/>
        <v>Cloudy</v>
      </c>
    </row>
    <row r="566" spans="1:15" x14ac:dyDescent="0.25">
      <c r="A566" s="8">
        <v>564</v>
      </c>
      <c r="B566" s="9">
        <v>40568</v>
      </c>
      <c r="C566" s="6">
        <v>1</v>
      </c>
      <c r="D566" s="6" t="str">
        <f t="shared" si="48"/>
        <v>2011</v>
      </c>
      <c r="E566" s="6">
        <v>1</v>
      </c>
      <c r="F566" s="6">
        <v>16</v>
      </c>
      <c r="G566" s="6" t="b">
        <v>0</v>
      </c>
      <c r="H566" s="6">
        <v>2</v>
      </c>
      <c r="I566" s="6">
        <v>2</v>
      </c>
      <c r="J566" s="7">
        <v>0.32</v>
      </c>
      <c r="K566" s="6" t="str">
        <f t="shared" si="49"/>
        <v>Tuesday</v>
      </c>
      <c r="L566" s="2" t="str">
        <f t="shared" si="50"/>
        <v>January</v>
      </c>
      <c r="M566" s="2" t="str">
        <f t="shared" si="51"/>
        <v>Spring</v>
      </c>
      <c r="N566" s="2" t="str">
        <f t="shared" si="52"/>
        <v>Tuesday</v>
      </c>
      <c r="O566" t="str">
        <f t="shared" si="53"/>
        <v>Cloudy</v>
      </c>
    </row>
    <row r="567" spans="1:15" x14ac:dyDescent="0.25">
      <c r="A567" s="8">
        <v>565</v>
      </c>
      <c r="B567" s="9">
        <v>40568</v>
      </c>
      <c r="C567" s="6">
        <v>1</v>
      </c>
      <c r="D567" s="6" t="str">
        <f t="shared" si="48"/>
        <v>2011</v>
      </c>
      <c r="E567" s="6">
        <v>1</v>
      </c>
      <c r="F567" s="6">
        <v>17</v>
      </c>
      <c r="G567" s="6" t="b">
        <v>0</v>
      </c>
      <c r="H567" s="6">
        <v>2</v>
      </c>
      <c r="I567" s="6">
        <v>1</v>
      </c>
      <c r="J567" s="7">
        <v>0.3</v>
      </c>
      <c r="K567" s="6" t="str">
        <f t="shared" si="49"/>
        <v>Tuesday</v>
      </c>
      <c r="L567" s="2" t="str">
        <f t="shared" si="50"/>
        <v>January</v>
      </c>
      <c r="M567" s="2" t="str">
        <f t="shared" si="51"/>
        <v>Spring</v>
      </c>
      <c r="N567" s="2" t="str">
        <f t="shared" si="52"/>
        <v>Tuesday</v>
      </c>
      <c r="O567" t="str">
        <f t="shared" si="53"/>
        <v>Clear</v>
      </c>
    </row>
    <row r="568" spans="1:15" x14ac:dyDescent="0.25">
      <c r="A568" s="8">
        <v>566</v>
      </c>
      <c r="B568" s="9">
        <v>40568</v>
      </c>
      <c r="C568" s="6">
        <v>1</v>
      </c>
      <c r="D568" s="6" t="str">
        <f t="shared" si="48"/>
        <v>2011</v>
      </c>
      <c r="E568" s="6">
        <v>1</v>
      </c>
      <c r="F568" s="6">
        <v>18</v>
      </c>
      <c r="G568" s="6" t="b">
        <v>0</v>
      </c>
      <c r="H568" s="6">
        <v>2</v>
      </c>
      <c r="I568" s="6">
        <v>2</v>
      </c>
      <c r="J568" s="7">
        <v>0.3</v>
      </c>
      <c r="K568" s="6" t="str">
        <f t="shared" si="49"/>
        <v>Tuesday</v>
      </c>
      <c r="L568" s="2" t="str">
        <f t="shared" si="50"/>
        <v>January</v>
      </c>
      <c r="M568" s="2" t="str">
        <f t="shared" si="51"/>
        <v>Spring</v>
      </c>
      <c r="N568" s="2" t="str">
        <f t="shared" si="52"/>
        <v>Tuesday</v>
      </c>
      <c r="O568" t="str">
        <f t="shared" si="53"/>
        <v>Cloudy</v>
      </c>
    </row>
    <row r="569" spans="1:15" x14ac:dyDescent="0.25">
      <c r="A569" s="8">
        <v>567</v>
      </c>
      <c r="B569" s="9">
        <v>40568</v>
      </c>
      <c r="C569" s="6">
        <v>1</v>
      </c>
      <c r="D569" s="6" t="str">
        <f t="shared" si="48"/>
        <v>2011</v>
      </c>
      <c r="E569" s="6">
        <v>1</v>
      </c>
      <c r="F569" s="6">
        <v>19</v>
      </c>
      <c r="G569" s="6" t="b">
        <v>0</v>
      </c>
      <c r="H569" s="6">
        <v>2</v>
      </c>
      <c r="I569" s="6">
        <v>2</v>
      </c>
      <c r="J569" s="7">
        <v>0.26</v>
      </c>
      <c r="K569" s="6" t="str">
        <f t="shared" si="49"/>
        <v>Tuesday</v>
      </c>
      <c r="L569" s="2" t="str">
        <f t="shared" si="50"/>
        <v>January</v>
      </c>
      <c r="M569" s="2" t="str">
        <f t="shared" si="51"/>
        <v>Spring</v>
      </c>
      <c r="N569" s="2" t="str">
        <f t="shared" si="52"/>
        <v>Tuesday</v>
      </c>
      <c r="O569" t="str">
        <f t="shared" si="53"/>
        <v>Cloudy</v>
      </c>
    </row>
    <row r="570" spans="1:15" x14ac:dyDescent="0.25">
      <c r="A570" s="8">
        <v>568</v>
      </c>
      <c r="B570" s="9">
        <v>40568</v>
      </c>
      <c r="C570" s="6">
        <v>1</v>
      </c>
      <c r="D570" s="6" t="str">
        <f t="shared" si="48"/>
        <v>2011</v>
      </c>
      <c r="E570" s="6">
        <v>1</v>
      </c>
      <c r="F570" s="6">
        <v>20</v>
      </c>
      <c r="G570" s="6" t="b">
        <v>0</v>
      </c>
      <c r="H570" s="6">
        <v>2</v>
      </c>
      <c r="I570" s="6">
        <v>1</v>
      </c>
      <c r="J570" s="7">
        <v>0.24</v>
      </c>
      <c r="K570" s="6" t="str">
        <f t="shared" si="49"/>
        <v>Tuesday</v>
      </c>
      <c r="L570" s="2" t="str">
        <f t="shared" si="50"/>
        <v>January</v>
      </c>
      <c r="M570" s="2" t="str">
        <f t="shared" si="51"/>
        <v>Spring</v>
      </c>
      <c r="N570" s="2" t="str">
        <f t="shared" si="52"/>
        <v>Tuesday</v>
      </c>
      <c r="O570" t="str">
        <f t="shared" si="53"/>
        <v>Clear</v>
      </c>
    </row>
    <row r="571" spans="1:15" x14ac:dyDescent="0.25">
      <c r="A571" s="8">
        <v>569</v>
      </c>
      <c r="B571" s="9">
        <v>40568</v>
      </c>
      <c r="C571" s="6">
        <v>1</v>
      </c>
      <c r="D571" s="6" t="str">
        <f t="shared" si="48"/>
        <v>2011</v>
      </c>
      <c r="E571" s="6">
        <v>1</v>
      </c>
      <c r="F571" s="6">
        <v>21</v>
      </c>
      <c r="G571" s="6" t="b">
        <v>0</v>
      </c>
      <c r="H571" s="6">
        <v>2</v>
      </c>
      <c r="I571" s="6">
        <v>1</v>
      </c>
      <c r="J571" s="7">
        <v>0.24</v>
      </c>
      <c r="K571" s="6" t="str">
        <f t="shared" si="49"/>
        <v>Tuesday</v>
      </c>
      <c r="L571" s="2" t="str">
        <f t="shared" si="50"/>
        <v>January</v>
      </c>
      <c r="M571" s="2" t="str">
        <f t="shared" si="51"/>
        <v>Spring</v>
      </c>
      <c r="N571" s="2" t="str">
        <f t="shared" si="52"/>
        <v>Tuesday</v>
      </c>
      <c r="O571" t="str">
        <f t="shared" si="53"/>
        <v>Clear</v>
      </c>
    </row>
    <row r="572" spans="1:15" x14ac:dyDescent="0.25">
      <c r="A572" s="8">
        <v>570</v>
      </c>
      <c r="B572" s="9">
        <v>40568</v>
      </c>
      <c r="C572" s="6">
        <v>1</v>
      </c>
      <c r="D572" s="6" t="str">
        <f t="shared" si="48"/>
        <v>2011</v>
      </c>
      <c r="E572" s="6">
        <v>1</v>
      </c>
      <c r="F572" s="6">
        <v>22</v>
      </c>
      <c r="G572" s="6" t="b">
        <v>0</v>
      </c>
      <c r="H572" s="6">
        <v>2</v>
      </c>
      <c r="I572" s="6">
        <v>1</v>
      </c>
      <c r="J572" s="7">
        <v>0.22</v>
      </c>
      <c r="K572" s="6" t="str">
        <f t="shared" si="49"/>
        <v>Tuesday</v>
      </c>
      <c r="L572" s="2" t="str">
        <f t="shared" si="50"/>
        <v>January</v>
      </c>
      <c r="M572" s="2" t="str">
        <f t="shared" si="51"/>
        <v>Spring</v>
      </c>
      <c r="N572" s="2" t="str">
        <f t="shared" si="52"/>
        <v>Tuesday</v>
      </c>
      <c r="O572" t="str">
        <f t="shared" si="53"/>
        <v>Clear</v>
      </c>
    </row>
    <row r="573" spans="1:15" x14ac:dyDescent="0.25">
      <c r="A573" s="8">
        <v>571</v>
      </c>
      <c r="B573" s="9">
        <v>40568</v>
      </c>
      <c r="C573" s="6">
        <v>1</v>
      </c>
      <c r="D573" s="6" t="str">
        <f t="shared" si="48"/>
        <v>2011</v>
      </c>
      <c r="E573" s="6">
        <v>1</v>
      </c>
      <c r="F573" s="6">
        <v>23</v>
      </c>
      <c r="G573" s="6" t="b">
        <v>0</v>
      </c>
      <c r="H573" s="6">
        <v>2</v>
      </c>
      <c r="I573" s="6">
        <v>2</v>
      </c>
      <c r="J573" s="7">
        <v>0.22</v>
      </c>
      <c r="K573" s="6" t="str">
        <f t="shared" si="49"/>
        <v>Tuesday</v>
      </c>
      <c r="L573" s="2" t="str">
        <f t="shared" si="50"/>
        <v>January</v>
      </c>
      <c r="M573" s="2" t="str">
        <f t="shared" si="51"/>
        <v>Spring</v>
      </c>
      <c r="N573" s="2" t="str">
        <f t="shared" si="52"/>
        <v>Tuesday</v>
      </c>
      <c r="O573" t="str">
        <f t="shared" si="53"/>
        <v>Cloudy</v>
      </c>
    </row>
    <row r="574" spans="1:15" x14ac:dyDescent="0.25">
      <c r="A574" s="8">
        <v>572</v>
      </c>
      <c r="B574" s="9">
        <v>40569</v>
      </c>
      <c r="C574" s="6">
        <v>1</v>
      </c>
      <c r="D574" s="6" t="str">
        <f t="shared" si="48"/>
        <v>2011</v>
      </c>
      <c r="E574" s="6">
        <v>1</v>
      </c>
      <c r="F574" s="6">
        <v>0</v>
      </c>
      <c r="G574" s="6" t="b">
        <v>0</v>
      </c>
      <c r="H574" s="6">
        <v>3</v>
      </c>
      <c r="I574" s="6">
        <v>2</v>
      </c>
      <c r="J574" s="7">
        <v>0.22</v>
      </c>
      <c r="K574" s="6" t="str">
        <f t="shared" si="49"/>
        <v>Wednesday</v>
      </c>
      <c r="L574" s="2" t="str">
        <f t="shared" si="50"/>
        <v>January</v>
      </c>
      <c r="M574" s="2" t="str">
        <f t="shared" si="51"/>
        <v>Spring</v>
      </c>
      <c r="N574" s="2" t="str">
        <f t="shared" si="52"/>
        <v>Wednesday</v>
      </c>
      <c r="O574" t="str">
        <f t="shared" si="53"/>
        <v>Cloudy</v>
      </c>
    </row>
    <row r="575" spans="1:15" x14ac:dyDescent="0.25">
      <c r="A575" s="8">
        <v>573</v>
      </c>
      <c r="B575" s="9">
        <v>40569</v>
      </c>
      <c r="C575" s="6">
        <v>1</v>
      </c>
      <c r="D575" s="6" t="str">
        <f t="shared" si="48"/>
        <v>2011</v>
      </c>
      <c r="E575" s="6">
        <v>1</v>
      </c>
      <c r="F575" s="6">
        <v>1</v>
      </c>
      <c r="G575" s="6" t="b">
        <v>0</v>
      </c>
      <c r="H575" s="6">
        <v>3</v>
      </c>
      <c r="I575" s="6">
        <v>2</v>
      </c>
      <c r="J575" s="7">
        <v>0.24</v>
      </c>
      <c r="K575" s="6" t="str">
        <f t="shared" si="49"/>
        <v>Wednesday</v>
      </c>
      <c r="L575" s="2" t="str">
        <f t="shared" si="50"/>
        <v>January</v>
      </c>
      <c r="M575" s="2" t="str">
        <f t="shared" si="51"/>
        <v>Spring</v>
      </c>
      <c r="N575" s="2" t="str">
        <f t="shared" si="52"/>
        <v>Wednesday</v>
      </c>
      <c r="O575" t="str">
        <f t="shared" si="53"/>
        <v>Cloudy</v>
      </c>
    </row>
    <row r="576" spans="1:15" x14ac:dyDescent="0.25">
      <c r="A576" s="8">
        <v>574</v>
      </c>
      <c r="B576" s="9">
        <v>40569</v>
      </c>
      <c r="C576" s="6">
        <v>1</v>
      </c>
      <c r="D576" s="6" t="str">
        <f t="shared" si="48"/>
        <v>2011</v>
      </c>
      <c r="E576" s="6">
        <v>1</v>
      </c>
      <c r="F576" s="6">
        <v>2</v>
      </c>
      <c r="G576" s="6" t="b">
        <v>0</v>
      </c>
      <c r="H576" s="6">
        <v>3</v>
      </c>
      <c r="I576" s="6">
        <v>3</v>
      </c>
      <c r="J576" s="7">
        <v>0.22</v>
      </c>
      <c r="K576" s="6" t="str">
        <f t="shared" si="49"/>
        <v>Wednesday</v>
      </c>
      <c r="L576" s="2" t="str">
        <f t="shared" si="50"/>
        <v>January</v>
      </c>
      <c r="M576" s="2" t="str">
        <f t="shared" si="51"/>
        <v>Spring</v>
      </c>
      <c r="N576" s="2" t="str">
        <f t="shared" si="52"/>
        <v>Wednesday</v>
      </c>
      <c r="O576" t="str">
        <f t="shared" si="53"/>
        <v>Rain</v>
      </c>
    </row>
    <row r="577" spans="1:15" x14ac:dyDescent="0.25">
      <c r="A577" s="8">
        <v>575</v>
      </c>
      <c r="B577" s="9">
        <v>40569</v>
      </c>
      <c r="C577" s="6">
        <v>1</v>
      </c>
      <c r="D577" s="6" t="str">
        <f t="shared" si="48"/>
        <v>2011</v>
      </c>
      <c r="E577" s="6">
        <v>1</v>
      </c>
      <c r="F577" s="6">
        <v>5</v>
      </c>
      <c r="G577" s="6" t="b">
        <v>0</v>
      </c>
      <c r="H577" s="6">
        <v>3</v>
      </c>
      <c r="I577" s="6">
        <v>3</v>
      </c>
      <c r="J577" s="7">
        <v>0.2</v>
      </c>
      <c r="K577" s="6" t="str">
        <f t="shared" si="49"/>
        <v>Wednesday</v>
      </c>
      <c r="L577" s="2" t="str">
        <f t="shared" si="50"/>
        <v>January</v>
      </c>
      <c r="M577" s="2" t="str">
        <f t="shared" si="51"/>
        <v>Spring</v>
      </c>
      <c r="N577" s="2" t="str">
        <f t="shared" si="52"/>
        <v>Wednesday</v>
      </c>
      <c r="O577" t="str">
        <f t="shared" si="53"/>
        <v>Rain</v>
      </c>
    </row>
    <row r="578" spans="1:15" x14ac:dyDescent="0.25">
      <c r="A578" s="8">
        <v>576</v>
      </c>
      <c r="B578" s="9">
        <v>40569</v>
      </c>
      <c r="C578" s="6">
        <v>1</v>
      </c>
      <c r="D578" s="6" t="str">
        <f t="shared" si="48"/>
        <v>2011</v>
      </c>
      <c r="E578" s="6">
        <v>1</v>
      </c>
      <c r="F578" s="6">
        <v>6</v>
      </c>
      <c r="G578" s="6" t="b">
        <v>0</v>
      </c>
      <c r="H578" s="6">
        <v>3</v>
      </c>
      <c r="I578" s="6">
        <v>3</v>
      </c>
      <c r="J578" s="7">
        <v>0.2</v>
      </c>
      <c r="K578" s="6" t="str">
        <f t="shared" si="49"/>
        <v>Wednesday</v>
      </c>
      <c r="L578" s="2" t="str">
        <f t="shared" si="50"/>
        <v>January</v>
      </c>
      <c r="M578" s="2" t="str">
        <f t="shared" si="51"/>
        <v>Spring</v>
      </c>
      <c r="N578" s="2" t="str">
        <f t="shared" si="52"/>
        <v>Wednesday</v>
      </c>
      <c r="O578" t="str">
        <f t="shared" si="53"/>
        <v>Rain</v>
      </c>
    </row>
    <row r="579" spans="1:15" x14ac:dyDescent="0.25">
      <c r="A579" s="8">
        <v>577</v>
      </c>
      <c r="B579" s="9">
        <v>40569</v>
      </c>
      <c r="C579" s="6">
        <v>1</v>
      </c>
      <c r="D579" s="6" t="str">
        <f t="shared" si="48"/>
        <v>2011</v>
      </c>
      <c r="E579" s="6">
        <v>1</v>
      </c>
      <c r="F579" s="6">
        <v>7</v>
      </c>
      <c r="G579" s="6" t="b">
        <v>0</v>
      </c>
      <c r="H579" s="6">
        <v>3</v>
      </c>
      <c r="I579" s="6">
        <v>3</v>
      </c>
      <c r="J579" s="7">
        <v>0.22</v>
      </c>
      <c r="K579" s="6" t="str">
        <f t="shared" si="49"/>
        <v>Wednesday</v>
      </c>
      <c r="L579" s="2" t="str">
        <f t="shared" si="50"/>
        <v>January</v>
      </c>
      <c r="M579" s="2" t="str">
        <f t="shared" si="51"/>
        <v>Spring</v>
      </c>
      <c r="N579" s="2" t="str">
        <f t="shared" si="52"/>
        <v>Wednesday</v>
      </c>
      <c r="O579" t="str">
        <f t="shared" si="53"/>
        <v>Rain</v>
      </c>
    </row>
    <row r="580" spans="1:15" x14ac:dyDescent="0.25">
      <c r="A580" s="8">
        <v>578</v>
      </c>
      <c r="B580" s="9">
        <v>40569</v>
      </c>
      <c r="C580" s="6">
        <v>1</v>
      </c>
      <c r="D580" s="6" t="str">
        <f t="shared" ref="D580:D612" si="54">TEXT(B580,"yyyy")</f>
        <v>2011</v>
      </c>
      <c r="E580" s="6">
        <v>1</v>
      </c>
      <c r="F580" s="6">
        <v>8</v>
      </c>
      <c r="G580" s="6" t="b">
        <v>0</v>
      </c>
      <c r="H580" s="6">
        <v>3</v>
      </c>
      <c r="I580" s="6">
        <v>3</v>
      </c>
      <c r="J580" s="7">
        <v>0.22</v>
      </c>
      <c r="K580" s="6" t="str">
        <f t="shared" ref="K580:K612" si="55">TEXT(B580,"dddd")</f>
        <v>Wednesday</v>
      </c>
      <c r="L580" s="2" t="str">
        <f t="shared" ref="L580:L612" si="56">TEXT(B580,"mmmm")</f>
        <v>January</v>
      </c>
      <c r="M580" s="2" t="str">
        <f t="shared" ref="M580:M612" si="57">IF(C580=1,"Spring",IF(C580=2,"Summer",IF(C580=3,"Fall","Winter")))</f>
        <v>Spring</v>
      </c>
      <c r="N580" s="2" t="str">
        <f t="shared" ref="N580:N612" si="58">IF(H580=0,"Sunday",IF(H580=1,"Monday",IF(H580=2,"Tuesday",IF(H580=3,"Wednesday",IF(H580=4,"Thursday",IF(H580=5,"Friday","Saturday"))))))</f>
        <v>Wednesday</v>
      </c>
      <c r="O580" t="str">
        <f t="shared" si="53"/>
        <v>Rain</v>
      </c>
    </row>
    <row r="581" spans="1:15" x14ac:dyDescent="0.25">
      <c r="A581" s="8">
        <v>579</v>
      </c>
      <c r="B581" s="9">
        <v>40569</v>
      </c>
      <c r="C581" s="6">
        <v>1</v>
      </c>
      <c r="D581" s="6" t="str">
        <f t="shared" si="54"/>
        <v>2011</v>
      </c>
      <c r="E581" s="6">
        <v>1</v>
      </c>
      <c r="F581" s="6">
        <v>9</v>
      </c>
      <c r="G581" s="6" t="b">
        <v>0</v>
      </c>
      <c r="H581" s="6">
        <v>3</v>
      </c>
      <c r="I581" s="6">
        <v>3</v>
      </c>
      <c r="J581" s="7">
        <v>0.22</v>
      </c>
      <c r="K581" s="6" t="str">
        <f t="shared" si="55"/>
        <v>Wednesday</v>
      </c>
      <c r="L581" s="2" t="str">
        <f t="shared" si="56"/>
        <v>January</v>
      </c>
      <c r="M581" s="2" t="str">
        <f t="shared" si="57"/>
        <v>Spring</v>
      </c>
      <c r="N581" s="2" t="str">
        <f t="shared" si="58"/>
        <v>Wednesday</v>
      </c>
      <c r="O581" t="str">
        <f t="shared" ref="O581:O612" si="59">IF(I581=1,"Clear",IF(I581=2,"Cloudy",IF(I581=3,"Rain","Heavy Rain")))</f>
        <v>Rain</v>
      </c>
    </row>
    <row r="582" spans="1:15" x14ac:dyDescent="0.25">
      <c r="A582" s="8">
        <v>580</v>
      </c>
      <c r="B582" s="9">
        <v>40569</v>
      </c>
      <c r="C582" s="6">
        <v>1</v>
      </c>
      <c r="D582" s="6" t="str">
        <f t="shared" si="54"/>
        <v>2011</v>
      </c>
      <c r="E582" s="6">
        <v>1</v>
      </c>
      <c r="F582" s="6">
        <v>10</v>
      </c>
      <c r="G582" s="6" t="b">
        <v>0</v>
      </c>
      <c r="H582" s="6">
        <v>3</v>
      </c>
      <c r="I582" s="6">
        <v>3</v>
      </c>
      <c r="J582" s="7">
        <v>0.22</v>
      </c>
      <c r="K582" s="6" t="str">
        <f t="shared" si="55"/>
        <v>Wednesday</v>
      </c>
      <c r="L582" s="2" t="str">
        <f t="shared" si="56"/>
        <v>January</v>
      </c>
      <c r="M582" s="2" t="str">
        <f t="shared" si="57"/>
        <v>Spring</v>
      </c>
      <c r="N582" s="2" t="str">
        <f t="shared" si="58"/>
        <v>Wednesday</v>
      </c>
      <c r="O582" t="str">
        <f t="shared" si="59"/>
        <v>Rain</v>
      </c>
    </row>
    <row r="583" spans="1:15" x14ac:dyDescent="0.25">
      <c r="A583" s="8">
        <v>581</v>
      </c>
      <c r="B583" s="9">
        <v>40569</v>
      </c>
      <c r="C583" s="6">
        <v>1</v>
      </c>
      <c r="D583" s="6" t="str">
        <f t="shared" si="54"/>
        <v>2011</v>
      </c>
      <c r="E583" s="6">
        <v>1</v>
      </c>
      <c r="F583" s="6">
        <v>11</v>
      </c>
      <c r="G583" s="6" t="b">
        <v>0</v>
      </c>
      <c r="H583" s="6">
        <v>3</v>
      </c>
      <c r="I583" s="6">
        <v>3</v>
      </c>
      <c r="J583" s="7">
        <v>0.22</v>
      </c>
      <c r="K583" s="6" t="str">
        <f t="shared" si="55"/>
        <v>Wednesday</v>
      </c>
      <c r="L583" s="2" t="str">
        <f t="shared" si="56"/>
        <v>January</v>
      </c>
      <c r="M583" s="2" t="str">
        <f t="shared" si="57"/>
        <v>Spring</v>
      </c>
      <c r="N583" s="2" t="str">
        <f t="shared" si="58"/>
        <v>Wednesday</v>
      </c>
      <c r="O583" t="str">
        <f t="shared" si="59"/>
        <v>Rain</v>
      </c>
    </row>
    <row r="584" spans="1:15" x14ac:dyDescent="0.25">
      <c r="A584" s="8">
        <v>582</v>
      </c>
      <c r="B584" s="9">
        <v>40569</v>
      </c>
      <c r="C584" s="6">
        <v>1</v>
      </c>
      <c r="D584" s="6" t="str">
        <f t="shared" si="54"/>
        <v>2011</v>
      </c>
      <c r="E584" s="6">
        <v>1</v>
      </c>
      <c r="F584" s="6">
        <v>12</v>
      </c>
      <c r="G584" s="6" t="b">
        <v>0</v>
      </c>
      <c r="H584" s="6">
        <v>3</v>
      </c>
      <c r="I584" s="6">
        <v>3</v>
      </c>
      <c r="J584" s="7">
        <v>0.22</v>
      </c>
      <c r="K584" s="6" t="str">
        <f t="shared" si="55"/>
        <v>Wednesday</v>
      </c>
      <c r="L584" s="2" t="str">
        <f t="shared" si="56"/>
        <v>January</v>
      </c>
      <c r="M584" s="2" t="str">
        <f t="shared" si="57"/>
        <v>Spring</v>
      </c>
      <c r="N584" s="2" t="str">
        <f t="shared" si="58"/>
        <v>Wednesday</v>
      </c>
      <c r="O584" t="str">
        <f t="shared" si="59"/>
        <v>Rain</v>
      </c>
    </row>
    <row r="585" spans="1:15" x14ac:dyDescent="0.25">
      <c r="A585" s="8">
        <v>583</v>
      </c>
      <c r="B585" s="9">
        <v>40569</v>
      </c>
      <c r="C585" s="6">
        <v>1</v>
      </c>
      <c r="D585" s="6" t="str">
        <f t="shared" si="54"/>
        <v>2011</v>
      </c>
      <c r="E585" s="6">
        <v>1</v>
      </c>
      <c r="F585" s="6">
        <v>13</v>
      </c>
      <c r="G585" s="6" t="b">
        <v>0</v>
      </c>
      <c r="H585" s="6">
        <v>3</v>
      </c>
      <c r="I585" s="6">
        <v>3</v>
      </c>
      <c r="J585" s="7">
        <v>0.22</v>
      </c>
      <c r="K585" s="6" t="str">
        <f t="shared" si="55"/>
        <v>Wednesday</v>
      </c>
      <c r="L585" s="2" t="str">
        <f t="shared" si="56"/>
        <v>January</v>
      </c>
      <c r="M585" s="2" t="str">
        <f t="shared" si="57"/>
        <v>Spring</v>
      </c>
      <c r="N585" s="2" t="str">
        <f t="shared" si="58"/>
        <v>Wednesday</v>
      </c>
      <c r="O585" t="str">
        <f t="shared" si="59"/>
        <v>Rain</v>
      </c>
    </row>
    <row r="586" spans="1:15" x14ac:dyDescent="0.25">
      <c r="A586" s="8">
        <v>584</v>
      </c>
      <c r="B586" s="9">
        <v>40569</v>
      </c>
      <c r="C586" s="6">
        <v>1</v>
      </c>
      <c r="D586" s="6" t="str">
        <f t="shared" si="54"/>
        <v>2011</v>
      </c>
      <c r="E586" s="6">
        <v>1</v>
      </c>
      <c r="F586" s="6">
        <v>14</v>
      </c>
      <c r="G586" s="6" t="b">
        <v>0</v>
      </c>
      <c r="H586" s="6">
        <v>3</v>
      </c>
      <c r="I586" s="6">
        <v>3</v>
      </c>
      <c r="J586" s="7">
        <v>0.22</v>
      </c>
      <c r="K586" s="6" t="str">
        <f t="shared" si="55"/>
        <v>Wednesday</v>
      </c>
      <c r="L586" s="2" t="str">
        <f t="shared" si="56"/>
        <v>January</v>
      </c>
      <c r="M586" s="2" t="str">
        <f t="shared" si="57"/>
        <v>Spring</v>
      </c>
      <c r="N586" s="2" t="str">
        <f t="shared" si="58"/>
        <v>Wednesday</v>
      </c>
      <c r="O586" t="str">
        <f t="shared" si="59"/>
        <v>Rain</v>
      </c>
    </row>
    <row r="587" spans="1:15" x14ac:dyDescent="0.25">
      <c r="A587" s="8">
        <v>585</v>
      </c>
      <c r="B587" s="9">
        <v>40569</v>
      </c>
      <c r="C587" s="6">
        <v>1</v>
      </c>
      <c r="D587" s="6" t="str">
        <f t="shared" si="54"/>
        <v>2011</v>
      </c>
      <c r="E587" s="6">
        <v>1</v>
      </c>
      <c r="F587" s="6">
        <v>15</v>
      </c>
      <c r="G587" s="6" t="b">
        <v>0</v>
      </c>
      <c r="H587" s="6">
        <v>3</v>
      </c>
      <c r="I587" s="6">
        <v>3</v>
      </c>
      <c r="J587" s="7">
        <v>0.22</v>
      </c>
      <c r="K587" s="6" t="str">
        <f t="shared" si="55"/>
        <v>Wednesday</v>
      </c>
      <c r="L587" s="2" t="str">
        <f t="shared" si="56"/>
        <v>January</v>
      </c>
      <c r="M587" s="2" t="str">
        <f t="shared" si="57"/>
        <v>Spring</v>
      </c>
      <c r="N587" s="2" t="str">
        <f t="shared" si="58"/>
        <v>Wednesday</v>
      </c>
      <c r="O587" t="str">
        <f t="shared" si="59"/>
        <v>Rain</v>
      </c>
    </row>
    <row r="588" spans="1:15" x14ac:dyDescent="0.25">
      <c r="A588" s="8">
        <v>586</v>
      </c>
      <c r="B588" s="9">
        <v>40569</v>
      </c>
      <c r="C588" s="6">
        <v>1</v>
      </c>
      <c r="D588" s="6" t="str">
        <f t="shared" si="54"/>
        <v>2011</v>
      </c>
      <c r="E588" s="6">
        <v>1</v>
      </c>
      <c r="F588" s="6">
        <v>16</v>
      </c>
      <c r="G588" s="6" t="b">
        <v>0</v>
      </c>
      <c r="H588" s="6">
        <v>3</v>
      </c>
      <c r="I588" s="6">
        <v>4</v>
      </c>
      <c r="J588" s="7">
        <v>0.22</v>
      </c>
      <c r="K588" s="6" t="str">
        <f t="shared" si="55"/>
        <v>Wednesday</v>
      </c>
      <c r="L588" s="2" t="str">
        <f t="shared" si="56"/>
        <v>January</v>
      </c>
      <c r="M588" s="2" t="str">
        <f t="shared" si="57"/>
        <v>Spring</v>
      </c>
      <c r="N588" s="2" t="str">
        <f t="shared" si="58"/>
        <v>Wednesday</v>
      </c>
      <c r="O588" t="str">
        <f t="shared" si="59"/>
        <v>Heavy Rain</v>
      </c>
    </row>
    <row r="589" spans="1:15" x14ac:dyDescent="0.25">
      <c r="A589" s="8">
        <v>587</v>
      </c>
      <c r="B589" s="9">
        <v>40569</v>
      </c>
      <c r="C589" s="6">
        <v>1</v>
      </c>
      <c r="D589" s="6" t="str">
        <f t="shared" si="54"/>
        <v>2011</v>
      </c>
      <c r="E589" s="6">
        <v>1</v>
      </c>
      <c r="F589" s="6">
        <v>17</v>
      </c>
      <c r="G589" s="6" t="b">
        <v>0</v>
      </c>
      <c r="H589" s="6">
        <v>3</v>
      </c>
      <c r="I589" s="6">
        <v>3</v>
      </c>
      <c r="J589" s="7">
        <v>0.2</v>
      </c>
      <c r="K589" s="6" t="str">
        <f t="shared" si="55"/>
        <v>Wednesday</v>
      </c>
      <c r="L589" s="2" t="str">
        <f t="shared" si="56"/>
        <v>January</v>
      </c>
      <c r="M589" s="2" t="str">
        <f t="shared" si="57"/>
        <v>Spring</v>
      </c>
      <c r="N589" s="2" t="str">
        <f t="shared" si="58"/>
        <v>Wednesday</v>
      </c>
      <c r="O589" t="str">
        <f t="shared" si="59"/>
        <v>Rain</v>
      </c>
    </row>
    <row r="590" spans="1:15" x14ac:dyDescent="0.25">
      <c r="A590" s="8">
        <v>588</v>
      </c>
      <c r="B590" s="9">
        <v>40570</v>
      </c>
      <c r="C590" s="6">
        <v>1</v>
      </c>
      <c r="D590" s="6" t="str">
        <f t="shared" si="54"/>
        <v>2011</v>
      </c>
      <c r="E590" s="6">
        <v>1</v>
      </c>
      <c r="F590" s="6">
        <v>16</v>
      </c>
      <c r="G590" s="6" t="b">
        <v>0</v>
      </c>
      <c r="H590" s="6">
        <v>4</v>
      </c>
      <c r="I590" s="6">
        <v>1</v>
      </c>
      <c r="J590" s="7">
        <v>0.22</v>
      </c>
      <c r="K590" s="6" t="str">
        <f t="shared" si="55"/>
        <v>Thursday</v>
      </c>
      <c r="L590" s="2" t="str">
        <f t="shared" si="56"/>
        <v>January</v>
      </c>
      <c r="M590" s="2" t="str">
        <f t="shared" si="57"/>
        <v>Spring</v>
      </c>
      <c r="N590" s="2" t="str">
        <f t="shared" si="58"/>
        <v>Thursday</v>
      </c>
      <c r="O590" t="str">
        <f t="shared" si="59"/>
        <v>Clear</v>
      </c>
    </row>
    <row r="591" spans="1:15" x14ac:dyDescent="0.25">
      <c r="A591" s="8">
        <v>589</v>
      </c>
      <c r="B591" s="9">
        <v>40570</v>
      </c>
      <c r="C591" s="6">
        <v>1</v>
      </c>
      <c r="D591" s="6" t="str">
        <f t="shared" si="54"/>
        <v>2011</v>
      </c>
      <c r="E591" s="6">
        <v>1</v>
      </c>
      <c r="F591" s="6">
        <v>17</v>
      </c>
      <c r="G591" s="6" t="b">
        <v>0</v>
      </c>
      <c r="H591" s="6">
        <v>4</v>
      </c>
      <c r="I591" s="6">
        <v>1</v>
      </c>
      <c r="J591" s="7">
        <v>0.22</v>
      </c>
      <c r="K591" s="6" t="str">
        <f t="shared" si="55"/>
        <v>Thursday</v>
      </c>
      <c r="L591" s="2" t="str">
        <f t="shared" si="56"/>
        <v>January</v>
      </c>
      <c r="M591" s="2" t="str">
        <f t="shared" si="57"/>
        <v>Spring</v>
      </c>
      <c r="N591" s="2" t="str">
        <f t="shared" si="58"/>
        <v>Thursday</v>
      </c>
      <c r="O591" t="str">
        <f t="shared" si="59"/>
        <v>Clear</v>
      </c>
    </row>
    <row r="592" spans="1:15" x14ac:dyDescent="0.25">
      <c r="A592" s="8">
        <v>590</v>
      </c>
      <c r="B592" s="9">
        <v>40570</v>
      </c>
      <c r="C592" s="6">
        <v>1</v>
      </c>
      <c r="D592" s="6" t="str">
        <f t="shared" si="54"/>
        <v>2011</v>
      </c>
      <c r="E592" s="6">
        <v>1</v>
      </c>
      <c r="F592" s="6">
        <v>18</v>
      </c>
      <c r="G592" s="6" t="b">
        <v>0</v>
      </c>
      <c r="H592" s="6">
        <v>4</v>
      </c>
      <c r="I592" s="6">
        <v>1</v>
      </c>
      <c r="J592" s="7">
        <v>0.2</v>
      </c>
      <c r="K592" s="6" t="str">
        <f t="shared" si="55"/>
        <v>Thursday</v>
      </c>
      <c r="L592" s="2" t="str">
        <f t="shared" si="56"/>
        <v>January</v>
      </c>
      <c r="M592" s="2" t="str">
        <f t="shared" si="57"/>
        <v>Spring</v>
      </c>
      <c r="N592" s="2" t="str">
        <f t="shared" si="58"/>
        <v>Thursday</v>
      </c>
      <c r="O592" t="str">
        <f t="shared" si="59"/>
        <v>Clear</v>
      </c>
    </row>
    <row r="593" spans="1:15" x14ac:dyDescent="0.25">
      <c r="A593" s="8">
        <v>591</v>
      </c>
      <c r="B593" s="9">
        <v>40570</v>
      </c>
      <c r="C593" s="6">
        <v>1</v>
      </c>
      <c r="D593" s="6" t="str">
        <f t="shared" si="54"/>
        <v>2011</v>
      </c>
      <c r="E593" s="6">
        <v>1</v>
      </c>
      <c r="F593" s="6">
        <v>19</v>
      </c>
      <c r="G593" s="6" t="b">
        <v>0</v>
      </c>
      <c r="H593" s="6">
        <v>4</v>
      </c>
      <c r="I593" s="6">
        <v>1</v>
      </c>
      <c r="J593" s="7">
        <v>0.2</v>
      </c>
      <c r="K593" s="6" t="str">
        <f t="shared" si="55"/>
        <v>Thursday</v>
      </c>
      <c r="L593" s="2" t="str">
        <f t="shared" si="56"/>
        <v>January</v>
      </c>
      <c r="M593" s="2" t="str">
        <f t="shared" si="57"/>
        <v>Spring</v>
      </c>
      <c r="N593" s="2" t="str">
        <f t="shared" si="58"/>
        <v>Thursday</v>
      </c>
      <c r="O593" t="str">
        <f t="shared" si="59"/>
        <v>Clear</v>
      </c>
    </row>
    <row r="594" spans="1:15" x14ac:dyDescent="0.25">
      <c r="A594" s="8">
        <v>592</v>
      </c>
      <c r="B594" s="9">
        <v>40570</v>
      </c>
      <c r="C594" s="6">
        <v>1</v>
      </c>
      <c r="D594" s="6" t="str">
        <f t="shared" si="54"/>
        <v>2011</v>
      </c>
      <c r="E594" s="6">
        <v>1</v>
      </c>
      <c r="F594" s="6">
        <v>20</v>
      </c>
      <c r="G594" s="6" t="b">
        <v>0</v>
      </c>
      <c r="H594" s="6">
        <v>4</v>
      </c>
      <c r="I594" s="6">
        <v>1</v>
      </c>
      <c r="J594" s="7">
        <v>0.18</v>
      </c>
      <c r="K594" s="6" t="str">
        <f t="shared" si="55"/>
        <v>Thursday</v>
      </c>
      <c r="L594" s="2" t="str">
        <f t="shared" si="56"/>
        <v>January</v>
      </c>
      <c r="M594" s="2" t="str">
        <f t="shared" si="57"/>
        <v>Spring</v>
      </c>
      <c r="N594" s="2" t="str">
        <f t="shared" si="58"/>
        <v>Thursday</v>
      </c>
      <c r="O594" t="str">
        <f t="shared" si="59"/>
        <v>Clear</v>
      </c>
    </row>
    <row r="595" spans="1:15" x14ac:dyDescent="0.25">
      <c r="A595" s="8">
        <v>593</v>
      </c>
      <c r="B595" s="9">
        <v>40570</v>
      </c>
      <c r="C595" s="6">
        <v>1</v>
      </c>
      <c r="D595" s="6" t="str">
        <f t="shared" si="54"/>
        <v>2011</v>
      </c>
      <c r="E595" s="6">
        <v>1</v>
      </c>
      <c r="F595" s="6">
        <v>21</v>
      </c>
      <c r="G595" s="6" t="b">
        <v>0</v>
      </c>
      <c r="H595" s="6">
        <v>4</v>
      </c>
      <c r="I595" s="6">
        <v>1</v>
      </c>
      <c r="J595" s="7">
        <v>0.18</v>
      </c>
      <c r="K595" s="6" t="str">
        <f t="shared" si="55"/>
        <v>Thursday</v>
      </c>
      <c r="L595" s="2" t="str">
        <f t="shared" si="56"/>
        <v>January</v>
      </c>
      <c r="M595" s="2" t="str">
        <f t="shared" si="57"/>
        <v>Spring</v>
      </c>
      <c r="N595" s="2" t="str">
        <f t="shared" si="58"/>
        <v>Thursday</v>
      </c>
      <c r="O595" t="str">
        <f t="shared" si="59"/>
        <v>Clear</v>
      </c>
    </row>
    <row r="596" spans="1:15" x14ac:dyDescent="0.25">
      <c r="A596" s="8">
        <v>594</v>
      </c>
      <c r="B596" s="9">
        <v>40570</v>
      </c>
      <c r="C596" s="6">
        <v>1</v>
      </c>
      <c r="D596" s="6" t="str">
        <f t="shared" si="54"/>
        <v>2011</v>
      </c>
      <c r="E596" s="6">
        <v>1</v>
      </c>
      <c r="F596" s="6">
        <v>22</v>
      </c>
      <c r="G596" s="6" t="b">
        <v>0</v>
      </c>
      <c r="H596" s="6">
        <v>4</v>
      </c>
      <c r="I596" s="6">
        <v>1</v>
      </c>
      <c r="J596" s="7">
        <v>0.18</v>
      </c>
      <c r="K596" s="6" t="str">
        <f t="shared" si="55"/>
        <v>Thursday</v>
      </c>
      <c r="L596" s="2" t="str">
        <f t="shared" si="56"/>
        <v>January</v>
      </c>
      <c r="M596" s="2" t="str">
        <f t="shared" si="57"/>
        <v>Spring</v>
      </c>
      <c r="N596" s="2" t="str">
        <f t="shared" si="58"/>
        <v>Thursday</v>
      </c>
      <c r="O596" t="str">
        <f t="shared" si="59"/>
        <v>Clear</v>
      </c>
    </row>
    <row r="597" spans="1:15" x14ac:dyDescent="0.25">
      <c r="A597" s="8">
        <v>595</v>
      </c>
      <c r="B597" s="9">
        <v>40570</v>
      </c>
      <c r="C597" s="6">
        <v>1</v>
      </c>
      <c r="D597" s="6" t="str">
        <f t="shared" si="54"/>
        <v>2011</v>
      </c>
      <c r="E597" s="6">
        <v>1</v>
      </c>
      <c r="F597" s="6">
        <v>23</v>
      </c>
      <c r="G597" s="6" t="b">
        <v>0</v>
      </c>
      <c r="H597" s="6">
        <v>4</v>
      </c>
      <c r="I597" s="6">
        <v>1</v>
      </c>
      <c r="J597" s="7">
        <v>0.18</v>
      </c>
      <c r="K597" s="6" t="str">
        <f t="shared" si="55"/>
        <v>Thursday</v>
      </c>
      <c r="L597" s="2" t="str">
        <f t="shared" si="56"/>
        <v>January</v>
      </c>
      <c r="M597" s="2" t="str">
        <f t="shared" si="57"/>
        <v>Spring</v>
      </c>
      <c r="N597" s="2" t="str">
        <f t="shared" si="58"/>
        <v>Thursday</v>
      </c>
      <c r="O597" t="str">
        <f t="shared" si="59"/>
        <v>Clear</v>
      </c>
    </row>
    <row r="598" spans="1:15" x14ac:dyDescent="0.25">
      <c r="A598" s="8">
        <v>596</v>
      </c>
      <c r="B598" s="9">
        <v>40571</v>
      </c>
      <c r="C598" s="6">
        <v>1</v>
      </c>
      <c r="D598" s="6" t="str">
        <f t="shared" si="54"/>
        <v>2011</v>
      </c>
      <c r="E598" s="6">
        <v>1</v>
      </c>
      <c r="F598" s="6">
        <v>0</v>
      </c>
      <c r="G598" s="6" t="b">
        <v>0</v>
      </c>
      <c r="H598" s="6">
        <v>5</v>
      </c>
      <c r="I598" s="6">
        <v>2</v>
      </c>
      <c r="J598" s="7">
        <v>0.2</v>
      </c>
      <c r="K598" s="6" t="str">
        <f t="shared" si="55"/>
        <v>Friday</v>
      </c>
      <c r="L598" s="2" t="str">
        <f t="shared" si="56"/>
        <v>January</v>
      </c>
      <c r="M598" s="2" t="str">
        <f t="shared" si="57"/>
        <v>Spring</v>
      </c>
      <c r="N598" s="2" t="str">
        <f t="shared" si="58"/>
        <v>Friday</v>
      </c>
      <c r="O598" t="str">
        <f t="shared" si="59"/>
        <v>Cloudy</v>
      </c>
    </row>
    <row r="599" spans="1:15" x14ac:dyDescent="0.25">
      <c r="A599" s="8">
        <v>597</v>
      </c>
      <c r="B599" s="9">
        <v>40571</v>
      </c>
      <c r="C599" s="6">
        <v>1</v>
      </c>
      <c r="D599" s="6" t="str">
        <f t="shared" si="54"/>
        <v>2011</v>
      </c>
      <c r="E599" s="6">
        <v>1</v>
      </c>
      <c r="F599" s="6">
        <v>1</v>
      </c>
      <c r="G599" s="6" t="b">
        <v>0</v>
      </c>
      <c r="H599" s="6">
        <v>5</v>
      </c>
      <c r="I599" s="6">
        <v>2</v>
      </c>
      <c r="J599" s="7">
        <v>0.2</v>
      </c>
      <c r="K599" s="6" t="str">
        <f t="shared" si="55"/>
        <v>Friday</v>
      </c>
      <c r="L599" s="2" t="str">
        <f t="shared" si="56"/>
        <v>January</v>
      </c>
      <c r="M599" s="2" t="str">
        <f t="shared" si="57"/>
        <v>Spring</v>
      </c>
      <c r="N599" s="2" t="str">
        <f t="shared" si="58"/>
        <v>Friday</v>
      </c>
      <c r="O599" t="str">
        <f t="shared" si="59"/>
        <v>Cloudy</v>
      </c>
    </row>
    <row r="600" spans="1:15" x14ac:dyDescent="0.25">
      <c r="A600" s="8">
        <v>598</v>
      </c>
      <c r="B600" s="9">
        <v>40571</v>
      </c>
      <c r="C600" s="6">
        <v>1</v>
      </c>
      <c r="D600" s="6" t="str">
        <f t="shared" si="54"/>
        <v>2011</v>
      </c>
      <c r="E600" s="6">
        <v>1</v>
      </c>
      <c r="F600" s="6">
        <v>2</v>
      </c>
      <c r="G600" s="6" t="b">
        <v>0</v>
      </c>
      <c r="H600" s="6">
        <v>5</v>
      </c>
      <c r="I600" s="6">
        <v>2</v>
      </c>
      <c r="J600" s="7">
        <v>0.2</v>
      </c>
      <c r="K600" s="6" t="str">
        <f t="shared" si="55"/>
        <v>Friday</v>
      </c>
      <c r="L600" s="2" t="str">
        <f t="shared" si="56"/>
        <v>January</v>
      </c>
      <c r="M600" s="2" t="str">
        <f t="shared" si="57"/>
        <v>Spring</v>
      </c>
      <c r="N600" s="2" t="str">
        <f t="shared" si="58"/>
        <v>Friday</v>
      </c>
      <c r="O600" t="str">
        <f t="shared" si="59"/>
        <v>Cloudy</v>
      </c>
    </row>
    <row r="601" spans="1:15" x14ac:dyDescent="0.25">
      <c r="A601" s="8">
        <v>599</v>
      </c>
      <c r="B601" s="9">
        <v>40571</v>
      </c>
      <c r="C601" s="6">
        <v>1</v>
      </c>
      <c r="D601" s="6" t="str">
        <f t="shared" si="54"/>
        <v>2011</v>
      </c>
      <c r="E601" s="6">
        <v>1</v>
      </c>
      <c r="F601" s="6">
        <v>3</v>
      </c>
      <c r="G601" s="6" t="b">
        <v>0</v>
      </c>
      <c r="H601" s="6">
        <v>5</v>
      </c>
      <c r="I601" s="6">
        <v>2</v>
      </c>
      <c r="J601" s="7">
        <v>0.2</v>
      </c>
      <c r="K601" s="6" t="str">
        <f t="shared" si="55"/>
        <v>Friday</v>
      </c>
      <c r="L601" s="2" t="str">
        <f t="shared" si="56"/>
        <v>January</v>
      </c>
      <c r="M601" s="2" t="str">
        <f t="shared" si="57"/>
        <v>Spring</v>
      </c>
      <c r="N601" s="2" t="str">
        <f t="shared" si="58"/>
        <v>Friday</v>
      </c>
      <c r="O601" t="str">
        <f t="shared" si="59"/>
        <v>Cloudy</v>
      </c>
    </row>
    <row r="602" spans="1:15" x14ac:dyDescent="0.25">
      <c r="A602" s="8">
        <v>600</v>
      </c>
      <c r="B602" s="9">
        <v>40571</v>
      </c>
      <c r="C602" s="6">
        <v>1</v>
      </c>
      <c r="D602" s="6" t="str">
        <f t="shared" si="54"/>
        <v>2011</v>
      </c>
      <c r="E602" s="6">
        <v>1</v>
      </c>
      <c r="F602" s="6">
        <v>5</v>
      </c>
      <c r="G602" s="6" t="b">
        <v>0</v>
      </c>
      <c r="H602" s="6">
        <v>5</v>
      </c>
      <c r="I602" s="6">
        <v>2</v>
      </c>
      <c r="J602" s="7">
        <v>0.18</v>
      </c>
      <c r="K602" s="6" t="str">
        <f t="shared" si="55"/>
        <v>Friday</v>
      </c>
      <c r="L602" s="2" t="str">
        <f t="shared" si="56"/>
        <v>January</v>
      </c>
      <c r="M602" s="2" t="str">
        <f t="shared" si="57"/>
        <v>Spring</v>
      </c>
      <c r="N602" s="2" t="str">
        <f t="shared" si="58"/>
        <v>Friday</v>
      </c>
      <c r="O602" t="str">
        <f t="shared" si="59"/>
        <v>Cloudy</v>
      </c>
    </row>
    <row r="603" spans="1:15" x14ac:dyDescent="0.25">
      <c r="A603" s="8">
        <v>601</v>
      </c>
      <c r="B603" s="9">
        <v>40571</v>
      </c>
      <c r="C603" s="6">
        <v>1</v>
      </c>
      <c r="D603" s="6" t="str">
        <f t="shared" si="54"/>
        <v>2011</v>
      </c>
      <c r="E603" s="6">
        <v>1</v>
      </c>
      <c r="F603" s="6">
        <v>6</v>
      </c>
      <c r="G603" s="6" t="b">
        <v>0</v>
      </c>
      <c r="H603" s="6">
        <v>5</v>
      </c>
      <c r="I603" s="6">
        <v>2</v>
      </c>
      <c r="J603" s="7">
        <v>0.18</v>
      </c>
      <c r="K603" s="6" t="str">
        <f t="shared" si="55"/>
        <v>Friday</v>
      </c>
      <c r="L603" s="2" t="str">
        <f t="shared" si="56"/>
        <v>January</v>
      </c>
      <c r="M603" s="2" t="str">
        <f t="shared" si="57"/>
        <v>Spring</v>
      </c>
      <c r="N603" s="2" t="str">
        <f t="shared" si="58"/>
        <v>Friday</v>
      </c>
      <c r="O603" t="str">
        <f t="shared" si="59"/>
        <v>Cloudy</v>
      </c>
    </row>
    <row r="604" spans="1:15" x14ac:dyDescent="0.25">
      <c r="A604" s="8">
        <v>602</v>
      </c>
      <c r="B604" s="9">
        <v>40571</v>
      </c>
      <c r="C604" s="6">
        <v>1</v>
      </c>
      <c r="D604" s="6" t="str">
        <f t="shared" si="54"/>
        <v>2011</v>
      </c>
      <c r="E604" s="6">
        <v>1</v>
      </c>
      <c r="F604" s="6">
        <v>7</v>
      </c>
      <c r="G604" s="6" t="b">
        <v>0</v>
      </c>
      <c r="H604" s="6">
        <v>5</v>
      </c>
      <c r="I604" s="6">
        <v>2</v>
      </c>
      <c r="J604" s="7">
        <v>0.16</v>
      </c>
      <c r="K604" s="6" t="str">
        <f t="shared" si="55"/>
        <v>Friday</v>
      </c>
      <c r="L604" s="2" t="str">
        <f t="shared" si="56"/>
        <v>January</v>
      </c>
      <c r="M604" s="2" t="str">
        <f t="shared" si="57"/>
        <v>Spring</v>
      </c>
      <c r="N604" s="2" t="str">
        <f t="shared" si="58"/>
        <v>Friday</v>
      </c>
      <c r="O604" t="str">
        <f t="shared" si="59"/>
        <v>Cloudy</v>
      </c>
    </row>
    <row r="605" spans="1:15" x14ac:dyDescent="0.25">
      <c r="A605" s="8">
        <v>603</v>
      </c>
      <c r="B605" s="9">
        <v>40571</v>
      </c>
      <c r="C605" s="6">
        <v>1</v>
      </c>
      <c r="D605" s="6" t="str">
        <f t="shared" si="54"/>
        <v>2011</v>
      </c>
      <c r="E605" s="6">
        <v>1</v>
      </c>
      <c r="F605" s="6">
        <v>8</v>
      </c>
      <c r="G605" s="6" t="b">
        <v>0</v>
      </c>
      <c r="H605" s="6">
        <v>5</v>
      </c>
      <c r="I605" s="6">
        <v>2</v>
      </c>
      <c r="J605" s="7">
        <v>0.16</v>
      </c>
      <c r="K605" s="6" t="str">
        <f t="shared" si="55"/>
        <v>Friday</v>
      </c>
      <c r="L605" s="2" t="str">
        <f t="shared" si="56"/>
        <v>January</v>
      </c>
      <c r="M605" s="2" t="str">
        <f t="shared" si="57"/>
        <v>Spring</v>
      </c>
      <c r="N605" s="2" t="str">
        <f t="shared" si="58"/>
        <v>Friday</v>
      </c>
      <c r="O605" t="str">
        <f t="shared" si="59"/>
        <v>Cloudy</v>
      </c>
    </row>
    <row r="606" spans="1:15" x14ac:dyDescent="0.25">
      <c r="A606" s="8">
        <v>604</v>
      </c>
      <c r="B606" s="9">
        <v>40571</v>
      </c>
      <c r="C606" s="6">
        <v>1</v>
      </c>
      <c r="D606" s="6" t="str">
        <f t="shared" si="54"/>
        <v>2011</v>
      </c>
      <c r="E606" s="6">
        <v>1</v>
      </c>
      <c r="F606" s="6">
        <v>9</v>
      </c>
      <c r="G606" s="6" t="b">
        <v>0</v>
      </c>
      <c r="H606" s="6">
        <v>5</v>
      </c>
      <c r="I606" s="6">
        <v>3</v>
      </c>
      <c r="J606" s="7">
        <v>0.18</v>
      </c>
      <c r="K606" s="6" t="str">
        <f t="shared" si="55"/>
        <v>Friday</v>
      </c>
      <c r="L606" s="2" t="str">
        <f t="shared" si="56"/>
        <v>January</v>
      </c>
      <c r="M606" s="2" t="str">
        <f t="shared" si="57"/>
        <v>Spring</v>
      </c>
      <c r="N606" s="2" t="str">
        <f t="shared" si="58"/>
        <v>Friday</v>
      </c>
      <c r="O606" t="str">
        <f t="shared" si="59"/>
        <v>Rain</v>
      </c>
    </row>
    <row r="607" spans="1:15" x14ac:dyDescent="0.25">
      <c r="A607" s="8">
        <v>605</v>
      </c>
      <c r="B607" s="9">
        <v>40571</v>
      </c>
      <c r="C607" s="6">
        <v>1</v>
      </c>
      <c r="D607" s="6" t="str">
        <f t="shared" si="54"/>
        <v>2011</v>
      </c>
      <c r="E607" s="6">
        <v>1</v>
      </c>
      <c r="F607" s="6">
        <v>10</v>
      </c>
      <c r="G607" s="6" t="b">
        <v>0</v>
      </c>
      <c r="H607" s="6">
        <v>5</v>
      </c>
      <c r="I607" s="6">
        <v>3</v>
      </c>
      <c r="J607" s="7">
        <v>0.18</v>
      </c>
      <c r="K607" s="6" t="str">
        <f t="shared" si="55"/>
        <v>Friday</v>
      </c>
      <c r="L607" s="2" t="str">
        <f t="shared" si="56"/>
        <v>January</v>
      </c>
      <c r="M607" s="2" t="str">
        <f t="shared" si="57"/>
        <v>Spring</v>
      </c>
      <c r="N607" s="2" t="str">
        <f t="shared" si="58"/>
        <v>Friday</v>
      </c>
      <c r="O607" t="str">
        <f t="shared" si="59"/>
        <v>Rain</v>
      </c>
    </row>
    <row r="608" spans="1:15" x14ac:dyDescent="0.25">
      <c r="A608" s="8">
        <v>606</v>
      </c>
      <c r="B608" s="9">
        <v>40571</v>
      </c>
      <c r="C608" s="6">
        <v>1</v>
      </c>
      <c r="D608" s="6" t="str">
        <f t="shared" si="54"/>
        <v>2011</v>
      </c>
      <c r="E608" s="6">
        <v>1</v>
      </c>
      <c r="F608" s="6">
        <v>11</v>
      </c>
      <c r="G608" s="6" t="b">
        <v>0</v>
      </c>
      <c r="H608" s="6">
        <v>5</v>
      </c>
      <c r="I608" s="6">
        <v>3</v>
      </c>
      <c r="J608" s="7">
        <v>0.18</v>
      </c>
      <c r="K608" s="6" t="str">
        <f t="shared" si="55"/>
        <v>Friday</v>
      </c>
      <c r="L608" s="2" t="str">
        <f t="shared" si="56"/>
        <v>January</v>
      </c>
      <c r="M608" s="2" t="str">
        <f t="shared" si="57"/>
        <v>Spring</v>
      </c>
      <c r="N608" s="2" t="str">
        <f t="shared" si="58"/>
        <v>Friday</v>
      </c>
      <c r="O608" t="str">
        <f t="shared" si="59"/>
        <v>Rain</v>
      </c>
    </row>
    <row r="609" spans="1:15" x14ac:dyDescent="0.25">
      <c r="A609" s="8">
        <v>607</v>
      </c>
      <c r="B609" s="9">
        <v>40571</v>
      </c>
      <c r="C609" s="6">
        <v>1</v>
      </c>
      <c r="D609" s="6" t="str">
        <f t="shared" si="54"/>
        <v>2011</v>
      </c>
      <c r="E609" s="6">
        <v>1</v>
      </c>
      <c r="F609" s="6">
        <v>12</v>
      </c>
      <c r="G609" s="6" t="b">
        <v>0</v>
      </c>
      <c r="H609" s="6">
        <v>5</v>
      </c>
      <c r="I609" s="6">
        <v>3</v>
      </c>
      <c r="J609" s="7">
        <v>0.18</v>
      </c>
      <c r="K609" s="6" t="str">
        <f t="shared" si="55"/>
        <v>Friday</v>
      </c>
      <c r="L609" s="2" t="str">
        <f t="shared" si="56"/>
        <v>January</v>
      </c>
      <c r="M609" s="2" t="str">
        <f t="shared" si="57"/>
        <v>Spring</v>
      </c>
      <c r="N609" s="2" t="str">
        <f t="shared" si="58"/>
        <v>Friday</v>
      </c>
      <c r="O609" t="str">
        <f t="shared" si="59"/>
        <v>Rain</v>
      </c>
    </row>
    <row r="610" spans="1:15" x14ac:dyDescent="0.25">
      <c r="A610" s="8">
        <v>608</v>
      </c>
      <c r="B610" s="9">
        <v>40571</v>
      </c>
      <c r="C610" s="6">
        <v>1</v>
      </c>
      <c r="D610" s="6" t="str">
        <f t="shared" si="54"/>
        <v>2011</v>
      </c>
      <c r="E610" s="6">
        <v>1</v>
      </c>
      <c r="F610" s="6">
        <v>13</v>
      </c>
      <c r="G610" s="6" t="b">
        <v>0</v>
      </c>
      <c r="H610" s="6">
        <v>5</v>
      </c>
      <c r="I610" s="6">
        <v>3</v>
      </c>
      <c r="J610" s="7">
        <v>0.18</v>
      </c>
      <c r="K610" s="6" t="str">
        <f t="shared" si="55"/>
        <v>Friday</v>
      </c>
      <c r="L610" s="2" t="str">
        <f t="shared" si="56"/>
        <v>January</v>
      </c>
      <c r="M610" s="2" t="str">
        <f t="shared" si="57"/>
        <v>Spring</v>
      </c>
      <c r="N610" s="2" t="str">
        <f t="shared" si="58"/>
        <v>Friday</v>
      </c>
      <c r="O610" t="str">
        <f t="shared" si="59"/>
        <v>Rain</v>
      </c>
    </row>
    <row r="611" spans="1:15" x14ac:dyDescent="0.25">
      <c r="A611" s="8">
        <v>609</v>
      </c>
      <c r="B611" s="9">
        <v>40571</v>
      </c>
      <c r="C611" s="6">
        <v>1</v>
      </c>
      <c r="D611" s="6" t="str">
        <f t="shared" si="54"/>
        <v>2011</v>
      </c>
      <c r="E611" s="6">
        <v>1</v>
      </c>
      <c r="F611" s="6">
        <v>14</v>
      </c>
      <c r="G611" s="6" t="b">
        <v>0</v>
      </c>
      <c r="H611" s="6">
        <v>5</v>
      </c>
      <c r="I611" s="6">
        <v>3</v>
      </c>
      <c r="J611" s="7">
        <v>0.22</v>
      </c>
      <c r="K611" s="6" t="str">
        <f t="shared" si="55"/>
        <v>Friday</v>
      </c>
      <c r="L611" s="2" t="str">
        <f t="shared" si="56"/>
        <v>January</v>
      </c>
      <c r="M611" s="2" t="str">
        <f t="shared" si="57"/>
        <v>Spring</v>
      </c>
      <c r="N611" s="2" t="str">
        <f t="shared" si="58"/>
        <v>Friday</v>
      </c>
      <c r="O611" t="str">
        <f t="shared" si="59"/>
        <v>Rain</v>
      </c>
    </row>
    <row r="612" spans="1:15" x14ac:dyDescent="0.25">
      <c r="A612" s="10">
        <v>610</v>
      </c>
      <c r="B612" s="11">
        <v>40571</v>
      </c>
      <c r="C612" s="12">
        <v>1</v>
      </c>
      <c r="D612" s="6" t="str">
        <f t="shared" si="54"/>
        <v>2011</v>
      </c>
      <c r="E612" s="12">
        <v>1</v>
      </c>
      <c r="F612" s="12">
        <v>15</v>
      </c>
      <c r="G612" s="12" t="b">
        <v>0</v>
      </c>
      <c r="H612" s="12">
        <v>5</v>
      </c>
      <c r="I612" s="6">
        <v>2</v>
      </c>
      <c r="J612" s="7">
        <v>0.2</v>
      </c>
      <c r="K612" s="12" t="str">
        <f t="shared" si="55"/>
        <v>Friday</v>
      </c>
      <c r="L612" s="2" t="str">
        <f t="shared" si="56"/>
        <v>January</v>
      </c>
      <c r="M612" s="2" t="str">
        <f t="shared" si="57"/>
        <v>Spring</v>
      </c>
      <c r="N612" s="2" t="str">
        <f t="shared" si="58"/>
        <v>Friday</v>
      </c>
      <c r="O612" t="str">
        <f t="shared" si="59"/>
        <v>Cloudy</v>
      </c>
    </row>
  </sheetData>
  <mergeCells count="1">
    <mergeCell ref="A1:I1"/>
  </mergeCells>
  <conditionalFormatting sqref="M1:M1048576">
    <cfRule type="cellIs" dxfId="8" priority="1" operator="equal">
      <formula>$M$3</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51B320-29C4-47B6-965B-00397A29DE2D}">
  <dimension ref="A1:G1001"/>
  <sheetViews>
    <sheetView workbookViewId="0">
      <selection activeCell="G3" sqref="G3:G612"/>
    </sheetView>
  </sheetViews>
  <sheetFormatPr defaultRowHeight="15" x14ac:dyDescent="0.25"/>
  <cols>
    <col min="1" max="1" width="11.7109375" style="2" bestFit="1" customWidth="1"/>
    <col min="2" max="2" width="11.28515625" style="2" bestFit="1" customWidth="1"/>
    <col min="3" max="3" width="9.5703125" style="2" bestFit="1" customWidth="1"/>
    <col min="4" max="4" width="15.42578125" style="2" bestFit="1" customWidth="1"/>
    <col min="5" max="5" width="11" style="2" bestFit="1" customWidth="1"/>
    <col min="6" max="6" width="14.7109375" style="2" bestFit="1" customWidth="1"/>
    <col min="7" max="7" width="8.28515625" style="2" bestFit="1" customWidth="1"/>
  </cols>
  <sheetData>
    <row r="1" spans="1:7" ht="30" x14ac:dyDescent="0.45">
      <c r="A1" s="51" t="s">
        <v>16</v>
      </c>
      <c r="B1" s="51"/>
      <c r="C1" s="51"/>
      <c r="D1" s="51"/>
      <c r="E1" s="51"/>
      <c r="F1" s="51"/>
      <c r="G1" s="51"/>
    </row>
    <row r="2" spans="1:7" x14ac:dyDescent="0.25">
      <c r="A2" s="6" t="s">
        <v>1</v>
      </c>
      <c r="B2" s="6" t="s">
        <v>17</v>
      </c>
      <c r="C2" s="6" t="s">
        <v>18</v>
      </c>
      <c r="D2" s="6" t="s">
        <v>19</v>
      </c>
      <c r="E2" s="6" t="s">
        <v>20</v>
      </c>
      <c r="F2" s="6" t="s">
        <v>21</v>
      </c>
      <c r="G2" s="6" t="s">
        <v>22</v>
      </c>
    </row>
    <row r="3" spans="1:7" x14ac:dyDescent="0.25">
      <c r="A3" s="6">
        <v>1</v>
      </c>
      <c r="B3" s="6">
        <v>0.28789999999999999</v>
      </c>
      <c r="C3" s="6">
        <v>0.81</v>
      </c>
      <c r="D3" s="6">
        <v>0</v>
      </c>
      <c r="E3" s="6">
        <v>3</v>
      </c>
      <c r="F3" s="6">
        <v>13</v>
      </c>
      <c r="G3" s="6">
        <v>16</v>
      </c>
    </row>
    <row r="4" spans="1:7" x14ac:dyDescent="0.25">
      <c r="A4" s="6">
        <v>2</v>
      </c>
      <c r="B4" s="6">
        <v>0.2727</v>
      </c>
      <c r="C4" s="6">
        <v>0.8</v>
      </c>
      <c r="D4" s="6">
        <v>0</v>
      </c>
      <c r="E4" s="6">
        <v>8</v>
      </c>
      <c r="F4" s="6">
        <v>32</v>
      </c>
      <c r="G4" s="6">
        <v>40</v>
      </c>
    </row>
    <row r="5" spans="1:7" x14ac:dyDescent="0.25">
      <c r="A5" s="6">
        <v>3</v>
      </c>
      <c r="B5" s="6">
        <v>0.2727</v>
      </c>
      <c r="C5" s="6">
        <v>0.8</v>
      </c>
      <c r="D5" s="6">
        <v>0</v>
      </c>
      <c r="E5" s="6">
        <v>5</v>
      </c>
      <c r="F5" s="6">
        <v>27</v>
      </c>
      <c r="G5" s="6">
        <v>32</v>
      </c>
    </row>
    <row r="6" spans="1:7" x14ac:dyDescent="0.25">
      <c r="A6" s="6">
        <v>4</v>
      </c>
      <c r="B6" s="6">
        <v>0.28789999999999999</v>
      </c>
      <c r="C6" s="6">
        <v>0.75</v>
      </c>
      <c r="D6" s="6">
        <v>0</v>
      </c>
      <c r="E6" s="6">
        <v>3</v>
      </c>
      <c r="F6" s="6">
        <v>10</v>
      </c>
      <c r="G6" s="6">
        <v>13</v>
      </c>
    </row>
    <row r="7" spans="1:7" x14ac:dyDescent="0.25">
      <c r="A7" s="6">
        <v>5</v>
      </c>
      <c r="B7" s="6">
        <v>0.28789999999999999</v>
      </c>
      <c r="C7" s="6">
        <v>0.75</v>
      </c>
      <c r="D7" s="6">
        <v>0</v>
      </c>
      <c r="E7" s="6">
        <v>0</v>
      </c>
      <c r="F7" s="6">
        <v>1</v>
      </c>
      <c r="G7" s="6">
        <v>1</v>
      </c>
    </row>
    <row r="8" spans="1:7" x14ac:dyDescent="0.25">
      <c r="A8" s="6">
        <v>6</v>
      </c>
      <c r="B8" s="6">
        <v>0.2576</v>
      </c>
      <c r="C8" s="6">
        <v>0.75</v>
      </c>
      <c r="D8" s="6">
        <v>8.9599999999999999E-2</v>
      </c>
      <c r="E8" s="6">
        <v>0</v>
      </c>
      <c r="F8" s="6">
        <v>1</v>
      </c>
      <c r="G8" s="6">
        <v>1</v>
      </c>
    </row>
    <row r="9" spans="1:7" x14ac:dyDescent="0.25">
      <c r="A9" s="6">
        <v>7</v>
      </c>
      <c r="B9" s="6">
        <v>0.2727</v>
      </c>
      <c r="C9" s="6">
        <v>0.8</v>
      </c>
      <c r="D9" s="6">
        <v>0</v>
      </c>
      <c r="E9" s="6">
        <v>2</v>
      </c>
      <c r="F9" s="6">
        <v>0</v>
      </c>
      <c r="G9" s="6">
        <v>2</v>
      </c>
    </row>
    <row r="10" spans="1:7" x14ac:dyDescent="0.25">
      <c r="A10" s="6">
        <v>8</v>
      </c>
      <c r="B10" s="6">
        <v>0.2576</v>
      </c>
      <c r="C10" s="6">
        <v>0.86</v>
      </c>
      <c r="D10" s="6">
        <v>0</v>
      </c>
      <c r="E10" s="6">
        <v>1</v>
      </c>
      <c r="F10" s="6">
        <v>2</v>
      </c>
      <c r="G10" s="6">
        <v>3</v>
      </c>
    </row>
    <row r="11" spans="1:7" x14ac:dyDescent="0.25">
      <c r="A11" s="6">
        <v>9</v>
      </c>
      <c r="B11" s="6">
        <v>0</v>
      </c>
      <c r="C11" s="6">
        <v>0.75</v>
      </c>
      <c r="D11" s="6">
        <v>0</v>
      </c>
      <c r="E11" s="6">
        <v>1</v>
      </c>
      <c r="F11" s="6">
        <v>7</v>
      </c>
      <c r="G11" s="6">
        <v>8</v>
      </c>
    </row>
    <row r="12" spans="1:7" x14ac:dyDescent="0.25">
      <c r="A12" s="6">
        <v>10</v>
      </c>
      <c r="B12" s="6">
        <v>0.34849999999999998</v>
      </c>
      <c r="C12" s="6">
        <v>0.76</v>
      </c>
      <c r="D12" s="6">
        <v>0</v>
      </c>
      <c r="E12" s="6">
        <v>8</v>
      </c>
      <c r="F12" s="6">
        <v>6</v>
      </c>
      <c r="G12" s="6">
        <v>14</v>
      </c>
    </row>
    <row r="13" spans="1:7" x14ac:dyDescent="0.25">
      <c r="A13" s="6">
        <v>11</v>
      </c>
      <c r="B13" s="6">
        <v>0.39389999999999997</v>
      </c>
      <c r="C13" s="6">
        <v>0.76</v>
      </c>
      <c r="D13" s="6">
        <v>0.25369999999999998</v>
      </c>
      <c r="E13" s="6">
        <v>12</v>
      </c>
      <c r="F13" s="6">
        <v>24</v>
      </c>
      <c r="G13" s="6">
        <v>36</v>
      </c>
    </row>
    <row r="14" spans="1:7" x14ac:dyDescent="0.25">
      <c r="A14" s="6">
        <v>12</v>
      </c>
      <c r="B14" s="6">
        <v>0.33329999999999999</v>
      </c>
      <c r="C14" s="6">
        <v>0.81</v>
      </c>
      <c r="D14" s="6">
        <v>0.28360000000000002</v>
      </c>
      <c r="E14" s="6">
        <v>26</v>
      </c>
      <c r="F14" s="6">
        <v>30</v>
      </c>
      <c r="G14" s="6">
        <v>56</v>
      </c>
    </row>
    <row r="15" spans="1:7" x14ac:dyDescent="0.25">
      <c r="A15" s="6">
        <v>13</v>
      </c>
      <c r="B15" s="6">
        <v>0.42420000000000002</v>
      </c>
      <c r="C15" s="6">
        <v>0.77</v>
      </c>
      <c r="D15" s="6">
        <v>0.28360000000000002</v>
      </c>
      <c r="E15" s="6">
        <v>29</v>
      </c>
      <c r="F15" s="6">
        <v>55</v>
      </c>
      <c r="G15" s="6">
        <v>84</v>
      </c>
    </row>
    <row r="16" spans="1:7" x14ac:dyDescent="0.25">
      <c r="A16" s="6">
        <v>14</v>
      </c>
      <c r="B16" s="6">
        <v>0.45450000000000002</v>
      </c>
      <c r="C16" s="6">
        <v>0.72</v>
      </c>
      <c r="D16" s="6">
        <v>0.29849999999999999</v>
      </c>
      <c r="E16" s="6">
        <v>47</v>
      </c>
      <c r="F16" s="6">
        <v>47</v>
      </c>
      <c r="G16" s="6">
        <v>94</v>
      </c>
    </row>
    <row r="17" spans="1:7" x14ac:dyDescent="0.25">
      <c r="A17" s="6">
        <v>15</v>
      </c>
      <c r="B17" s="6">
        <v>0.45450000000000002</v>
      </c>
      <c r="C17" s="6">
        <v>0.72</v>
      </c>
      <c r="D17" s="6">
        <v>0.28360000000000002</v>
      </c>
      <c r="E17" s="6">
        <v>35</v>
      </c>
      <c r="F17" s="6">
        <v>71</v>
      </c>
      <c r="G17" s="6">
        <v>106</v>
      </c>
    </row>
    <row r="18" spans="1:7" x14ac:dyDescent="0.25">
      <c r="A18" s="6">
        <v>16</v>
      </c>
      <c r="B18" s="6">
        <v>0.43940000000000001</v>
      </c>
      <c r="C18" s="6">
        <v>0.77</v>
      </c>
      <c r="D18" s="6">
        <v>0.29849999999999999</v>
      </c>
      <c r="E18" s="6">
        <v>40</v>
      </c>
      <c r="F18" s="6">
        <v>70</v>
      </c>
      <c r="G18" s="6">
        <v>110</v>
      </c>
    </row>
    <row r="19" spans="1:7" x14ac:dyDescent="0.25">
      <c r="A19" s="6">
        <v>17</v>
      </c>
      <c r="B19" s="6">
        <v>0.42420000000000002</v>
      </c>
      <c r="C19" s="6">
        <v>0.82</v>
      </c>
      <c r="D19" s="6">
        <v>0.29849999999999999</v>
      </c>
      <c r="E19" s="6">
        <v>41</v>
      </c>
      <c r="F19" s="6">
        <v>52</v>
      </c>
      <c r="G19" s="6">
        <v>93</v>
      </c>
    </row>
    <row r="20" spans="1:7" x14ac:dyDescent="0.25">
      <c r="A20" s="6">
        <v>18</v>
      </c>
      <c r="B20" s="6">
        <v>0</v>
      </c>
      <c r="C20" s="6">
        <v>0.82</v>
      </c>
      <c r="D20" s="6">
        <v>0.28360000000000002</v>
      </c>
      <c r="E20" s="6">
        <v>15</v>
      </c>
      <c r="F20" s="6">
        <v>52</v>
      </c>
      <c r="G20" s="6">
        <v>67</v>
      </c>
    </row>
    <row r="21" spans="1:7" x14ac:dyDescent="0.25">
      <c r="A21" s="6">
        <v>19</v>
      </c>
      <c r="B21" s="6">
        <v>0.42420000000000002</v>
      </c>
      <c r="C21" s="6">
        <v>0.88</v>
      </c>
      <c r="D21" s="6">
        <v>0.25369999999999998</v>
      </c>
      <c r="E21" s="6">
        <v>9</v>
      </c>
      <c r="F21" s="6">
        <v>26</v>
      </c>
      <c r="G21" s="6">
        <v>35</v>
      </c>
    </row>
    <row r="22" spans="1:7" x14ac:dyDescent="0.25">
      <c r="A22" s="6">
        <v>20</v>
      </c>
      <c r="B22" s="6">
        <v>0.42420000000000002</v>
      </c>
      <c r="C22" s="6">
        <v>0.88</v>
      </c>
      <c r="D22" s="6">
        <v>0.25369999999999998</v>
      </c>
      <c r="E22" s="6">
        <v>6</v>
      </c>
      <c r="F22" s="6">
        <v>31</v>
      </c>
      <c r="G22" s="6">
        <v>37</v>
      </c>
    </row>
    <row r="23" spans="1:7" x14ac:dyDescent="0.25">
      <c r="A23" s="6">
        <v>21</v>
      </c>
      <c r="B23" s="6">
        <v>0.40910000000000002</v>
      </c>
      <c r="C23" s="6">
        <v>0.87</v>
      </c>
      <c r="D23" s="6">
        <v>0.25369999999999998</v>
      </c>
      <c r="E23" s="6">
        <v>11</v>
      </c>
      <c r="F23" s="6">
        <v>25</v>
      </c>
      <c r="G23" s="6">
        <v>36</v>
      </c>
    </row>
    <row r="24" spans="1:7" x14ac:dyDescent="0.25">
      <c r="A24" s="6">
        <v>22</v>
      </c>
      <c r="B24" s="6">
        <v>0.40910000000000002</v>
      </c>
      <c r="C24" s="6">
        <v>0.87</v>
      </c>
      <c r="D24" s="6">
        <v>0.19400000000000001</v>
      </c>
      <c r="E24" s="6">
        <v>3</v>
      </c>
      <c r="F24" s="6">
        <v>31</v>
      </c>
      <c r="G24" s="6">
        <v>34</v>
      </c>
    </row>
    <row r="25" spans="1:7" x14ac:dyDescent="0.25">
      <c r="A25" s="6">
        <v>23</v>
      </c>
      <c r="B25" s="6">
        <v>0.40910000000000002</v>
      </c>
      <c r="C25" s="6">
        <v>0.94</v>
      </c>
      <c r="D25" s="6">
        <v>0.22389999999999999</v>
      </c>
      <c r="E25" s="6">
        <v>11</v>
      </c>
      <c r="F25" s="6">
        <v>17</v>
      </c>
      <c r="G25" s="6">
        <v>28</v>
      </c>
    </row>
    <row r="26" spans="1:7" x14ac:dyDescent="0.25">
      <c r="A26" s="6">
        <v>24</v>
      </c>
      <c r="B26" s="6">
        <v>0</v>
      </c>
      <c r="C26" s="6">
        <v>0.88</v>
      </c>
      <c r="D26" s="6">
        <v>0.29849999999999999</v>
      </c>
      <c r="E26" s="6">
        <v>15</v>
      </c>
      <c r="F26" s="6">
        <v>24</v>
      </c>
      <c r="G26" s="6">
        <v>39</v>
      </c>
    </row>
    <row r="27" spans="1:7" x14ac:dyDescent="0.25">
      <c r="A27" s="6">
        <v>25</v>
      </c>
      <c r="B27" s="6">
        <v>0.45450000000000002</v>
      </c>
      <c r="C27" s="6">
        <v>0.88</v>
      </c>
      <c r="D27" s="6">
        <v>0.29849999999999999</v>
      </c>
      <c r="E27" s="6">
        <v>4</v>
      </c>
      <c r="F27" s="6">
        <v>13</v>
      </c>
      <c r="G27" s="6">
        <v>17</v>
      </c>
    </row>
    <row r="28" spans="1:7" x14ac:dyDescent="0.25">
      <c r="A28" s="6">
        <v>26</v>
      </c>
      <c r="B28" s="6">
        <v>0.43940000000000001</v>
      </c>
      <c r="C28" s="6">
        <v>0.94</v>
      </c>
      <c r="D28" s="6">
        <v>0.25369999999999998</v>
      </c>
      <c r="E28" s="6">
        <v>1</v>
      </c>
      <c r="F28" s="6">
        <v>16</v>
      </c>
      <c r="G28" s="6">
        <v>17</v>
      </c>
    </row>
    <row r="29" spans="1:7" x14ac:dyDescent="0.25">
      <c r="A29" s="6">
        <v>27</v>
      </c>
      <c r="B29" s="6">
        <v>0.42420000000000002</v>
      </c>
      <c r="C29" s="6">
        <v>1</v>
      </c>
      <c r="D29" s="6">
        <v>0.28360000000000002</v>
      </c>
      <c r="E29" s="6">
        <v>1</v>
      </c>
      <c r="F29" s="6">
        <v>8</v>
      </c>
      <c r="G29" s="6">
        <v>9</v>
      </c>
    </row>
    <row r="30" spans="1:7" x14ac:dyDescent="0.25">
      <c r="A30" s="6">
        <v>28</v>
      </c>
      <c r="B30" s="6">
        <v>0.45450000000000002</v>
      </c>
      <c r="C30" s="6">
        <v>0.94</v>
      </c>
      <c r="D30" s="6">
        <v>0.19400000000000001</v>
      </c>
      <c r="E30" s="6">
        <v>2</v>
      </c>
      <c r="F30" s="6">
        <v>4</v>
      </c>
      <c r="G30" s="6">
        <v>6</v>
      </c>
    </row>
    <row r="31" spans="1:7" x14ac:dyDescent="0.25">
      <c r="A31" s="6">
        <v>29</v>
      </c>
      <c r="B31" s="6">
        <v>0</v>
      </c>
      <c r="C31" s="6">
        <v>0.94</v>
      </c>
      <c r="D31" s="6">
        <v>0.19400000000000001</v>
      </c>
      <c r="E31" s="6">
        <v>2</v>
      </c>
      <c r="F31" s="6">
        <v>1</v>
      </c>
      <c r="G31" s="6">
        <v>3</v>
      </c>
    </row>
    <row r="32" spans="1:7" x14ac:dyDescent="0.25">
      <c r="A32" s="6">
        <v>30</v>
      </c>
      <c r="B32" s="6">
        <v>0.42420000000000002</v>
      </c>
      <c r="C32" s="6">
        <v>0.77</v>
      </c>
      <c r="D32" s="6">
        <v>0.29849999999999999</v>
      </c>
      <c r="E32" s="6">
        <v>0</v>
      </c>
      <c r="F32" s="6">
        <v>2</v>
      </c>
      <c r="G32" s="6">
        <v>2</v>
      </c>
    </row>
    <row r="33" spans="1:7" x14ac:dyDescent="0.25">
      <c r="A33" s="6">
        <v>31</v>
      </c>
      <c r="B33" s="6">
        <v>0.40910000000000002</v>
      </c>
      <c r="C33" s="6">
        <v>0.76</v>
      </c>
      <c r="D33" s="6">
        <v>0.19400000000000001</v>
      </c>
      <c r="E33" s="6">
        <v>0</v>
      </c>
      <c r="F33" s="6">
        <v>1</v>
      </c>
      <c r="G33" s="6">
        <v>1</v>
      </c>
    </row>
    <row r="34" spans="1:7" x14ac:dyDescent="0.25">
      <c r="A34" s="6">
        <v>32</v>
      </c>
      <c r="B34" s="6">
        <v>0.40910000000000002</v>
      </c>
      <c r="C34" s="6">
        <v>0.71</v>
      </c>
      <c r="D34" s="6">
        <v>0.22389999999999999</v>
      </c>
      <c r="E34" s="6">
        <v>0</v>
      </c>
      <c r="F34" s="6">
        <v>8</v>
      </c>
      <c r="G34" s="6">
        <v>8</v>
      </c>
    </row>
    <row r="35" spans="1:7" x14ac:dyDescent="0.25">
      <c r="A35" s="6">
        <v>33</v>
      </c>
      <c r="B35" s="6">
        <v>0</v>
      </c>
      <c r="C35" s="6">
        <v>0.76</v>
      </c>
      <c r="D35" s="6">
        <v>0.22389999999999999</v>
      </c>
      <c r="E35" s="6">
        <v>1</v>
      </c>
      <c r="F35" s="6">
        <v>19</v>
      </c>
      <c r="G35" s="6">
        <v>20</v>
      </c>
    </row>
    <row r="36" spans="1:7" x14ac:dyDescent="0.25">
      <c r="A36" s="6">
        <v>34</v>
      </c>
      <c r="B36" s="6">
        <v>0.34849999999999998</v>
      </c>
      <c r="C36" s="6">
        <v>0.81</v>
      </c>
      <c r="D36" s="6">
        <v>0.22389999999999999</v>
      </c>
      <c r="E36" s="6">
        <v>7</v>
      </c>
      <c r="F36" s="6">
        <v>46</v>
      </c>
      <c r="G36" s="6">
        <v>53</v>
      </c>
    </row>
    <row r="37" spans="1:7" x14ac:dyDescent="0.25">
      <c r="A37" s="6">
        <v>35</v>
      </c>
      <c r="B37" s="6">
        <v>0.33329999999999999</v>
      </c>
      <c r="C37" s="6">
        <v>0.71</v>
      </c>
      <c r="D37" s="6">
        <v>0.25369999999999998</v>
      </c>
      <c r="E37" s="6">
        <v>16</v>
      </c>
      <c r="F37" s="6">
        <v>54</v>
      </c>
      <c r="G37" s="6">
        <v>70</v>
      </c>
    </row>
    <row r="38" spans="1:7" x14ac:dyDescent="0.25">
      <c r="A38" s="6">
        <v>36</v>
      </c>
      <c r="B38" s="6">
        <v>0.33329999999999999</v>
      </c>
      <c r="C38" s="6">
        <v>0.66</v>
      </c>
      <c r="D38" s="6">
        <v>0.29849999999999999</v>
      </c>
      <c r="E38" s="6">
        <v>20</v>
      </c>
      <c r="F38" s="6">
        <v>73</v>
      </c>
      <c r="G38" s="6">
        <v>93</v>
      </c>
    </row>
    <row r="39" spans="1:7" x14ac:dyDescent="0.25">
      <c r="A39" s="6">
        <v>37</v>
      </c>
      <c r="B39" s="6">
        <v>0.34849999999999998</v>
      </c>
      <c r="C39" s="6">
        <v>0.66</v>
      </c>
      <c r="D39" s="6">
        <v>0.1343</v>
      </c>
      <c r="E39" s="6">
        <v>11</v>
      </c>
      <c r="F39" s="6">
        <v>64</v>
      </c>
      <c r="G39" s="6">
        <v>75</v>
      </c>
    </row>
    <row r="40" spans="1:7" x14ac:dyDescent="0.25">
      <c r="A40" s="6">
        <v>38</v>
      </c>
      <c r="B40" s="6">
        <v>0</v>
      </c>
      <c r="C40" s="6">
        <v>0.76</v>
      </c>
      <c r="D40" s="6">
        <v>0.19400000000000001</v>
      </c>
      <c r="E40" s="6">
        <v>4</v>
      </c>
      <c r="F40" s="6">
        <v>55</v>
      </c>
      <c r="G40" s="6">
        <v>59</v>
      </c>
    </row>
    <row r="41" spans="1:7" x14ac:dyDescent="0.25">
      <c r="A41" s="6">
        <v>39</v>
      </c>
      <c r="B41" s="6">
        <v>0.33329999999999999</v>
      </c>
      <c r="C41" s="6">
        <v>0.81</v>
      </c>
      <c r="D41" s="6">
        <v>0.16420000000000001</v>
      </c>
      <c r="E41" s="6">
        <v>19</v>
      </c>
      <c r="F41" s="6">
        <v>55</v>
      </c>
      <c r="G41" s="6">
        <v>74</v>
      </c>
    </row>
    <row r="42" spans="1:7" x14ac:dyDescent="0.25">
      <c r="A42" s="6">
        <v>40</v>
      </c>
      <c r="B42" s="6">
        <v>0.33329999999999999</v>
      </c>
      <c r="C42" s="6">
        <v>0.71</v>
      </c>
      <c r="D42" s="6">
        <v>0.16420000000000001</v>
      </c>
      <c r="E42" s="6">
        <v>9</v>
      </c>
      <c r="F42" s="6">
        <v>67</v>
      </c>
      <c r="G42" s="6">
        <v>76</v>
      </c>
    </row>
    <row r="43" spans="1:7" x14ac:dyDescent="0.25">
      <c r="A43" s="6">
        <v>41</v>
      </c>
      <c r="B43" s="6">
        <v>0.33329999999999999</v>
      </c>
      <c r="C43" s="6">
        <v>0.56999999999999995</v>
      </c>
      <c r="D43" s="6">
        <v>0.19400000000000001</v>
      </c>
      <c r="E43" s="6">
        <v>7</v>
      </c>
      <c r="F43" s="6">
        <v>58</v>
      </c>
      <c r="G43" s="6">
        <v>65</v>
      </c>
    </row>
    <row r="44" spans="1:7" x14ac:dyDescent="0.25">
      <c r="A44" s="6">
        <v>42</v>
      </c>
      <c r="B44" s="6">
        <v>0.33329999999999999</v>
      </c>
      <c r="C44" s="6">
        <v>0.46</v>
      </c>
      <c r="D44" s="6">
        <v>0.32840000000000003</v>
      </c>
      <c r="E44" s="6">
        <v>10</v>
      </c>
      <c r="F44" s="6">
        <v>43</v>
      </c>
      <c r="G44" s="6">
        <v>53</v>
      </c>
    </row>
    <row r="45" spans="1:7" x14ac:dyDescent="0.25">
      <c r="A45" s="6">
        <v>43</v>
      </c>
      <c r="B45" s="6">
        <v>0.28789999999999999</v>
      </c>
      <c r="C45" s="6">
        <v>0.42</v>
      </c>
      <c r="D45" s="6">
        <v>0.44779999999999998</v>
      </c>
      <c r="E45" s="6">
        <v>1</v>
      </c>
      <c r="F45" s="6">
        <v>29</v>
      </c>
      <c r="G45" s="6">
        <v>30</v>
      </c>
    </row>
    <row r="46" spans="1:7" x14ac:dyDescent="0.25">
      <c r="A46" s="6">
        <v>44</v>
      </c>
      <c r="B46" s="6">
        <v>0</v>
      </c>
      <c r="C46" s="6">
        <v>0.39</v>
      </c>
      <c r="D46" s="6">
        <v>0.35820000000000002</v>
      </c>
      <c r="E46" s="6">
        <v>5</v>
      </c>
      <c r="F46" s="6">
        <v>17</v>
      </c>
      <c r="G46" s="6">
        <v>22</v>
      </c>
    </row>
    <row r="47" spans="1:7" x14ac:dyDescent="0.25">
      <c r="A47" s="6">
        <v>45</v>
      </c>
      <c r="B47" s="6">
        <v>0.2273</v>
      </c>
      <c r="C47" s="6">
        <v>0.44</v>
      </c>
      <c r="D47" s="6">
        <v>0.32840000000000003</v>
      </c>
      <c r="E47" s="6">
        <v>11</v>
      </c>
      <c r="F47" s="6">
        <v>20</v>
      </c>
      <c r="G47" s="6">
        <v>31</v>
      </c>
    </row>
    <row r="48" spans="1:7" x14ac:dyDescent="0.25">
      <c r="A48" s="6">
        <v>46</v>
      </c>
      <c r="B48" s="6">
        <v>0.21210000000000001</v>
      </c>
      <c r="C48" s="6">
        <v>0.44</v>
      </c>
      <c r="D48" s="6">
        <v>0.29849999999999999</v>
      </c>
      <c r="E48" s="6">
        <v>0</v>
      </c>
      <c r="F48" s="6">
        <v>9</v>
      </c>
      <c r="G48" s="6">
        <v>9</v>
      </c>
    </row>
    <row r="49" spans="1:7" x14ac:dyDescent="0.25">
      <c r="A49" s="6">
        <v>47</v>
      </c>
      <c r="B49" s="6">
        <v>0.2273</v>
      </c>
      <c r="C49" s="6">
        <v>0.47</v>
      </c>
      <c r="D49" s="6">
        <v>0.16420000000000001</v>
      </c>
      <c r="E49" s="6">
        <v>0</v>
      </c>
      <c r="F49" s="6">
        <v>8</v>
      </c>
      <c r="G49" s="6">
        <v>8</v>
      </c>
    </row>
    <row r="50" spans="1:7" x14ac:dyDescent="0.25">
      <c r="A50" s="6">
        <v>48</v>
      </c>
      <c r="B50" s="6">
        <v>0.19700000000000001</v>
      </c>
      <c r="C50" s="6">
        <v>0.44</v>
      </c>
      <c r="D50" s="6">
        <v>0.35820000000000002</v>
      </c>
      <c r="E50" s="6">
        <v>0</v>
      </c>
      <c r="F50" s="6">
        <v>5</v>
      </c>
      <c r="G50" s="6">
        <v>5</v>
      </c>
    </row>
    <row r="51" spans="1:7" x14ac:dyDescent="0.25">
      <c r="A51" s="6">
        <v>49</v>
      </c>
      <c r="B51" s="6">
        <v>0</v>
      </c>
      <c r="C51" s="6">
        <v>0.44</v>
      </c>
      <c r="D51" s="6">
        <v>0.41789999999999999</v>
      </c>
      <c r="E51" s="6">
        <v>0</v>
      </c>
      <c r="F51" s="6">
        <v>2</v>
      </c>
      <c r="G51" s="6">
        <v>2</v>
      </c>
    </row>
    <row r="52" spans="1:7" x14ac:dyDescent="0.25">
      <c r="A52" s="6">
        <v>50</v>
      </c>
      <c r="B52" s="6">
        <v>0.13639999999999999</v>
      </c>
      <c r="C52" s="6">
        <v>0.47</v>
      </c>
      <c r="D52" s="6">
        <v>0.3881</v>
      </c>
      <c r="E52" s="6">
        <v>0</v>
      </c>
      <c r="F52" s="6">
        <v>1</v>
      </c>
      <c r="G52" s="6">
        <v>1</v>
      </c>
    </row>
    <row r="53" spans="1:7" x14ac:dyDescent="0.25">
      <c r="A53" s="6">
        <v>51</v>
      </c>
      <c r="B53" s="6">
        <v>0.13639999999999999</v>
      </c>
      <c r="C53" s="6">
        <v>0.47</v>
      </c>
      <c r="D53" s="6">
        <v>0.28360000000000002</v>
      </c>
      <c r="E53" s="6">
        <v>0</v>
      </c>
      <c r="F53" s="6">
        <v>3</v>
      </c>
      <c r="G53" s="6">
        <v>3</v>
      </c>
    </row>
    <row r="54" spans="1:7" x14ac:dyDescent="0.25">
      <c r="A54" s="6">
        <v>52</v>
      </c>
      <c r="B54" s="6">
        <v>0.1061</v>
      </c>
      <c r="C54" s="6">
        <v>0.5</v>
      </c>
      <c r="D54" s="6">
        <v>0.3881</v>
      </c>
      <c r="E54" s="6">
        <v>0</v>
      </c>
      <c r="F54" s="6">
        <v>30</v>
      </c>
      <c r="G54" s="6">
        <v>30</v>
      </c>
    </row>
    <row r="55" spans="1:7" x14ac:dyDescent="0.25">
      <c r="A55" s="6">
        <v>53</v>
      </c>
      <c r="B55" s="6">
        <v>0.13639999999999999</v>
      </c>
      <c r="C55" s="6">
        <v>0.5</v>
      </c>
      <c r="D55" s="6">
        <v>0.19400000000000001</v>
      </c>
      <c r="E55" s="6">
        <v>1</v>
      </c>
      <c r="F55" s="6">
        <v>63</v>
      </c>
      <c r="G55" s="6">
        <v>64</v>
      </c>
    </row>
    <row r="56" spans="1:7" x14ac:dyDescent="0.25">
      <c r="A56" s="6">
        <v>54</v>
      </c>
      <c r="B56" s="6">
        <v>0.1212</v>
      </c>
      <c r="C56" s="6">
        <v>0.5</v>
      </c>
      <c r="D56" s="6">
        <v>0.28360000000000002</v>
      </c>
      <c r="E56" s="6">
        <v>1</v>
      </c>
      <c r="F56" s="6">
        <v>153</v>
      </c>
      <c r="G56" s="6">
        <v>154</v>
      </c>
    </row>
    <row r="57" spans="1:7" x14ac:dyDescent="0.25">
      <c r="A57" s="6">
        <v>55</v>
      </c>
      <c r="B57" s="6">
        <v>0.13639999999999999</v>
      </c>
      <c r="C57" s="6">
        <v>0.43</v>
      </c>
      <c r="D57" s="6">
        <v>0.3881</v>
      </c>
      <c r="E57" s="6">
        <v>7</v>
      </c>
      <c r="F57" s="6">
        <v>81</v>
      </c>
      <c r="G57" s="6">
        <v>88</v>
      </c>
    </row>
    <row r="58" spans="1:7" x14ac:dyDescent="0.25">
      <c r="A58" s="6">
        <v>56</v>
      </c>
      <c r="B58" s="6">
        <v>0.16669999999999999</v>
      </c>
      <c r="C58" s="6">
        <v>0.43</v>
      </c>
      <c r="D58" s="6">
        <v>0.25369999999999998</v>
      </c>
      <c r="E58" s="6">
        <v>11</v>
      </c>
      <c r="F58" s="6">
        <v>33</v>
      </c>
      <c r="G58" s="6">
        <v>44</v>
      </c>
    </row>
    <row r="59" spans="1:7" x14ac:dyDescent="0.25">
      <c r="A59" s="6">
        <v>57</v>
      </c>
      <c r="B59" s="6">
        <v>0.18179999999999999</v>
      </c>
      <c r="C59" s="6">
        <v>0.4</v>
      </c>
      <c r="D59" s="6">
        <v>0.32840000000000003</v>
      </c>
      <c r="E59" s="6">
        <v>10</v>
      </c>
      <c r="F59" s="6">
        <v>41</v>
      </c>
      <c r="G59" s="6">
        <v>51</v>
      </c>
    </row>
    <row r="60" spans="1:7" x14ac:dyDescent="0.25">
      <c r="A60" s="6">
        <v>58</v>
      </c>
      <c r="B60" s="6">
        <v>0.21210000000000001</v>
      </c>
      <c r="C60" s="6">
        <v>0.35</v>
      </c>
      <c r="D60" s="6">
        <v>0.29849999999999999</v>
      </c>
      <c r="E60" s="6">
        <v>13</v>
      </c>
      <c r="F60" s="6">
        <v>48</v>
      </c>
      <c r="G60" s="6">
        <v>61</v>
      </c>
    </row>
    <row r="61" spans="1:7" x14ac:dyDescent="0.25">
      <c r="A61" s="6">
        <v>59</v>
      </c>
      <c r="B61" s="6">
        <v>0</v>
      </c>
      <c r="C61" s="6">
        <v>0.35</v>
      </c>
      <c r="D61" s="6">
        <v>0.28360000000000002</v>
      </c>
      <c r="E61" s="6">
        <v>8</v>
      </c>
      <c r="F61" s="6">
        <v>53</v>
      </c>
      <c r="G61" s="6">
        <v>61</v>
      </c>
    </row>
    <row r="62" spans="1:7" x14ac:dyDescent="0.25">
      <c r="A62" s="6">
        <v>60</v>
      </c>
      <c r="B62" s="6">
        <v>0.2424</v>
      </c>
      <c r="C62" s="6">
        <v>0.3</v>
      </c>
      <c r="D62" s="6">
        <v>0.28360000000000002</v>
      </c>
      <c r="E62" s="6">
        <v>11</v>
      </c>
      <c r="F62" s="6">
        <v>66</v>
      </c>
      <c r="G62" s="6">
        <v>77</v>
      </c>
    </row>
    <row r="63" spans="1:7" x14ac:dyDescent="0.25">
      <c r="A63" s="6">
        <v>61</v>
      </c>
      <c r="B63" s="6">
        <v>0.2424</v>
      </c>
      <c r="C63" s="6">
        <v>0.3</v>
      </c>
      <c r="D63" s="6">
        <v>0.25369999999999998</v>
      </c>
      <c r="E63" s="6">
        <v>14</v>
      </c>
      <c r="F63" s="6">
        <v>58</v>
      </c>
      <c r="G63" s="6">
        <v>72</v>
      </c>
    </row>
    <row r="64" spans="1:7" x14ac:dyDescent="0.25">
      <c r="A64" s="6">
        <v>62</v>
      </c>
      <c r="B64" s="6">
        <v>0.2424</v>
      </c>
      <c r="C64" s="6">
        <v>0.3</v>
      </c>
      <c r="D64" s="6">
        <v>0.25369999999999998</v>
      </c>
      <c r="E64" s="6">
        <v>9</v>
      </c>
      <c r="F64" s="6">
        <v>67</v>
      </c>
      <c r="G64" s="6">
        <v>76</v>
      </c>
    </row>
    <row r="65" spans="1:7" x14ac:dyDescent="0.25">
      <c r="A65" s="6">
        <v>63</v>
      </c>
      <c r="B65" s="6">
        <v>0.2273</v>
      </c>
      <c r="C65" s="6">
        <v>0.3</v>
      </c>
      <c r="D65" s="6">
        <v>0.22389999999999999</v>
      </c>
      <c r="E65" s="6">
        <v>11</v>
      </c>
      <c r="F65" s="6">
        <v>146</v>
      </c>
      <c r="G65" s="6">
        <v>157</v>
      </c>
    </row>
    <row r="66" spans="1:7" x14ac:dyDescent="0.25">
      <c r="A66" s="6">
        <v>64</v>
      </c>
      <c r="B66" s="6">
        <v>0.2576</v>
      </c>
      <c r="C66" s="6">
        <v>0.32</v>
      </c>
      <c r="D66" s="6">
        <v>0.1045</v>
      </c>
      <c r="E66" s="6">
        <v>9</v>
      </c>
      <c r="F66" s="6">
        <v>148</v>
      </c>
      <c r="G66" s="6">
        <v>157</v>
      </c>
    </row>
    <row r="67" spans="1:7" x14ac:dyDescent="0.25">
      <c r="A67" s="6">
        <v>65</v>
      </c>
      <c r="B67" s="6">
        <v>0.2576</v>
      </c>
      <c r="C67" s="6">
        <v>0.47</v>
      </c>
      <c r="D67" s="6">
        <v>0</v>
      </c>
      <c r="E67" s="6">
        <v>8</v>
      </c>
      <c r="F67" s="6">
        <v>102</v>
      </c>
      <c r="G67" s="6">
        <v>110</v>
      </c>
    </row>
    <row r="68" spans="1:7" x14ac:dyDescent="0.25">
      <c r="A68" s="6">
        <v>66</v>
      </c>
      <c r="B68" s="6">
        <v>0</v>
      </c>
      <c r="C68" s="6">
        <v>0.47</v>
      </c>
      <c r="D68" s="6">
        <v>0.1045</v>
      </c>
      <c r="E68" s="6">
        <v>3</v>
      </c>
      <c r="F68" s="6">
        <v>49</v>
      </c>
      <c r="G68" s="6">
        <v>52</v>
      </c>
    </row>
    <row r="69" spans="1:7" x14ac:dyDescent="0.25">
      <c r="A69" s="6">
        <v>67</v>
      </c>
      <c r="B69" s="6">
        <v>0.19700000000000001</v>
      </c>
      <c r="C69" s="6">
        <v>0.64</v>
      </c>
      <c r="D69" s="6">
        <v>0.1343</v>
      </c>
      <c r="E69" s="6">
        <v>3</v>
      </c>
      <c r="F69" s="6">
        <v>49</v>
      </c>
      <c r="G69" s="6">
        <v>52</v>
      </c>
    </row>
    <row r="70" spans="1:7" x14ac:dyDescent="0.25">
      <c r="A70" s="6">
        <v>68</v>
      </c>
      <c r="B70" s="6">
        <v>0.1515</v>
      </c>
      <c r="C70" s="6">
        <v>0.69</v>
      </c>
      <c r="D70" s="6">
        <v>0.1343</v>
      </c>
      <c r="E70" s="6">
        <v>0</v>
      </c>
      <c r="F70" s="6">
        <v>20</v>
      </c>
      <c r="G70" s="6">
        <v>20</v>
      </c>
    </row>
    <row r="71" spans="1:7" x14ac:dyDescent="0.25">
      <c r="A71" s="6">
        <v>69</v>
      </c>
      <c r="B71" s="6">
        <v>0.21210000000000001</v>
      </c>
      <c r="C71" s="6">
        <v>0.55000000000000004</v>
      </c>
      <c r="D71" s="6">
        <v>0.1045</v>
      </c>
      <c r="E71" s="6">
        <v>1</v>
      </c>
      <c r="F71" s="6">
        <v>11</v>
      </c>
      <c r="G71" s="6">
        <v>12</v>
      </c>
    </row>
    <row r="72" spans="1:7" x14ac:dyDescent="0.25">
      <c r="A72" s="6">
        <v>70</v>
      </c>
      <c r="B72" s="6">
        <v>0</v>
      </c>
      <c r="C72" s="6">
        <v>0.55000000000000004</v>
      </c>
      <c r="D72" s="6">
        <v>0.1045</v>
      </c>
      <c r="E72" s="6">
        <v>0</v>
      </c>
      <c r="F72" s="6">
        <v>5</v>
      </c>
      <c r="G72" s="6">
        <v>5</v>
      </c>
    </row>
    <row r="73" spans="1:7" x14ac:dyDescent="0.25">
      <c r="A73" s="6">
        <v>71</v>
      </c>
      <c r="B73" s="6">
        <v>0.18179999999999999</v>
      </c>
      <c r="C73" s="6">
        <v>0.59</v>
      </c>
      <c r="D73" s="6">
        <v>0.1045</v>
      </c>
      <c r="E73" s="6">
        <v>0</v>
      </c>
      <c r="F73" s="6">
        <v>2</v>
      </c>
      <c r="G73" s="6">
        <v>2</v>
      </c>
    </row>
    <row r="74" spans="1:7" x14ac:dyDescent="0.25">
      <c r="A74" s="6">
        <v>72</v>
      </c>
      <c r="B74" s="6">
        <v>0.1515</v>
      </c>
      <c r="C74" s="6">
        <v>0.63</v>
      </c>
      <c r="D74" s="6">
        <v>0.1343</v>
      </c>
      <c r="E74" s="6">
        <v>0</v>
      </c>
      <c r="F74" s="6">
        <v>1</v>
      </c>
      <c r="G74" s="6">
        <v>1</v>
      </c>
    </row>
    <row r="75" spans="1:7" x14ac:dyDescent="0.25">
      <c r="A75" s="6">
        <v>73</v>
      </c>
      <c r="B75" s="6">
        <v>0.18179999999999999</v>
      </c>
      <c r="C75" s="6">
        <v>0.63</v>
      </c>
      <c r="D75" s="6">
        <v>8.9599999999999999E-2</v>
      </c>
      <c r="E75" s="6">
        <v>0</v>
      </c>
      <c r="F75" s="6">
        <v>2</v>
      </c>
      <c r="G75" s="6">
        <v>2</v>
      </c>
    </row>
    <row r="76" spans="1:7" x14ac:dyDescent="0.25">
      <c r="A76" s="6">
        <v>74</v>
      </c>
      <c r="B76" s="6">
        <v>0.1515</v>
      </c>
      <c r="C76" s="6">
        <v>0.68</v>
      </c>
      <c r="D76" s="6">
        <v>0.1045</v>
      </c>
      <c r="E76" s="6">
        <v>0</v>
      </c>
      <c r="F76" s="6">
        <v>4</v>
      </c>
      <c r="G76" s="6">
        <v>4</v>
      </c>
    </row>
    <row r="77" spans="1:7" x14ac:dyDescent="0.25">
      <c r="A77" s="6">
        <v>75</v>
      </c>
      <c r="B77" s="6">
        <v>0.1515</v>
      </c>
      <c r="C77" s="6">
        <v>0.74</v>
      </c>
      <c r="D77" s="6">
        <v>0.1045</v>
      </c>
      <c r="E77" s="6">
        <v>0</v>
      </c>
      <c r="F77" s="6">
        <v>36</v>
      </c>
      <c r="G77" s="6">
        <v>36</v>
      </c>
    </row>
    <row r="78" spans="1:7" x14ac:dyDescent="0.25">
      <c r="A78" s="6">
        <v>76</v>
      </c>
      <c r="B78" s="6">
        <v>0.1515</v>
      </c>
      <c r="C78" s="6">
        <v>0.74</v>
      </c>
      <c r="D78" s="6">
        <v>0.1343</v>
      </c>
      <c r="E78" s="6">
        <v>2</v>
      </c>
      <c r="F78" s="6">
        <v>92</v>
      </c>
      <c r="G78" s="6">
        <v>94</v>
      </c>
    </row>
    <row r="79" spans="1:7" x14ac:dyDescent="0.25">
      <c r="A79" s="6">
        <v>77</v>
      </c>
      <c r="B79" s="6">
        <v>0.1515</v>
      </c>
      <c r="C79" s="6">
        <v>0.69</v>
      </c>
      <c r="D79" s="6">
        <v>0.16420000000000001</v>
      </c>
      <c r="E79" s="6">
        <v>2</v>
      </c>
      <c r="F79" s="6">
        <v>177</v>
      </c>
      <c r="G79" s="6">
        <v>179</v>
      </c>
    </row>
    <row r="80" spans="1:7" x14ac:dyDescent="0.25">
      <c r="A80" s="6">
        <v>78</v>
      </c>
      <c r="B80" s="6">
        <v>0.1515</v>
      </c>
      <c r="C80" s="6">
        <v>0.64</v>
      </c>
      <c r="D80" s="6">
        <v>0.22389999999999999</v>
      </c>
      <c r="E80" s="6">
        <v>2</v>
      </c>
      <c r="F80" s="6">
        <v>98</v>
      </c>
      <c r="G80" s="6">
        <v>100</v>
      </c>
    </row>
    <row r="81" spans="1:7" x14ac:dyDescent="0.25">
      <c r="A81" s="6">
        <v>79</v>
      </c>
      <c r="B81" s="6">
        <v>0.13639999999999999</v>
      </c>
      <c r="C81" s="6">
        <v>0.69</v>
      </c>
      <c r="D81" s="6">
        <v>0.32840000000000003</v>
      </c>
      <c r="E81" s="6">
        <v>5</v>
      </c>
      <c r="F81" s="6">
        <v>37</v>
      </c>
      <c r="G81" s="6">
        <v>42</v>
      </c>
    </row>
    <row r="82" spans="1:7" x14ac:dyDescent="0.25">
      <c r="A82" s="6">
        <v>80</v>
      </c>
      <c r="B82" s="6">
        <v>0.21210000000000001</v>
      </c>
      <c r="C82" s="6">
        <v>0.51</v>
      </c>
      <c r="D82" s="6">
        <v>0.29849999999999999</v>
      </c>
      <c r="E82" s="6">
        <v>7</v>
      </c>
      <c r="F82" s="6">
        <v>50</v>
      </c>
      <c r="G82" s="6">
        <v>57</v>
      </c>
    </row>
    <row r="83" spans="1:7" x14ac:dyDescent="0.25">
      <c r="A83" s="6">
        <v>81</v>
      </c>
      <c r="B83" s="6">
        <v>0.2273</v>
      </c>
      <c r="C83" s="6">
        <v>0.51</v>
      </c>
      <c r="D83" s="6">
        <v>0.16420000000000001</v>
      </c>
      <c r="E83" s="6">
        <v>12</v>
      </c>
      <c r="F83" s="6">
        <v>66</v>
      </c>
      <c r="G83" s="6">
        <v>78</v>
      </c>
    </row>
    <row r="84" spans="1:7" x14ac:dyDescent="0.25">
      <c r="A84" s="6">
        <v>82</v>
      </c>
      <c r="B84" s="6">
        <v>0.2273</v>
      </c>
      <c r="C84" s="6">
        <v>0.56000000000000005</v>
      </c>
      <c r="D84" s="6">
        <v>0.19400000000000001</v>
      </c>
      <c r="E84" s="6">
        <v>18</v>
      </c>
      <c r="F84" s="6">
        <v>79</v>
      </c>
      <c r="G84" s="6">
        <v>97</v>
      </c>
    </row>
    <row r="85" spans="1:7" x14ac:dyDescent="0.25">
      <c r="A85" s="6">
        <v>83</v>
      </c>
      <c r="B85" s="6">
        <v>0.2576</v>
      </c>
      <c r="C85" s="6">
        <v>0.52</v>
      </c>
      <c r="D85" s="6">
        <v>0.22389999999999999</v>
      </c>
      <c r="E85" s="6">
        <v>9</v>
      </c>
      <c r="F85" s="6">
        <v>54</v>
      </c>
      <c r="G85" s="6">
        <v>63</v>
      </c>
    </row>
    <row r="86" spans="1:7" x14ac:dyDescent="0.25">
      <c r="A86" s="6">
        <v>84</v>
      </c>
      <c r="B86" s="6">
        <v>0.2727</v>
      </c>
      <c r="C86" s="6">
        <v>0.52</v>
      </c>
      <c r="D86" s="6">
        <v>0.25369999999999998</v>
      </c>
      <c r="E86" s="6">
        <v>17</v>
      </c>
      <c r="F86" s="6">
        <v>48</v>
      </c>
      <c r="G86" s="6">
        <v>65</v>
      </c>
    </row>
    <row r="87" spans="1:7" x14ac:dyDescent="0.25">
      <c r="A87" s="6">
        <v>85</v>
      </c>
      <c r="B87" s="6">
        <v>0.28789999999999999</v>
      </c>
      <c r="C87" s="6">
        <v>0.49</v>
      </c>
      <c r="D87" s="6">
        <v>0.25369999999999998</v>
      </c>
      <c r="E87" s="6">
        <v>15</v>
      </c>
      <c r="F87" s="6">
        <v>68</v>
      </c>
      <c r="G87" s="6">
        <v>83</v>
      </c>
    </row>
    <row r="88" spans="1:7" x14ac:dyDescent="0.25">
      <c r="A88" s="6">
        <v>86</v>
      </c>
      <c r="B88" s="6">
        <v>0.2727</v>
      </c>
      <c r="C88" s="6">
        <v>0.48</v>
      </c>
      <c r="D88" s="6">
        <v>0.22389999999999999</v>
      </c>
      <c r="E88" s="6">
        <v>10</v>
      </c>
      <c r="F88" s="6">
        <v>202</v>
      </c>
      <c r="G88" s="6">
        <v>212</v>
      </c>
    </row>
    <row r="89" spans="1:7" x14ac:dyDescent="0.25">
      <c r="A89" s="6">
        <v>87</v>
      </c>
      <c r="B89" s="6">
        <v>0.2576</v>
      </c>
      <c r="C89" s="6">
        <v>0.48</v>
      </c>
      <c r="D89" s="6">
        <v>0.19400000000000001</v>
      </c>
      <c r="E89" s="6">
        <v>3</v>
      </c>
      <c r="F89" s="6">
        <v>179</v>
      </c>
      <c r="G89" s="6">
        <v>182</v>
      </c>
    </row>
    <row r="90" spans="1:7" x14ac:dyDescent="0.25">
      <c r="A90" s="6">
        <v>88</v>
      </c>
      <c r="B90" s="6">
        <v>0.2576</v>
      </c>
      <c r="C90" s="6">
        <v>0.48</v>
      </c>
      <c r="D90" s="6">
        <v>0.1045</v>
      </c>
      <c r="E90" s="6">
        <v>2</v>
      </c>
      <c r="F90" s="6">
        <v>110</v>
      </c>
      <c r="G90" s="6">
        <v>112</v>
      </c>
    </row>
    <row r="91" spans="1:7" x14ac:dyDescent="0.25">
      <c r="A91" s="6">
        <v>89</v>
      </c>
      <c r="B91" s="6">
        <v>0.2576</v>
      </c>
      <c r="C91" s="6">
        <v>0.48</v>
      </c>
      <c r="D91" s="6">
        <v>0.1045</v>
      </c>
      <c r="E91" s="6">
        <v>1</v>
      </c>
      <c r="F91" s="6">
        <v>53</v>
      </c>
      <c r="G91" s="6">
        <v>54</v>
      </c>
    </row>
    <row r="92" spans="1:7" x14ac:dyDescent="0.25">
      <c r="A92" s="6">
        <v>90</v>
      </c>
      <c r="B92" s="6">
        <v>0.2727</v>
      </c>
      <c r="C92" s="6">
        <v>0.64</v>
      </c>
      <c r="D92" s="6">
        <v>0</v>
      </c>
      <c r="E92" s="6">
        <v>0</v>
      </c>
      <c r="F92" s="6">
        <v>48</v>
      </c>
      <c r="G92" s="6">
        <v>48</v>
      </c>
    </row>
    <row r="93" spans="1:7" x14ac:dyDescent="0.25">
      <c r="A93" s="6">
        <v>91</v>
      </c>
      <c r="B93" s="6">
        <v>0.2576</v>
      </c>
      <c r="C93" s="6">
        <v>0.64</v>
      </c>
      <c r="D93" s="6">
        <v>8.9599999999999999E-2</v>
      </c>
      <c r="E93" s="6">
        <v>1</v>
      </c>
      <c r="F93" s="6">
        <v>34</v>
      </c>
      <c r="G93" s="6">
        <v>35</v>
      </c>
    </row>
    <row r="94" spans="1:7" x14ac:dyDescent="0.25">
      <c r="A94" s="6">
        <v>92</v>
      </c>
      <c r="B94" s="6">
        <v>0.2273</v>
      </c>
      <c r="C94" s="6">
        <v>0.69</v>
      </c>
      <c r="D94" s="6">
        <v>8.9599999999999999E-2</v>
      </c>
      <c r="E94" s="6">
        <v>2</v>
      </c>
      <c r="F94" s="6">
        <v>9</v>
      </c>
      <c r="G94" s="6">
        <v>11</v>
      </c>
    </row>
    <row r="95" spans="1:7" x14ac:dyDescent="0.25">
      <c r="A95" s="6">
        <v>93</v>
      </c>
      <c r="B95" s="6">
        <v>0.2576</v>
      </c>
      <c r="C95" s="6">
        <v>0.64</v>
      </c>
      <c r="D95" s="6">
        <v>0</v>
      </c>
      <c r="E95" s="6">
        <v>0</v>
      </c>
      <c r="F95" s="6">
        <v>6</v>
      </c>
      <c r="G95" s="6">
        <v>6</v>
      </c>
    </row>
    <row r="96" spans="1:7" x14ac:dyDescent="0.25">
      <c r="A96" s="6">
        <v>94</v>
      </c>
      <c r="B96" s="6">
        <v>0.19700000000000001</v>
      </c>
      <c r="C96" s="6">
        <v>0.74</v>
      </c>
      <c r="D96" s="6">
        <v>8.9599999999999999E-2</v>
      </c>
      <c r="E96" s="6">
        <v>0</v>
      </c>
      <c r="F96" s="6">
        <v>6</v>
      </c>
      <c r="G96" s="6">
        <v>6</v>
      </c>
    </row>
    <row r="97" spans="1:7" x14ac:dyDescent="0.25">
      <c r="A97" s="6">
        <v>95</v>
      </c>
      <c r="B97" s="6">
        <v>0.19700000000000001</v>
      </c>
      <c r="C97" s="6">
        <v>0.74</v>
      </c>
      <c r="D97" s="6">
        <v>8.9599999999999999E-2</v>
      </c>
      <c r="E97" s="6">
        <v>0</v>
      </c>
      <c r="F97" s="6">
        <v>2</v>
      </c>
      <c r="G97" s="6">
        <v>2</v>
      </c>
    </row>
    <row r="98" spans="1:7" x14ac:dyDescent="0.25">
      <c r="A98" s="6">
        <v>96</v>
      </c>
      <c r="B98" s="6">
        <v>0.2273</v>
      </c>
      <c r="C98" s="6">
        <v>0.48</v>
      </c>
      <c r="D98" s="6">
        <v>0.22389999999999999</v>
      </c>
      <c r="E98" s="6">
        <v>0</v>
      </c>
      <c r="F98" s="6">
        <v>2</v>
      </c>
      <c r="G98" s="6">
        <v>2</v>
      </c>
    </row>
    <row r="99" spans="1:7" x14ac:dyDescent="0.25">
      <c r="A99" s="6">
        <v>97</v>
      </c>
      <c r="B99" s="6">
        <v>0.2273</v>
      </c>
      <c r="C99" s="6">
        <v>0.47</v>
      </c>
      <c r="D99" s="6">
        <v>0.16420000000000001</v>
      </c>
      <c r="E99" s="6">
        <v>0</v>
      </c>
      <c r="F99" s="6">
        <v>3</v>
      </c>
      <c r="G99" s="6">
        <v>3</v>
      </c>
    </row>
    <row r="100" spans="1:7" x14ac:dyDescent="0.25">
      <c r="A100" s="6">
        <v>98</v>
      </c>
      <c r="B100" s="6">
        <v>0.19700000000000001</v>
      </c>
      <c r="C100" s="6">
        <v>0.47</v>
      </c>
      <c r="D100" s="6">
        <v>0.22389999999999999</v>
      </c>
      <c r="E100" s="6">
        <v>0</v>
      </c>
      <c r="F100" s="6">
        <v>33</v>
      </c>
      <c r="G100" s="6">
        <v>33</v>
      </c>
    </row>
    <row r="101" spans="1:7" x14ac:dyDescent="0.25">
      <c r="A101" s="6">
        <v>99</v>
      </c>
      <c r="B101" s="6">
        <v>0.18179999999999999</v>
      </c>
      <c r="C101" s="6">
        <v>0.43</v>
      </c>
      <c r="D101" s="6">
        <v>0.19400000000000001</v>
      </c>
      <c r="E101" s="6">
        <v>1</v>
      </c>
      <c r="F101" s="6">
        <v>87</v>
      </c>
      <c r="G101" s="6">
        <v>88</v>
      </c>
    </row>
    <row r="102" spans="1:7" x14ac:dyDescent="0.25">
      <c r="A102" s="6">
        <v>100</v>
      </c>
      <c r="B102" s="6">
        <v>0.18179999999999999</v>
      </c>
      <c r="C102" s="6">
        <v>0.4</v>
      </c>
      <c r="D102" s="6">
        <v>0.29849999999999999</v>
      </c>
      <c r="E102" s="6">
        <v>3</v>
      </c>
      <c r="F102" s="6">
        <v>192</v>
      </c>
      <c r="G102" s="6">
        <v>195</v>
      </c>
    </row>
    <row r="103" spans="1:7" x14ac:dyDescent="0.25">
      <c r="A103" s="6">
        <v>101</v>
      </c>
      <c r="B103" s="6">
        <v>0.19700000000000001</v>
      </c>
      <c r="C103" s="6">
        <v>0.37</v>
      </c>
      <c r="D103" s="6">
        <v>0.32840000000000003</v>
      </c>
      <c r="E103" s="6">
        <v>6</v>
      </c>
      <c r="F103" s="6">
        <v>109</v>
      </c>
      <c r="G103" s="6">
        <v>115</v>
      </c>
    </row>
    <row r="104" spans="1:7" x14ac:dyDescent="0.25">
      <c r="A104" s="6">
        <v>102</v>
      </c>
      <c r="B104" s="6">
        <v>0.19700000000000001</v>
      </c>
      <c r="C104" s="6">
        <v>0.37</v>
      </c>
      <c r="D104" s="6">
        <v>0.32840000000000003</v>
      </c>
      <c r="E104" s="6">
        <v>4</v>
      </c>
      <c r="F104" s="6">
        <v>53</v>
      </c>
      <c r="G104" s="6">
        <v>57</v>
      </c>
    </row>
    <row r="105" spans="1:7" x14ac:dyDescent="0.25">
      <c r="A105" s="6">
        <v>103</v>
      </c>
      <c r="B105" s="6">
        <v>0.2273</v>
      </c>
      <c r="C105" s="6">
        <v>0.33</v>
      </c>
      <c r="D105" s="6">
        <v>0.32840000000000003</v>
      </c>
      <c r="E105" s="6">
        <v>12</v>
      </c>
      <c r="F105" s="6">
        <v>34</v>
      </c>
      <c r="G105" s="6">
        <v>46</v>
      </c>
    </row>
    <row r="106" spans="1:7" x14ac:dyDescent="0.25">
      <c r="A106" s="6">
        <v>104</v>
      </c>
      <c r="B106" s="6">
        <v>0.2273</v>
      </c>
      <c r="C106" s="6">
        <v>0.33</v>
      </c>
      <c r="D106" s="6">
        <v>0.32840000000000003</v>
      </c>
      <c r="E106" s="6">
        <v>5</v>
      </c>
      <c r="F106" s="6">
        <v>74</v>
      </c>
      <c r="G106" s="6">
        <v>79</v>
      </c>
    </row>
    <row r="107" spans="1:7" x14ac:dyDescent="0.25">
      <c r="A107" s="6">
        <v>105</v>
      </c>
      <c r="B107" s="6">
        <v>0.2576</v>
      </c>
      <c r="C107" s="6">
        <v>0.3</v>
      </c>
      <c r="D107" s="6">
        <v>0.29849999999999999</v>
      </c>
      <c r="E107" s="6">
        <v>6</v>
      </c>
      <c r="F107" s="6">
        <v>65</v>
      </c>
      <c r="G107" s="6">
        <v>71</v>
      </c>
    </row>
    <row r="108" spans="1:7" x14ac:dyDescent="0.25">
      <c r="A108" s="6">
        <v>106</v>
      </c>
      <c r="B108" s="6">
        <v>0.28789999999999999</v>
      </c>
      <c r="C108" s="6">
        <v>0.28000000000000003</v>
      </c>
      <c r="D108" s="6">
        <v>0.19400000000000001</v>
      </c>
      <c r="E108" s="6">
        <v>10</v>
      </c>
      <c r="F108" s="6">
        <v>52</v>
      </c>
      <c r="G108" s="6">
        <v>62</v>
      </c>
    </row>
    <row r="109" spans="1:7" x14ac:dyDescent="0.25">
      <c r="A109" s="6">
        <v>107</v>
      </c>
      <c r="B109" s="6">
        <v>0.28789999999999999</v>
      </c>
      <c r="C109" s="6">
        <v>0.28000000000000003</v>
      </c>
      <c r="D109" s="6">
        <v>0.19400000000000001</v>
      </c>
      <c r="E109" s="6">
        <v>7</v>
      </c>
      <c r="F109" s="6">
        <v>55</v>
      </c>
      <c r="G109" s="6">
        <v>62</v>
      </c>
    </row>
    <row r="110" spans="1:7" x14ac:dyDescent="0.25">
      <c r="A110" s="6">
        <v>108</v>
      </c>
      <c r="B110" s="6">
        <v>0.31819999999999998</v>
      </c>
      <c r="C110" s="6">
        <v>0.28000000000000003</v>
      </c>
      <c r="D110" s="6">
        <v>8.9599999999999999E-2</v>
      </c>
      <c r="E110" s="6">
        <v>4</v>
      </c>
      <c r="F110" s="6">
        <v>85</v>
      </c>
      <c r="G110" s="6">
        <v>89</v>
      </c>
    </row>
    <row r="111" spans="1:7" x14ac:dyDescent="0.25">
      <c r="A111" s="6">
        <v>109</v>
      </c>
      <c r="B111" s="6">
        <v>0.2273</v>
      </c>
      <c r="C111" s="6">
        <v>0.38</v>
      </c>
      <c r="D111" s="6">
        <v>0.19400000000000001</v>
      </c>
      <c r="E111" s="6">
        <v>4</v>
      </c>
      <c r="F111" s="6">
        <v>186</v>
      </c>
      <c r="G111" s="6">
        <v>190</v>
      </c>
    </row>
    <row r="112" spans="1:7" x14ac:dyDescent="0.25">
      <c r="A112" s="6">
        <v>110</v>
      </c>
      <c r="B112" s="6">
        <v>0.2424</v>
      </c>
      <c r="C112" s="6">
        <v>0.38</v>
      </c>
      <c r="D112" s="6">
        <v>0.1343</v>
      </c>
      <c r="E112" s="6">
        <v>3</v>
      </c>
      <c r="F112" s="6">
        <v>166</v>
      </c>
      <c r="G112" s="6">
        <v>169</v>
      </c>
    </row>
    <row r="113" spans="1:7" x14ac:dyDescent="0.25">
      <c r="A113" s="6">
        <v>111</v>
      </c>
      <c r="B113" s="6">
        <v>0.2576</v>
      </c>
      <c r="C113" s="6">
        <v>0.38</v>
      </c>
      <c r="D113" s="6">
        <v>0.1045</v>
      </c>
      <c r="E113" s="6">
        <v>5</v>
      </c>
      <c r="F113" s="6">
        <v>127</v>
      </c>
      <c r="G113" s="6">
        <v>132</v>
      </c>
    </row>
    <row r="114" spans="1:7" x14ac:dyDescent="0.25">
      <c r="A114" s="6">
        <v>112</v>
      </c>
      <c r="B114" s="6">
        <v>0.2273</v>
      </c>
      <c r="C114" s="6">
        <v>0.47</v>
      </c>
      <c r="D114" s="6">
        <v>0.16420000000000001</v>
      </c>
      <c r="E114" s="6">
        <v>7</v>
      </c>
      <c r="F114" s="6">
        <v>82</v>
      </c>
      <c r="G114" s="6">
        <v>89</v>
      </c>
    </row>
    <row r="115" spans="1:7" x14ac:dyDescent="0.25">
      <c r="A115" s="6">
        <v>113</v>
      </c>
      <c r="B115" s="6">
        <v>0.19700000000000001</v>
      </c>
      <c r="C115" s="6">
        <v>0.51</v>
      </c>
      <c r="D115" s="6">
        <v>0.19400000000000001</v>
      </c>
      <c r="E115" s="6">
        <v>3</v>
      </c>
      <c r="F115" s="6">
        <v>40</v>
      </c>
      <c r="G115" s="6">
        <v>43</v>
      </c>
    </row>
    <row r="116" spans="1:7" x14ac:dyDescent="0.25">
      <c r="A116" s="6">
        <v>114</v>
      </c>
      <c r="B116" s="6">
        <v>0.19700000000000001</v>
      </c>
      <c r="C116" s="6">
        <v>0.55000000000000004</v>
      </c>
      <c r="D116" s="6">
        <v>0.1343</v>
      </c>
      <c r="E116" s="6">
        <v>1</v>
      </c>
      <c r="F116" s="6">
        <v>41</v>
      </c>
      <c r="G116" s="6">
        <v>42</v>
      </c>
    </row>
    <row r="117" spans="1:7" x14ac:dyDescent="0.25">
      <c r="A117" s="6">
        <v>115</v>
      </c>
      <c r="B117" s="6">
        <v>0.2576</v>
      </c>
      <c r="C117" s="6">
        <v>0.47</v>
      </c>
      <c r="D117" s="6">
        <v>0</v>
      </c>
      <c r="E117" s="6">
        <v>1</v>
      </c>
      <c r="F117" s="6">
        <v>18</v>
      </c>
      <c r="G117" s="6">
        <v>19</v>
      </c>
    </row>
    <row r="118" spans="1:7" x14ac:dyDescent="0.25">
      <c r="A118" s="6">
        <v>116</v>
      </c>
      <c r="B118" s="6">
        <v>0.2424</v>
      </c>
      <c r="C118" s="6">
        <v>0.55000000000000004</v>
      </c>
      <c r="D118" s="6">
        <v>0</v>
      </c>
      <c r="E118" s="6">
        <v>0</v>
      </c>
      <c r="F118" s="6">
        <v>11</v>
      </c>
      <c r="G118" s="6">
        <v>11</v>
      </c>
    </row>
    <row r="119" spans="1:7" x14ac:dyDescent="0.25">
      <c r="A119" s="6">
        <v>117</v>
      </c>
      <c r="B119" s="6">
        <v>0.2273</v>
      </c>
      <c r="C119" s="6">
        <v>0.64</v>
      </c>
      <c r="D119" s="6">
        <v>0</v>
      </c>
      <c r="E119" s="6">
        <v>0</v>
      </c>
      <c r="F119" s="6">
        <v>4</v>
      </c>
      <c r="G119" s="6">
        <v>4</v>
      </c>
    </row>
    <row r="120" spans="1:7" x14ac:dyDescent="0.25">
      <c r="A120" s="6">
        <v>118</v>
      </c>
      <c r="B120" s="6">
        <v>0.2273</v>
      </c>
      <c r="C120" s="6">
        <v>0.64</v>
      </c>
      <c r="D120" s="6">
        <v>0</v>
      </c>
      <c r="E120" s="6">
        <v>0</v>
      </c>
      <c r="F120" s="6">
        <v>2</v>
      </c>
      <c r="G120" s="6">
        <v>2</v>
      </c>
    </row>
    <row r="121" spans="1:7" x14ac:dyDescent="0.25">
      <c r="A121" s="6">
        <v>119</v>
      </c>
      <c r="B121" s="6">
        <v>0.19700000000000001</v>
      </c>
      <c r="C121" s="6">
        <v>0.64</v>
      </c>
      <c r="D121" s="6">
        <v>8.9599999999999999E-2</v>
      </c>
      <c r="E121" s="6">
        <v>0</v>
      </c>
      <c r="F121" s="6">
        <v>1</v>
      </c>
      <c r="G121" s="6">
        <v>1</v>
      </c>
    </row>
    <row r="122" spans="1:7" x14ac:dyDescent="0.25">
      <c r="A122" s="6">
        <v>120</v>
      </c>
      <c r="B122" s="6">
        <v>0.18179999999999999</v>
      </c>
      <c r="C122" s="6">
        <v>0.69</v>
      </c>
      <c r="D122" s="6">
        <v>8.9599999999999999E-2</v>
      </c>
      <c r="E122" s="6">
        <v>0</v>
      </c>
      <c r="F122" s="6">
        <v>4</v>
      </c>
      <c r="G122" s="6">
        <v>4</v>
      </c>
    </row>
    <row r="123" spans="1:7" x14ac:dyDescent="0.25">
      <c r="A123" s="6">
        <v>121</v>
      </c>
      <c r="B123" s="6">
        <v>0.16669999999999999</v>
      </c>
      <c r="C123" s="6">
        <v>0.63</v>
      </c>
      <c r="D123" s="6">
        <v>0.1045</v>
      </c>
      <c r="E123" s="6">
        <v>0</v>
      </c>
      <c r="F123" s="6">
        <v>36</v>
      </c>
      <c r="G123" s="6">
        <v>36</v>
      </c>
    </row>
    <row r="124" spans="1:7" x14ac:dyDescent="0.25">
      <c r="A124" s="6">
        <v>122</v>
      </c>
      <c r="B124" s="6">
        <v>0.2273</v>
      </c>
      <c r="C124" s="6">
        <v>0.59</v>
      </c>
      <c r="D124" s="6">
        <v>0</v>
      </c>
      <c r="E124" s="6">
        <v>0</v>
      </c>
      <c r="F124" s="6">
        <v>95</v>
      </c>
      <c r="G124" s="6">
        <v>95</v>
      </c>
    </row>
    <row r="125" spans="1:7" x14ac:dyDescent="0.25">
      <c r="A125" s="6">
        <v>123</v>
      </c>
      <c r="B125" s="6">
        <v>0.2273</v>
      </c>
      <c r="C125" s="6">
        <v>0.59</v>
      </c>
      <c r="D125" s="6">
        <v>0</v>
      </c>
      <c r="E125" s="6">
        <v>3</v>
      </c>
      <c r="F125" s="6">
        <v>216</v>
      </c>
      <c r="G125" s="6">
        <v>219</v>
      </c>
    </row>
    <row r="126" spans="1:7" x14ac:dyDescent="0.25">
      <c r="A126" s="6">
        <v>124</v>
      </c>
      <c r="B126" s="6">
        <v>0.2424</v>
      </c>
      <c r="C126" s="6">
        <v>0.51</v>
      </c>
      <c r="D126" s="6">
        <v>0</v>
      </c>
      <c r="E126" s="6">
        <v>6</v>
      </c>
      <c r="F126" s="6">
        <v>116</v>
      </c>
      <c r="G126" s="6">
        <v>122</v>
      </c>
    </row>
    <row r="127" spans="1:7" x14ac:dyDescent="0.25">
      <c r="A127" s="6">
        <v>125</v>
      </c>
      <c r="B127" s="6">
        <v>0.2576</v>
      </c>
      <c r="C127" s="6">
        <v>0.47</v>
      </c>
      <c r="D127" s="6">
        <v>0</v>
      </c>
      <c r="E127" s="6">
        <v>3</v>
      </c>
      <c r="F127" s="6">
        <v>42</v>
      </c>
      <c r="G127" s="6">
        <v>45</v>
      </c>
    </row>
    <row r="128" spans="1:7" x14ac:dyDescent="0.25">
      <c r="A128" s="6">
        <v>126</v>
      </c>
      <c r="B128" s="6">
        <v>0.2576</v>
      </c>
      <c r="C128" s="6">
        <v>0.44</v>
      </c>
      <c r="D128" s="6">
        <v>8.9599999999999999E-2</v>
      </c>
      <c r="E128" s="6">
        <v>2</v>
      </c>
      <c r="F128" s="6">
        <v>57</v>
      </c>
      <c r="G128" s="6">
        <v>59</v>
      </c>
    </row>
    <row r="129" spans="1:7" x14ac:dyDescent="0.25">
      <c r="A129" s="6">
        <v>127</v>
      </c>
      <c r="B129" s="6">
        <v>0.28789999999999999</v>
      </c>
      <c r="C129" s="6">
        <v>0.35</v>
      </c>
      <c r="D129" s="6">
        <v>0</v>
      </c>
      <c r="E129" s="6">
        <v>6</v>
      </c>
      <c r="F129" s="6">
        <v>78</v>
      </c>
      <c r="G129" s="6">
        <v>84</v>
      </c>
    </row>
    <row r="130" spans="1:7" x14ac:dyDescent="0.25">
      <c r="A130" s="6">
        <v>128</v>
      </c>
      <c r="B130" s="6">
        <v>0.2727</v>
      </c>
      <c r="C130" s="6">
        <v>0.35</v>
      </c>
      <c r="D130" s="6">
        <v>0.1045</v>
      </c>
      <c r="E130" s="6">
        <v>12</v>
      </c>
      <c r="F130" s="6">
        <v>55</v>
      </c>
      <c r="G130" s="6">
        <v>67</v>
      </c>
    </row>
    <row r="131" spans="1:7" x14ac:dyDescent="0.25">
      <c r="A131" s="6">
        <v>129</v>
      </c>
      <c r="B131" s="6">
        <v>0.2727</v>
      </c>
      <c r="C131" s="6">
        <v>0.36</v>
      </c>
      <c r="D131" s="6">
        <v>0.16420000000000001</v>
      </c>
      <c r="E131" s="6">
        <v>11</v>
      </c>
      <c r="F131" s="6">
        <v>59</v>
      </c>
      <c r="G131" s="6">
        <v>70</v>
      </c>
    </row>
    <row r="132" spans="1:7" x14ac:dyDescent="0.25">
      <c r="A132" s="6">
        <v>130</v>
      </c>
      <c r="B132" s="6">
        <v>0.2727</v>
      </c>
      <c r="C132" s="6">
        <v>0.36</v>
      </c>
      <c r="D132" s="6">
        <v>0</v>
      </c>
      <c r="E132" s="6">
        <v>8</v>
      </c>
      <c r="F132" s="6">
        <v>54</v>
      </c>
      <c r="G132" s="6">
        <v>62</v>
      </c>
    </row>
    <row r="133" spans="1:7" x14ac:dyDescent="0.25">
      <c r="A133" s="6">
        <v>131</v>
      </c>
      <c r="B133" s="6">
        <v>0.2576</v>
      </c>
      <c r="C133" s="6">
        <v>0.38</v>
      </c>
      <c r="D133" s="6">
        <v>0.16420000000000001</v>
      </c>
      <c r="E133" s="6">
        <v>12</v>
      </c>
      <c r="F133" s="6">
        <v>74</v>
      </c>
      <c r="G133" s="6">
        <v>86</v>
      </c>
    </row>
    <row r="134" spans="1:7" x14ac:dyDescent="0.25">
      <c r="A134" s="6">
        <v>132</v>
      </c>
      <c r="B134" s="6">
        <v>0.2273</v>
      </c>
      <c r="C134" s="6">
        <v>0.51</v>
      </c>
      <c r="D134" s="6">
        <v>0.16420000000000001</v>
      </c>
      <c r="E134" s="6">
        <v>9</v>
      </c>
      <c r="F134" s="6">
        <v>163</v>
      </c>
      <c r="G134" s="6">
        <v>172</v>
      </c>
    </row>
    <row r="135" spans="1:7" x14ac:dyDescent="0.25">
      <c r="A135" s="6">
        <v>133</v>
      </c>
      <c r="B135" s="6">
        <v>0.2273</v>
      </c>
      <c r="C135" s="6">
        <v>0.51</v>
      </c>
      <c r="D135" s="6">
        <v>0.1343</v>
      </c>
      <c r="E135" s="6">
        <v>5</v>
      </c>
      <c r="F135" s="6">
        <v>158</v>
      </c>
      <c r="G135" s="6">
        <v>163</v>
      </c>
    </row>
    <row r="136" spans="1:7" x14ac:dyDescent="0.25">
      <c r="A136" s="6">
        <v>134</v>
      </c>
      <c r="B136" s="6">
        <v>0.2576</v>
      </c>
      <c r="C136" s="6">
        <v>0.55000000000000004</v>
      </c>
      <c r="D136" s="6">
        <v>8.9599999999999999E-2</v>
      </c>
      <c r="E136" s="6">
        <v>3</v>
      </c>
      <c r="F136" s="6">
        <v>109</v>
      </c>
      <c r="G136" s="6">
        <v>112</v>
      </c>
    </row>
    <row r="137" spans="1:7" x14ac:dyDescent="0.25">
      <c r="A137" s="6">
        <v>135</v>
      </c>
      <c r="B137" s="6">
        <v>0.21210000000000001</v>
      </c>
      <c r="C137" s="6">
        <v>0.51</v>
      </c>
      <c r="D137" s="6">
        <v>0.16420000000000001</v>
      </c>
      <c r="E137" s="6">
        <v>3</v>
      </c>
      <c r="F137" s="6">
        <v>66</v>
      </c>
      <c r="G137" s="6">
        <v>69</v>
      </c>
    </row>
    <row r="138" spans="1:7" x14ac:dyDescent="0.25">
      <c r="A138" s="6">
        <v>136</v>
      </c>
      <c r="B138" s="6">
        <v>0.21210000000000001</v>
      </c>
      <c r="C138" s="6">
        <v>0.55000000000000004</v>
      </c>
      <c r="D138" s="6">
        <v>0.22389999999999999</v>
      </c>
      <c r="E138" s="6">
        <v>0</v>
      </c>
      <c r="F138" s="6">
        <v>48</v>
      </c>
      <c r="G138" s="6">
        <v>48</v>
      </c>
    </row>
    <row r="139" spans="1:7" x14ac:dyDescent="0.25">
      <c r="A139" s="6">
        <v>137</v>
      </c>
      <c r="B139" s="6">
        <v>0.21210000000000001</v>
      </c>
      <c r="C139" s="6">
        <v>0.51</v>
      </c>
      <c r="D139" s="6">
        <v>0.28360000000000002</v>
      </c>
      <c r="E139" s="6">
        <v>1</v>
      </c>
      <c r="F139" s="6">
        <v>51</v>
      </c>
      <c r="G139" s="6">
        <v>52</v>
      </c>
    </row>
    <row r="140" spans="1:7" x14ac:dyDescent="0.25">
      <c r="A140" s="6">
        <v>138</v>
      </c>
      <c r="B140" s="6">
        <v>0.19700000000000001</v>
      </c>
      <c r="C140" s="6">
        <v>0.59</v>
      </c>
      <c r="D140" s="6">
        <v>0.19400000000000001</v>
      </c>
      <c r="E140" s="6">
        <v>4</v>
      </c>
      <c r="F140" s="6">
        <v>19</v>
      </c>
      <c r="G140" s="6">
        <v>23</v>
      </c>
    </row>
    <row r="141" spans="1:7" x14ac:dyDescent="0.25">
      <c r="A141" s="6">
        <v>139</v>
      </c>
      <c r="B141" s="6">
        <v>0.19700000000000001</v>
      </c>
      <c r="C141" s="6">
        <v>0.64</v>
      </c>
      <c r="D141" s="6">
        <v>0.19400000000000001</v>
      </c>
      <c r="E141" s="6">
        <v>4</v>
      </c>
      <c r="F141" s="6">
        <v>13</v>
      </c>
      <c r="G141" s="6">
        <v>17</v>
      </c>
    </row>
    <row r="142" spans="1:7" x14ac:dyDescent="0.25">
      <c r="A142" s="6">
        <v>140</v>
      </c>
      <c r="B142" s="6">
        <v>0.19700000000000001</v>
      </c>
      <c r="C142" s="6">
        <v>0.69</v>
      </c>
      <c r="D142" s="6">
        <v>0.22389999999999999</v>
      </c>
      <c r="E142" s="6">
        <v>2</v>
      </c>
      <c r="F142" s="6">
        <v>5</v>
      </c>
      <c r="G142" s="6">
        <v>7</v>
      </c>
    </row>
    <row r="143" spans="1:7" x14ac:dyDescent="0.25">
      <c r="A143" s="6">
        <v>141</v>
      </c>
      <c r="B143" s="6">
        <v>0.19700000000000001</v>
      </c>
      <c r="C143" s="6">
        <v>0.69</v>
      </c>
      <c r="D143" s="6">
        <v>0.22389999999999999</v>
      </c>
      <c r="E143" s="6">
        <v>0</v>
      </c>
      <c r="F143" s="6">
        <v>1</v>
      </c>
      <c r="G143" s="6">
        <v>1</v>
      </c>
    </row>
    <row r="144" spans="1:7" x14ac:dyDescent="0.25">
      <c r="A144" s="6">
        <v>142</v>
      </c>
      <c r="B144" s="6">
        <v>0.21210000000000001</v>
      </c>
      <c r="C144" s="6">
        <v>0.69</v>
      </c>
      <c r="D144" s="6">
        <v>0.1343</v>
      </c>
      <c r="E144" s="6">
        <v>0</v>
      </c>
      <c r="F144" s="6">
        <v>1</v>
      </c>
      <c r="G144" s="6">
        <v>1</v>
      </c>
    </row>
    <row r="145" spans="1:7" x14ac:dyDescent="0.25">
      <c r="A145" s="6">
        <v>143</v>
      </c>
      <c r="B145" s="6">
        <v>0.2727</v>
      </c>
      <c r="C145" s="6">
        <v>0.55000000000000004</v>
      </c>
      <c r="D145" s="6">
        <v>0</v>
      </c>
      <c r="E145" s="6">
        <v>0</v>
      </c>
      <c r="F145" s="6">
        <v>5</v>
      </c>
      <c r="G145" s="6">
        <v>5</v>
      </c>
    </row>
    <row r="146" spans="1:7" x14ac:dyDescent="0.25">
      <c r="A146" s="6">
        <v>144</v>
      </c>
      <c r="B146" s="6">
        <v>0.2576</v>
      </c>
      <c r="C146" s="6">
        <v>0.69</v>
      </c>
      <c r="D146" s="6">
        <v>0</v>
      </c>
      <c r="E146" s="6">
        <v>8</v>
      </c>
      <c r="F146" s="6">
        <v>26</v>
      </c>
      <c r="G146" s="6">
        <v>34</v>
      </c>
    </row>
    <row r="147" spans="1:7" x14ac:dyDescent="0.25">
      <c r="A147" s="6">
        <v>145</v>
      </c>
      <c r="B147" s="6">
        <v>0.21210000000000001</v>
      </c>
      <c r="C147" s="6">
        <v>0.69</v>
      </c>
      <c r="D147" s="6">
        <v>0.1343</v>
      </c>
      <c r="E147" s="6">
        <v>8</v>
      </c>
      <c r="F147" s="6">
        <v>76</v>
      </c>
      <c r="G147" s="6">
        <v>84</v>
      </c>
    </row>
    <row r="148" spans="1:7" x14ac:dyDescent="0.25">
      <c r="A148" s="6">
        <v>146</v>
      </c>
      <c r="B148" s="6">
        <v>0.19700000000000001</v>
      </c>
      <c r="C148" s="6">
        <v>0.51</v>
      </c>
      <c r="D148" s="6">
        <v>0.25369999999999998</v>
      </c>
      <c r="E148" s="6">
        <v>20</v>
      </c>
      <c r="F148" s="6">
        <v>190</v>
      </c>
      <c r="G148" s="6">
        <v>210</v>
      </c>
    </row>
    <row r="149" spans="1:7" x14ac:dyDescent="0.25">
      <c r="A149" s="6">
        <v>147</v>
      </c>
      <c r="B149" s="6">
        <v>0.18179999999999999</v>
      </c>
      <c r="C149" s="6">
        <v>0.47</v>
      </c>
      <c r="D149" s="6">
        <v>0.29849999999999999</v>
      </c>
      <c r="E149" s="6">
        <v>9</v>
      </c>
      <c r="F149" s="6">
        <v>125</v>
      </c>
      <c r="G149" s="6">
        <v>134</v>
      </c>
    </row>
    <row r="150" spans="1:7" x14ac:dyDescent="0.25">
      <c r="A150" s="6">
        <v>148</v>
      </c>
      <c r="B150" s="6">
        <v>0.19700000000000001</v>
      </c>
      <c r="C150" s="6">
        <v>0.37</v>
      </c>
      <c r="D150" s="6">
        <v>0.32840000000000003</v>
      </c>
      <c r="E150" s="6">
        <v>16</v>
      </c>
      <c r="F150" s="6">
        <v>47</v>
      </c>
      <c r="G150" s="6">
        <v>63</v>
      </c>
    </row>
    <row r="151" spans="1:7" x14ac:dyDescent="0.25">
      <c r="A151" s="6">
        <v>149</v>
      </c>
      <c r="B151" s="6">
        <v>0.19700000000000001</v>
      </c>
      <c r="C151" s="6">
        <v>0.4</v>
      </c>
      <c r="D151" s="6">
        <v>0.22389999999999999</v>
      </c>
      <c r="E151" s="6">
        <v>19</v>
      </c>
      <c r="F151" s="6">
        <v>48</v>
      </c>
      <c r="G151" s="6">
        <v>67</v>
      </c>
    </row>
    <row r="152" spans="1:7" x14ac:dyDescent="0.25">
      <c r="A152" s="6">
        <v>150</v>
      </c>
      <c r="B152" s="6">
        <v>0.19700000000000001</v>
      </c>
      <c r="C152" s="6">
        <v>0.37</v>
      </c>
      <c r="D152" s="6">
        <v>0.25369999999999998</v>
      </c>
      <c r="E152" s="6">
        <v>9</v>
      </c>
      <c r="F152" s="6">
        <v>50</v>
      </c>
      <c r="G152" s="6">
        <v>59</v>
      </c>
    </row>
    <row r="153" spans="1:7" x14ac:dyDescent="0.25">
      <c r="A153" s="6">
        <v>151</v>
      </c>
      <c r="B153" s="6">
        <v>0.18179999999999999</v>
      </c>
      <c r="C153" s="6">
        <v>0.37</v>
      </c>
      <c r="D153" s="6">
        <v>0.28360000000000002</v>
      </c>
      <c r="E153" s="6">
        <v>9</v>
      </c>
      <c r="F153" s="6">
        <v>64</v>
      </c>
      <c r="G153" s="6">
        <v>73</v>
      </c>
    </row>
    <row r="154" spans="1:7" x14ac:dyDescent="0.25">
      <c r="A154" s="6">
        <v>152</v>
      </c>
      <c r="B154" s="6">
        <v>0.19700000000000001</v>
      </c>
      <c r="C154" s="6">
        <v>0.4</v>
      </c>
      <c r="D154" s="6">
        <v>0.25369999999999998</v>
      </c>
      <c r="E154" s="6">
        <v>7</v>
      </c>
      <c r="F154" s="6">
        <v>43</v>
      </c>
      <c r="G154" s="6">
        <v>50</v>
      </c>
    </row>
    <row r="155" spans="1:7" x14ac:dyDescent="0.25">
      <c r="A155" s="6">
        <v>153</v>
      </c>
      <c r="B155" s="6">
        <v>0.21210000000000001</v>
      </c>
      <c r="C155" s="6">
        <v>0.37</v>
      </c>
      <c r="D155" s="6">
        <v>0.16420000000000001</v>
      </c>
      <c r="E155" s="6">
        <v>9</v>
      </c>
      <c r="F155" s="6">
        <v>63</v>
      </c>
      <c r="G155" s="6">
        <v>72</v>
      </c>
    </row>
    <row r="156" spans="1:7" x14ac:dyDescent="0.25">
      <c r="A156" s="6">
        <v>154</v>
      </c>
      <c r="B156" s="6">
        <v>0.21210000000000001</v>
      </c>
      <c r="C156" s="6">
        <v>0.37</v>
      </c>
      <c r="D156" s="6">
        <v>0.16420000000000001</v>
      </c>
      <c r="E156" s="6">
        <v>5</v>
      </c>
      <c r="F156" s="6">
        <v>82</v>
      </c>
      <c r="G156" s="6">
        <v>87</v>
      </c>
    </row>
    <row r="157" spans="1:7" x14ac:dyDescent="0.25">
      <c r="A157" s="6">
        <v>155</v>
      </c>
      <c r="B157" s="6">
        <v>0.2576</v>
      </c>
      <c r="C157" s="6">
        <v>0.37</v>
      </c>
      <c r="D157" s="6">
        <v>0</v>
      </c>
      <c r="E157" s="6">
        <v>9</v>
      </c>
      <c r="F157" s="6">
        <v>178</v>
      </c>
      <c r="G157" s="6">
        <v>187</v>
      </c>
    </row>
    <row r="158" spans="1:7" x14ac:dyDescent="0.25">
      <c r="A158" s="6">
        <v>156</v>
      </c>
      <c r="B158" s="6">
        <v>0.2273</v>
      </c>
      <c r="C158" s="6">
        <v>0.4</v>
      </c>
      <c r="D158" s="6">
        <v>8.9599999999999999E-2</v>
      </c>
      <c r="E158" s="6">
        <v>7</v>
      </c>
      <c r="F158" s="6">
        <v>116</v>
      </c>
      <c r="G158" s="6">
        <v>123</v>
      </c>
    </row>
    <row r="159" spans="1:7" x14ac:dyDescent="0.25">
      <c r="A159" s="6">
        <v>157</v>
      </c>
      <c r="B159" s="6">
        <v>0.19700000000000001</v>
      </c>
      <c r="C159" s="6">
        <v>0.55000000000000004</v>
      </c>
      <c r="D159" s="6">
        <v>8.9599999999999999E-2</v>
      </c>
      <c r="E159" s="6">
        <v>3</v>
      </c>
      <c r="F159" s="6">
        <v>92</v>
      </c>
      <c r="G159" s="6">
        <v>95</v>
      </c>
    </row>
    <row r="160" spans="1:7" x14ac:dyDescent="0.25">
      <c r="A160" s="6">
        <v>158</v>
      </c>
      <c r="B160" s="6">
        <v>0.21210000000000001</v>
      </c>
      <c r="C160" s="6">
        <v>0.47</v>
      </c>
      <c r="D160" s="6">
        <v>0.1045</v>
      </c>
      <c r="E160" s="6">
        <v>1</v>
      </c>
      <c r="F160" s="6">
        <v>50</v>
      </c>
      <c r="G160" s="6">
        <v>51</v>
      </c>
    </row>
    <row r="161" spans="1:7" x14ac:dyDescent="0.25">
      <c r="A161" s="6">
        <v>159</v>
      </c>
      <c r="B161" s="6">
        <v>0.19700000000000001</v>
      </c>
      <c r="C161" s="6">
        <v>0.47</v>
      </c>
      <c r="D161" s="6">
        <v>0.1343</v>
      </c>
      <c r="E161" s="6">
        <v>0</v>
      </c>
      <c r="F161" s="6">
        <v>39</v>
      </c>
      <c r="G161" s="6">
        <v>39</v>
      </c>
    </row>
    <row r="162" spans="1:7" x14ac:dyDescent="0.25">
      <c r="A162" s="6">
        <v>160</v>
      </c>
      <c r="B162" s="6">
        <v>0.19700000000000001</v>
      </c>
      <c r="C162" s="6">
        <v>0.43</v>
      </c>
      <c r="D162" s="6">
        <v>0.16420000000000001</v>
      </c>
      <c r="E162" s="6">
        <v>2</v>
      </c>
      <c r="F162" s="6">
        <v>34</v>
      </c>
      <c r="G162" s="6">
        <v>36</v>
      </c>
    </row>
    <row r="163" spans="1:7" x14ac:dyDescent="0.25">
      <c r="A163" s="6">
        <v>161</v>
      </c>
      <c r="B163" s="6">
        <v>0.19700000000000001</v>
      </c>
      <c r="C163" s="6">
        <v>0.51</v>
      </c>
      <c r="D163" s="6">
        <v>0.16420000000000001</v>
      </c>
      <c r="E163" s="6">
        <v>1</v>
      </c>
      <c r="F163" s="6">
        <v>14</v>
      </c>
      <c r="G163" s="6">
        <v>15</v>
      </c>
    </row>
    <row r="164" spans="1:7" x14ac:dyDescent="0.25">
      <c r="A164" s="6">
        <v>162</v>
      </c>
      <c r="B164" s="6">
        <v>0.19700000000000001</v>
      </c>
      <c r="C164" s="6">
        <v>0.51</v>
      </c>
      <c r="D164" s="6">
        <v>0.16420000000000001</v>
      </c>
      <c r="E164" s="6">
        <v>1</v>
      </c>
      <c r="F164" s="6">
        <v>24</v>
      </c>
      <c r="G164" s="6">
        <v>25</v>
      </c>
    </row>
    <row r="165" spans="1:7" x14ac:dyDescent="0.25">
      <c r="A165" s="6">
        <v>163</v>
      </c>
      <c r="B165" s="6">
        <v>0.21210000000000001</v>
      </c>
      <c r="C165" s="6">
        <v>0.55000000000000004</v>
      </c>
      <c r="D165" s="6">
        <v>8.9599999999999999E-2</v>
      </c>
      <c r="E165" s="6">
        <v>1</v>
      </c>
      <c r="F165" s="6">
        <v>15</v>
      </c>
      <c r="G165" s="6">
        <v>16</v>
      </c>
    </row>
    <row r="166" spans="1:7" x14ac:dyDescent="0.25">
      <c r="A166" s="6">
        <v>164</v>
      </c>
      <c r="B166" s="6">
        <v>0.2424</v>
      </c>
      <c r="C166" s="6">
        <v>0.55000000000000004</v>
      </c>
      <c r="D166" s="6">
        <v>0</v>
      </c>
      <c r="E166" s="6">
        <v>3</v>
      </c>
      <c r="F166" s="6">
        <v>13</v>
      </c>
      <c r="G166" s="6">
        <v>16</v>
      </c>
    </row>
    <row r="167" spans="1:7" x14ac:dyDescent="0.25">
      <c r="A167" s="6">
        <v>165</v>
      </c>
      <c r="B167" s="6">
        <v>0.19700000000000001</v>
      </c>
      <c r="C167" s="6">
        <v>0.55000000000000004</v>
      </c>
      <c r="D167" s="6">
        <v>0.16420000000000001</v>
      </c>
      <c r="E167" s="6">
        <v>0</v>
      </c>
      <c r="F167" s="6">
        <v>7</v>
      </c>
      <c r="G167" s="6">
        <v>7</v>
      </c>
    </row>
    <row r="168" spans="1:7" x14ac:dyDescent="0.25">
      <c r="A168" s="6">
        <v>166</v>
      </c>
      <c r="B168" s="6">
        <v>0.19700000000000001</v>
      </c>
      <c r="C168" s="6">
        <v>0.55000000000000004</v>
      </c>
      <c r="D168" s="6">
        <v>0.16420000000000001</v>
      </c>
      <c r="E168" s="6">
        <v>0</v>
      </c>
      <c r="F168" s="6">
        <v>1</v>
      </c>
      <c r="G168" s="6">
        <v>1</v>
      </c>
    </row>
    <row r="169" spans="1:7" x14ac:dyDescent="0.25">
      <c r="A169" s="6">
        <v>167</v>
      </c>
      <c r="B169" s="6">
        <v>0.16669999999999999</v>
      </c>
      <c r="C169" s="6">
        <v>0.74</v>
      </c>
      <c r="D169" s="6">
        <v>0.16420000000000001</v>
      </c>
      <c r="E169" s="6">
        <v>0</v>
      </c>
      <c r="F169" s="6">
        <v>5</v>
      </c>
      <c r="G169" s="6">
        <v>5</v>
      </c>
    </row>
    <row r="170" spans="1:7" x14ac:dyDescent="0.25">
      <c r="A170" s="6">
        <v>168</v>
      </c>
      <c r="B170" s="6">
        <v>0.16669999999999999</v>
      </c>
      <c r="C170" s="6">
        <v>0.74</v>
      </c>
      <c r="D170" s="6">
        <v>0.16420000000000001</v>
      </c>
      <c r="E170" s="6">
        <v>0</v>
      </c>
      <c r="F170" s="6">
        <v>2</v>
      </c>
      <c r="G170" s="6">
        <v>2</v>
      </c>
    </row>
    <row r="171" spans="1:7" x14ac:dyDescent="0.25">
      <c r="A171" s="6">
        <v>169</v>
      </c>
      <c r="B171" s="6">
        <v>0.18179999999999999</v>
      </c>
      <c r="C171" s="6">
        <v>0.74</v>
      </c>
      <c r="D171" s="6">
        <v>0.1045</v>
      </c>
      <c r="E171" s="6">
        <v>1</v>
      </c>
      <c r="F171" s="6">
        <v>8</v>
      </c>
      <c r="G171" s="6">
        <v>9</v>
      </c>
    </row>
    <row r="172" spans="1:7" x14ac:dyDescent="0.25">
      <c r="A172" s="6">
        <v>170</v>
      </c>
      <c r="B172" s="6">
        <v>0.18179999999999999</v>
      </c>
      <c r="C172" s="6">
        <v>0.93</v>
      </c>
      <c r="D172" s="6">
        <v>0.1045</v>
      </c>
      <c r="E172" s="6">
        <v>0</v>
      </c>
      <c r="F172" s="6">
        <v>15</v>
      </c>
      <c r="G172" s="6">
        <v>15</v>
      </c>
    </row>
    <row r="173" spans="1:7" x14ac:dyDescent="0.25">
      <c r="A173" s="6">
        <v>171</v>
      </c>
      <c r="B173" s="6">
        <v>0.18179999999999999</v>
      </c>
      <c r="C173" s="6">
        <v>0.93</v>
      </c>
      <c r="D173" s="6">
        <v>0.1045</v>
      </c>
      <c r="E173" s="6">
        <v>0</v>
      </c>
      <c r="F173" s="6">
        <v>20</v>
      </c>
      <c r="G173" s="6">
        <v>20</v>
      </c>
    </row>
    <row r="174" spans="1:7" x14ac:dyDescent="0.25">
      <c r="A174" s="6">
        <v>172</v>
      </c>
      <c r="B174" s="6">
        <v>0.19700000000000001</v>
      </c>
      <c r="C174" s="6">
        <v>0.8</v>
      </c>
      <c r="D174" s="6">
        <v>0.16420000000000001</v>
      </c>
      <c r="E174" s="6">
        <v>5</v>
      </c>
      <c r="F174" s="6">
        <v>56</v>
      </c>
      <c r="G174" s="6">
        <v>61</v>
      </c>
    </row>
    <row r="175" spans="1:7" x14ac:dyDescent="0.25">
      <c r="A175" s="6">
        <v>173</v>
      </c>
      <c r="B175" s="6">
        <v>0.18179999999999999</v>
      </c>
      <c r="C175" s="6">
        <v>0.69</v>
      </c>
      <c r="D175" s="6">
        <v>0.3881</v>
      </c>
      <c r="E175" s="6">
        <v>2</v>
      </c>
      <c r="F175" s="6">
        <v>60</v>
      </c>
      <c r="G175" s="6">
        <v>62</v>
      </c>
    </row>
    <row r="176" spans="1:7" x14ac:dyDescent="0.25">
      <c r="A176" s="6">
        <v>174</v>
      </c>
      <c r="B176" s="6">
        <v>0.18179999999999999</v>
      </c>
      <c r="C176" s="6">
        <v>0.59</v>
      </c>
      <c r="D176" s="6">
        <v>0.35820000000000002</v>
      </c>
      <c r="E176" s="6">
        <v>8</v>
      </c>
      <c r="F176" s="6">
        <v>90</v>
      </c>
      <c r="G176" s="6">
        <v>98</v>
      </c>
    </row>
    <row r="177" spans="1:7" x14ac:dyDescent="0.25">
      <c r="A177" s="6">
        <v>175</v>
      </c>
      <c r="B177" s="6">
        <v>0.18179999999999999</v>
      </c>
      <c r="C177" s="6">
        <v>0.44</v>
      </c>
      <c r="D177" s="6">
        <v>0.32840000000000003</v>
      </c>
      <c r="E177" s="6">
        <v>7</v>
      </c>
      <c r="F177" s="6">
        <v>95</v>
      </c>
      <c r="G177" s="6">
        <v>102</v>
      </c>
    </row>
    <row r="178" spans="1:7" x14ac:dyDescent="0.25">
      <c r="A178" s="6">
        <v>176</v>
      </c>
      <c r="B178" s="6">
        <v>0.16669999999999999</v>
      </c>
      <c r="C178" s="6">
        <v>0.32</v>
      </c>
      <c r="D178" s="6">
        <v>0.49249999999999999</v>
      </c>
      <c r="E178" s="6">
        <v>12</v>
      </c>
      <c r="F178" s="6">
        <v>83</v>
      </c>
      <c r="G178" s="6">
        <v>95</v>
      </c>
    </row>
    <row r="179" spans="1:7" x14ac:dyDescent="0.25">
      <c r="A179" s="6">
        <v>177</v>
      </c>
      <c r="B179" s="6">
        <v>0.16669999999999999</v>
      </c>
      <c r="C179" s="6">
        <v>0.32</v>
      </c>
      <c r="D179" s="6">
        <v>0.44779999999999998</v>
      </c>
      <c r="E179" s="6">
        <v>5</v>
      </c>
      <c r="F179" s="6">
        <v>69</v>
      </c>
      <c r="G179" s="6">
        <v>74</v>
      </c>
    </row>
    <row r="180" spans="1:7" x14ac:dyDescent="0.25">
      <c r="A180" s="6">
        <v>178</v>
      </c>
      <c r="B180" s="6">
        <v>0.13639999999999999</v>
      </c>
      <c r="C180" s="6">
        <v>0.28999999999999998</v>
      </c>
      <c r="D180" s="6">
        <v>0.44779999999999998</v>
      </c>
      <c r="E180" s="6">
        <v>8</v>
      </c>
      <c r="F180" s="6">
        <v>68</v>
      </c>
      <c r="G180" s="6">
        <v>76</v>
      </c>
    </row>
    <row r="181" spans="1:7" x14ac:dyDescent="0.25">
      <c r="A181" s="6">
        <v>179</v>
      </c>
      <c r="B181" s="6">
        <v>0.1212</v>
      </c>
      <c r="C181" s="6">
        <v>0.37</v>
      </c>
      <c r="D181" s="6">
        <v>0.55220000000000002</v>
      </c>
      <c r="E181" s="6">
        <v>5</v>
      </c>
      <c r="F181" s="6">
        <v>64</v>
      </c>
      <c r="G181" s="6">
        <v>69</v>
      </c>
    </row>
    <row r="182" spans="1:7" x14ac:dyDescent="0.25">
      <c r="A182" s="6">
        <v>180</v>
      </c>
      <c r="B182" s="6">
        <v>0.1212</v>
      </c>
      <c r="C182" s="6">
        <v>0.39</v>
      </c>
      <c r="D182" s="6">
        <v>0.29849999999999999</v>
      </c>
      <c r="E182" s="6">
        <v>3</v>
      </c>
      <c r="F182" s="6">
        <v>52</v>
      </c>
      <c r="G182" s="6">
        <v>55</v>
      </c>
    </row>
    <row r="183" spans="1:7" x14ac:dyDescent="0.25">
      <c r="A183" s="6">
        <v>181</v>
      </c>
      <c r="B183" s="6">
        <v>0.1212</v>
      </c>
      <c r="C183" s="6">
        <v>0.36</v>
      </c>
      <c r="D183" s="6">
        <v>0.25369999999999998</v>
      </c>
      <c r="E183" s="6">
        <v>4</v>
      </c>
      <c r="F183" s="6">
        <v>26</v>
      </c>
      <c r="G183" s="6">
        <v>30</v>
      </c>
    </row>
    <row r="184" spans="1:7" x14ac:dyDescent="0.25">
      <c r="A184" s="6">
        <v>182</v>
      </c>
      <c r="B184" s="6">
        <v>0.1212</v>
      </c>
      <c r="C184" s="6">
        <v>0.36</v>
      </c>
      <c r="D184" s="6">
        <v>0.25369999999999998</v>
      </c>
      <c r="E184" s="6">
        <v>0</v>
      </c>
      <c r="F184" s="6">
        <v>28</v>
      </c>
      <c r="G184" s="6">
        <v>28</v>
      </c>
    </row>
    <row r="185" spans="1:7" x14ac:dyDescent="0.25">
      <c r="A185" s="6">
        <v>183</v>
      </c>
      <c r="B185" s="6">
        <v>0.1061</v>
      </c>
      <c r="C185" s="6">
        <v>0.39</v>
      </c>
      <c r="D185" s="6">
        <v>0.35820000000000002</v>
      </c>
      <c r="E185" s="6">
        <v>2</v>
      </c>
      <c r="F185" s="6">
        <v>35</v>
      </c>
      <c r="G185" s="6">
        <v>37</v>
      </c>
    </row>
    <row r="186" spans="1:7" x14ac:dyDescent="0.25">
      <c r="A186" s="6">
        <v>184</v>
      </c>
      <c r="B186" s="6">
        <v>0.1061</v>
      </c>
      <c r="C186" s="6">
        <v>0.36</v>
      </c>
      <c r="D186" s="6">
        <v>0.3881</v>
      </c>
      <c r="E186" s="6">
        <v>1</v>
      </c>
      <c r="F186" s="6">
        <v>33</v>
      </c>
      <c r="G186" s="6">
        <v>34</v>
      </c>
    </row>
    <row r="187" spans="1:7" x14ac:dyDescent="0.25">
      <c r="A187" s="6">
        <v>185</v>
      </c>
      <c r="B187" s="6">
        <v>6.0600000000000001E-2</v>
      </c>
      <c r="C187" s="6">
        <v>0.39</v>
      </c>
      <c r="D187" s="6">
        <v>0.44779999999999998</v>
      </c>
      <c r="E187" s="6">
        <v>0</v>
      </c>
      <c r="F187" s="6">
        <v>22</v>
      </c>
      <c r="G187" s="6">
        <v>22</v>
      </c>
    </row>
    <row r="188" spans="1:7" x14ac:dyDescent="0.25">
      <c r="A188" s="6">
        <v>186</v>
      </c>
      <c r="B188" s="6">
        <v>7.5800000000000006E-2</v>
      </c>
      <c r="C188" s="6">
        <v>0.42</v>
      </c>
      <c r="D188" s="6">
        <v>0.3881</v>
      </c>
      <c r="E188" s="6">
        <v>1</v>
      </c>
      <c r="F188" s="6">
        <v>24</v>
      </c>
      <c r="G188" s="6">
        <v>25</v>
      </c>
    </row>
    <row r="189" spans="1:7" x14ac:dyDescent="0.25">
      <c r="A189" s="6">
        <v>187</v>
      </c>
      <c r="B189" s="6">
        <v>6.0600000000000001E-2</v>
      </c>
      <c r="C189" s="6">
        <v>0.42</v>
      </c>
      <c r="D189" s="6">
        <v>0.4627</v>
      </c>
      <c r="E189" s="6">
        <v>0</v>
      </c>
      <c r="F189" s="6">
        <v>12</v>
      </c>
      <c r="G189" s="6">
        <v>12</v>
      </c>
    </row>
    <row r="190" spans="1:7" x14ac:dyDescent="0.25">
      <c r="A190" s="6">
        <v>188</v>
      </c>
      <c r="B190" s="6">
        <v>6.0600000000000001E-2</v>
      </c>
      <c r="C190" s="6">
        <v>0.46</v>
      </c>
      <c r="D190" s="6">
        <v>0.4627</v>
      </c>
      <c r="E190" s="6">
        <v>0</v>
      </c>
      <c r="F190" s="6">
        <v>11</v>
      </c>
      <c r="G190" s="6">
        <v>11</v>
      </c>
    </row>
    <row r="191" spans="1:7" x14ac:dyDescent="0.25">
      <c r="A191" s="6">
        <v>189</v>
      </c>
      <c r="B191" s="6">
        <v>7.5800000000000006E-2</v>
      </c>
      <c r="C191" s="6">
        <v>0.46</v>
      </c>
      <c r="D191" s="6">
        <v>0.41789999999999999</v>
      </c>
      <c r="E191" s="6">
        <v>0</v>
      </c>
      <c r="F191" s="6">
        <v>4</v>
      </c>
      <c r="G191" s="6">
        <v>4</v>
      </c>
    </row>
    <row r="192" spans="1:7" x14ac:dyDescent="0.25">
      <c r="A192" s="6">
        <v>190</v>
      </c>
      <c r="B192" s="6">
        <v>9.0899999999999995E-2</v>
      </c>
      <c r="C192" s="6">
        <v>0.53</v>
      </c>
      <c r="D192" s="6">
        <v>0.19400000000000001</v>
      </c>
      <c r="E192" s="6">
        <v>0</v>
      </c>
      <c r="F192" s="6">
        <v>1</v>
      </c>
      <c r="G192" s="6">
        <v>1</v>
      </c>
    </row>
    <row r="193" spans="1:7" x14ac:dyDescent="0.25">
      <c r="A193" s="6">
        <v>191</v>
      </c>
      <c r="B193" s="6">
        <v>9.0899999999999995E-2</v>
      </c>
      <c r="C193" s="6">
        <v>0.53</v>
      </c>
      <c r="D193" s="6">
        <v>0.19400000000000001</v>
      </c>
      <c r="E193" s="6">
        <v>0</v>
      </c>
      <c r="F193" s="6">
        <v>1</v>
      </c>
      <c r="G193" s="6">
        <v>1</v>
      </c>
    </row>
    <row r="194" spans="1:7" x14ac:dyDescent="0.25">
      <c r="A194" s="6">
        <v>192</v>
      </c>
      <c r="B194" s="6">
        <v>9.0899999999999995E-2</v>
      </c>
      <c r="C194" s="6">
        <v>0.49</v>
      </c>
      <c r="D194" s="6">
        <v>0.28360000000000002</v>
      </c>
      <c r="E194" s="6">
        <v>0</v>
      </c>
      <c r="F194" s="6">
        <v>1</v>
      </c>
      <c r="G194" s="6">
        <v>1</v>
      </c>
    </row>
    <row r="195" spans="1:7" x14ac:dyDescent="0.25">
      <c r="A195" s="6">
        <v>193</v>
      </c>
      <c r="B195" s="6">
        <v>9.0899999999999995E-2</v>
      </c>
      <c r="C195" s="6">
        <v>0.53</v>
      </c>
      <c r="D195" s="6">
        <v>0.19400000000000001</v>
      </c>
      <c r="E195" s="6">
        <v>1</v>
      </c>
      <c r="F195" s="6">
        <v>5</v>
      </c>
      <c r="G195" s="6">
        <v>6</v>
      </c>
    </row>
    <row r="196" spans="1:7" x14ac:dyDescent="0.25">
      <c r="A196" s="6">
        <v>194</v>
      </c>
      <c r="B196" s="6">
        <v>9.0899999999999995E-2</v>
      </c>
      <c r="C196" s="6">
        <v>0.49</v>
      </c>
      <c r="D196" s="6">
        <v>0.28360000000000002</v>
      </c>
      <c r="E196" s="6">
        <v>0</v>
      </c>
      <c r="F196" s="6">
        <v>10</v>
      </c>
      <c r="G196" s="6">
        <v>10</v>
      </c>
    </row>
    <row r="197" spans="1:7" x14ac:dyDescent="0.25">
      <c r="A197" s="6">
        <v>195</v>
      </c>
      <c r="B197" s="6">
        <v>7.5800000000000006E-2</v>
      </c>
      <c r="C197" s="6">
        <v>0.46</v>
      </c>
      <c r="D197" s="6">
        <v>0.52239999999999998</v>
      </c>
      <c r="E197" s="6">
        <v>0</v>
      </c>
      <c r="F197" s="6">
        <v>19</v>
      </c>
      <c r="G197" s="6">
        <v>19</v>
      </c>
    </row>
    <row r="198" spans="1:7" x14ac:dyDescent="0.25">
      <c r="A198" s="6">
        <v>196</v>
      </c>
      <c r="B198" s="6">
        <v>0.1061</v>
      </c>
      <c r="C198" s="6">
        <v>0.43</v>
      </c>
      <c r="D198" s="6">
        <v>0.3881</v>
      </c>
      <c r="E198" s="6">
        <v>0</v>
      </c>
      <c r="F198" s="6">
        <v>49</v>
      </c>
      <c r="G198" s="6">
        <v>49</v>
      </c>
    </row>
    <row r="199" spans="1:7" x14ac:dyDescent="0.25">
      <c r="A199" s="6">
        <v>197</v>
      </c>
      <c r="B199" s="6">
        <v>0.1212</v>
      </c>
      <c r="C199" s="6">
        <v>0.4</v>
      </c>
      <c r="D199" s="6">
        <v>0.52239999999999998</v>
      </c>
      <c r="E199" s="6">
        <v>2</v>
      </c>
      <c r="F199" s="6">
        <v>47</v>
      </c>
      <c r="G199" s="6">
        <v>49</v>
      </c>
    </row>
    <row r="200" spans="1:7" x14ac:dyDescent="0.25">
      <c r="A200" s="6">
        <v>198</v>
      </c>
      <c r="B200" s="6">
        <v>0.13639999999999999</v>
      </c>
      <c r="C200" s="6">
        <v>0.37</v>
      </c>
      <c r="D200" s="6">
        <v>0.44779999999999998</v>
      </c>
      <c r="E200" s="6">
        <v>4</v>
      </c>
      <c r="F200" s="6">
        <v>79</v>
      </c>
      <c r="G200" s="6">
        <v>83</v>
      </c>
    </row>
    <row r="201" spans="1:7" x14ac:dyDescent="0.25">
      <c r="A201" s="6">
        <v>199</v>
      </c>
      <c r="B201" s="6">
        <v>0.16669999999999999</v>
      </c>
      <c r="C201" s="6">
        <v>0.34</v>
      </c>
      <c r="D201" s="6">
        <v>0.44779999999999998</v>
      </c>
      <c r="E201" s="6">
        <v>6</v>
      </c>
      <c r="F201" s="6">
        <v>69</v>
      </c>
      <c r="G201" s="6">
        <v>75</v>
      </c>
    </row>
    <row r="202" spans="1:7" x14ac:dyDescent="0.25">
      <c r="A202" s="6">
        <v>200</v>
      </c>
      <c r="B202" s="6">
        <v>0.18179999999999999</v>
      </c>
      <c r="C202" s="6">
        <v>0.32</v>
      </c>
      <c r="D202" s="6">
        <v>0.4627</v>
      </c>
      <c r="E202" s="6">
        <v>8</v>
      </c>
      <c r="F202" s="6">
        <v>64</v>
      </c>
      <c r="G202" s="6">
        <v>72</v>
      </c>
    </row>
    <row r="203" spans="1:7" x14ac:dyDescent="0.25">
      <c r="A203" s="6">
        <v>201</v>
      </c>
      <c r="B203" s="6">
        <v>0.19700000000000001</v>
      </c>
      <c r="C203" s="6">
        <v>0.35</v>
      </c>
      <c r="D203" s="6">
        <v>0.35820000000000002</v>
      </c>
      <c r="E203" s="6">
        <v>5</v>
      </c>
      <c r="F203" s="6">
        <v>77</v>
      </c>
      <c r="G203" s="6">
        <v>82</v>
      </c>
    </row>
    <row r="204" spans="1:7" x14ac:dyDescent="0.25">
      <c r="A204" s="6">
        <v>202</v>
      </c>
      <c r="B204" s="6">
        <v>0.16669999999999999</v>
      </c>
      <c r="C204" s="6">
        <v>0.34</v>
      </c>
      <c r="D204" s="6">
        <v>0.44779999999999998</v>
      </c>
      <c r="E204" s="6">
        <v>13</v>
      </c>
      <c r="F204" s="6">
        <v>79</v>
      </c>
      <c r="G204" s="6">
        <v>92</v>
      </c>
    </row>
    <row r="205" spans="1:7" x14ac:dyDescent="0.25">
      <c r="A205" s="6">
        <v>203</v>
      </c>
      <c r="B205" s="6">
        <v>0.1515</v>
      </c>
      <c r="C205" s="6">
        <v>0.37</v>
      </c>
      <c r="D205" s="6">
        <v>0.3881</v>
      </c>
      <c r="E205" s="6">
        <v>3</v>
      </c>
      <c r="F205" s="6">
        <v>59</v>
      </c>
      <c r="G205" s="6">
        <v>62</v>
      </c>
    </row>
    <row r="206" spans="1:7" x14ac:dyDescent="0.25">
      <c r="A206" s="6">
        <v>204</v>
      </c>
      <c r="B206" s="6">
        <v>0.13639999999999999</v>
      </c>
      <c r="C206" s="6">
        <v>0.4</v>
      </c>
      <c r="D206" s="6">
        <v>0.32840000000000003</v>
      </c>
      <c r="E206" s="6">
        <v>4</v>
      </c>
      <c r="F206" s="6">
        <v>44</v>
      </c>
      <c r="G206" s="6">
        <v>48</v>
      </c>
    </row>
    <row r="207" spans="1:7" x14ac:dyDescent="0.25">
      <c r="A207" s="6">
        <v>205</v>
      </c>
      <c r="B207" s="6">
        <v>0.13639999999999999</v>
      </c>
      <c r="C207" s="6">
        <v>0.43</v>
      </c>
      <c r="D207" s="6">
        <v>0.32840000000000003</v>
      </c>
      <c r="E207" s="6">
        <v>1</v>
      </c>
      <c r="F207" s="6">
        <v>40</v>
      </c>
      <c r="G207" s="6">
        <v>41</v>
      </c>
    </row>
    <row r="208" spans="1:7" x14ac:dyDescent="0.25">
      <c r="A208" s="6">
        <v>206</v>
      </c>
      <c r="B208" s="6">
        <v>0.1212</v>
      </c>
      <c r="C208" s="6">
        <v>0.46</v>
      </c>
      <c r="D208" s="6">
        <v>0.25369999999999998</v>
      </c>
      <c r="E208" s="6">
        <v>0</v>
      </c>
      <c r="F208" s="6">
        <v>38</v>
      </c>
      <c r="G208" s="6">
        <v>38</v>
      </c>
    </row>
    <row r="209" spans="1:7" x14ac:dyDescent="0.25">
      <c r="A209" s="6">
        <v>207</v>
      </c>
      <c r="B209" s="6">
        <v>0.1061</v>
      </c>
      <c r="C209" s="6">
        <v>0.46</v>
      </c>
      <c r="D209" s="6">
        <v>0.41789999999999999</v>
      </c>
      <c r="E209" s="6">
        <v>1</v>
      </c>
      <c r="F209" s="6">
        <v>19</v>
      </c>
      <c r="G209" s="6">
        <v>20</v>
      </c>
    </row>
    <row r="210" spans="1:7" x14ac:dyDescent="0.25">
      <c r="A210" s="6">
        <v>208</v>
      </c>
      <c r="B210" s="6">
        <v>0.1212</v>
      </c>
      <c r="C210" s="6">
        <v>0.46</v>
      </c>
      <c r="D210" s="6">
        <v>0.29849999999999999</v>
      </c>
      <c r="E210" s="6">
        <v>5</v>
      </c>
      <c r="F210" s="6">
        <v>10</v>
      </c>
      <c r="G210" s="6">
        <v>15</v>
      </c>
    </row>
    <row r="211" spans="1:7" x14ac:dyDescent="0.25">
      <c r="A211" s="6">
        <v>209</v>
      </c>
      <c r="B211" s="6">
        <v>0.13639999999999999</v>
      </c>
      <c r="C211" s="6">
        <v>0.5</v>
      </c>
      <c r="D211" s="6">
        <v>0.19400000000000001</v>
      </c>
      <c r="E211" s="6">
        <v>0</v>
      </c>
      <c r="F211" s="6">
        <v>6</v>
      </c>
      <c r="G211" s="6">
        <v>6</v>
      </c>
    </row>
    <row r="212" spans="1:7" x14ac:dyDescent="0.25">
      <c r="A212" s="6">
        <v>210</v>
      </c>
      <c r="B212" s="6">
        <v>0.1212</v>
      </c>
      <c r="C212" s="6">
        <v>0.5</v>
      </c>
      <c r="D212" s="6">
        <v>0.28360000000000002</v>
      </c>
      <c r="E212" s="6">
        <v>2</v>
      </c>
      <c r="F212" s="6">
        <v>3</v>
      </c>
      <c r="G212" s="6">
        <v>5</v>
      </c>
    </row>
    <row r="213" spans="1:7" x14ac:dyDescent="0.25">
      <c r="A213" s="6">
        <v>211</v>
      </c>
      <c r="B213" s="6">
        <v>0.1212</v>
      </c>
      <c r="C213" s="6">
        <v>0.5</v>
      </c>
      <c r="D213" s="6">
        <v>0.28360000000000002</v>
      </c>
      <c r="E213" s="6">
        <v>1</v>
      </c>
      <c r="F213" s="6">
        <v>0</v>
      </c>
      <c r="G213" s="6">
        <v>1</v>
      </c>
    </row>
    <row r="214" spans="1:7" x14ac:dyDescent="0.25">
      <c r="A214" s="6">
        <v>212</v>
      </c>
      <c r="B214" s="6">
        <v>0.1212</v>
      </c>
      <c r="C214" s="6">
        <v>0.5</v>
      </c>
      <c r="D214" s="6">
        <v>0.22389999999999999</v>
      </c>
      <c r="E214" s="6">
        <v>0</v>
      </c>
      <c r="F214" s="6">
        <v>3</v>
      </c>
      <c r="G214" s="6">
        <v>3</v>
      </c>
    </row>
    <row r="215" spans="1:7" x14ac:dyDescent="0.25">
      <c r="A215" s="6">
        <v>213</v>
      </c>
      <c r="B215" s="6">
        <v>0.1212</v>
      </c>
      <c r="C215" s="6">
        <v>0.5</v>
      </c>
      <c r="D215" s="6">
        <v>0.22389999999999999</v>
      </c>
      <c r="E215" s="6">
        <v>0</v>
      </c>
      <c r="F215" s="6">
        <v>1</v>
      </c>
      <c r="G215" s="6">
        <v>1</v>
      </c>
    </row>
    <row r="216" spans="1:7" x14ac:dyDescent="0.25">
      <c r="A216" s="6">
        <v>214</v>
      </c>
      <c r="B216" s="6">
        <v>0.1212</v>
      </c>
      <c r="C216" s="6">
        <v>0.54</v>
      </c>
      <c r="D216" s="6">
        <v>0.1343</v>
      </c>
      <c r="E216" s="6">
        <v>1</v>
      </c>
      <c r="F216" s="6">
        <v>2</v>
      </c>
      <c r="G216" s="6">
        <v>3</v>
      </c>
    </row>
    <row r="217" spans="1:7" x14ac:dyDescent="0.25">
      <c r="A217" s="6">
        <v>215</v>
      </c>
      <c r="B217" s="6">
        <v>0.1061</v>
      </c>
      <c r="C217" s="6">
        <v>0.54</v>
      </c>
      <c r="D217" s="6">
        <v>0.25369999999999998</v>
      </c>
      <c r="E217" s="6">
        <v>0</v>
      </c>
      <c r="F217" s="6">
        <v>3</v>
      </c>
      <c r="G217" s="6">
        <v>3</v>
      </c>
    </row>
    <row r="218" spans="1:7" x14ac:dyDescent="0.25">
      <c r="A218" s="6">
        <v>216</v>
      </c>
      <c r="B218" s="6">
        <v>0.1212</v>
      </c>
      <c r="C218" s="6">
        <v>0.5</v>
      </c>
      <c r="D218" s="6">
        <v>0.28360000000000002</v>
      </c>
      <c r="E218" s="6">
        <v>0</v>
      </c>
      <c r="F218" s="6">
        <v>31</v>
      </c>
      <c r="G218" s="6">
        <v>31</v>
      </c>
    </row>
    <row r="219" spans="1:7" x14ac:dyDescent="0.25">
      <c r="A219" s="6">
        <v>217</v>
      </c>
      <c r="B219" s="6">
        <v>0.1212</v>
      </c>
      <c r="C219" s="6">
        <v>0.5</v>
      </c>
      <c r="D219" s="6">
        <v>0.22389999999999999</v>
      </c>
      <c r="E219" s="6">
        <v>2</v>
      </c>
      <c r="F219" s="6">
        <v>75</v>
      </c>
      <c r="G219" s="6">
        <v>77</v>
      </c>
    </row>
    <row r="220" spans="1:7" x14ac:dyDescent="0.25">
      <c r="A220" s="6">
        <v>218</v>
      </c>
      <c r="B220" s="6">
        <v>0.1212</v>
      </c>
      <c r="C220" s="6">
        <v>0.5</v>
      </c>
      <c r="D220" s="6">
        <v>0.28360000000000002</v>
      </c>
      <c r="E220" s="6">
        <v>4</v>
      </c>
      <c r="F220" s="6">
        <v>184</v>
      </c>
      <c r="G220" s="6">
        <v>188</v>
      </c>
    </row>
    <row r="221" spans="1:7" x14ac:dyDescent="0.25">
      <c r="A221" s="6">
        <v>219</v>
      </c>
      <c r="B221" s="6">
        <v>0.1212</v>
      </c>
      <c r="C221" s="6">
        <v>0.5</v>
      </c>
      <c r="D221" s="6">
        <v>0.25369999999999998</v>
      </c>
      <c r="E221" s="6">
        <v>2</v>
      </c>
      <c r="F221" s="6">
        <v>92</v>
      </c>
      <c r="G221" s="6">
        <v>94</v>
      </c>
    </row>
    <row r="222" spans="1:7" x14ac:dyDescent="0.25">
      <c r="A222" s="6">
        <v>220</v>
      </c>
      <c r="B222" s="6">
        <v>0.1212</v>
      </c>
      <c r="C222" s="6">
        <v>0.5</v>
      </c>
      <c r="D222" s="6">
        <v>0.29849999999999999</v>
      </c>
      <c r="E222" s="6">
        <v>0</v>
      </c>
      <c r="F222" s="6">
        <v>31</v>
      </c>
      <c r="G222" s="6">
        <v>31</v>
      </c>
    </row>
    <row r="223" spans="1:7" x14ac:dyDescent="0.25">
      <c r="A223" s="6">
        <v>221</v>
      </c>
      <c r="B223" s="6">
        <v>0.13639999999999999</v>
      </c>
      <c r="C223" s="6">
        <v>0.47</v>
      </c>
      <c r="D223" s="6">
        <v>0.28360000000000002</v>
      </c>
      <c r="E223" s="6">
        <v>2</v>
      </c>
      <c r="F223" s="6">
        <v>28</v>
      </c>
      <c r="G223" s="6">
        <v>30</v>
      </c>
    </row>
    <row r="224" spans="1:7" x14ac:dyDescent="0.25">
      <c r="A224" s="6">
        <v>222</v>
      </c>
      <c r="B224" s="6">
        <v>0.18179999999999999</v>
      </c>
      <c r="C224" s="6">
        <v>0.4</v>
      </c>
      <c r="D224" s="6">
        <v>0.28360000000000002</v>
      </c>
      <c r="E224" s="6">
        <v>5</v>
      </c>
      <c r="F224" s="6">
        <v>47</v>
      </c>
      <c r="G224" s="6">
        <v>52</v>
      </c>
    </row>
    <row r="225" spans="1:7" x14ac:dyDescent="0.25">
      <c r="A225" s="6">
        <v>223</v>
      </c>
      <c r="B225" s="6">
        <v>0.18179999999999999</v>
      </c>
      <c r="C225" s="6">
        <v>0.4</v>
      </c>
      <c r="D225" s="6">
        <v>0.28360000000000002</v>
      </c>
      <c r="E225" s="6">
        <v>4</v>
      </c>
      <c r="F225" s="6">
        <v>50</v>
      </c>
      <c r="G225" s="6">
        <v>54</v>
      </c>
    </row>
    <row r="226" spans="1:7" x14ac:dyDescent="0.25">
      <c r="A226" s="6">
        <v>224</v>
      </c>
      <c r="B226" s="6">
        <v>0.19700000000000001</v>
      </c>
      <c r="C226" s="6">
        <v>0.4</v>
      </c>
      <c r="D226" s="6">
        <v>0.22389999999999999</v>
      </c>
      <c r="E226" s="6">
        <v>0</v>
      </c>
      <c r="F226" s="6">
        <v>47</v>
      </c>
      <c r="G226" s="6">
        <v>47</v>
      </c>
    </row>
    <row r="227" spans="1:7" x14ac:dyDescent="0.25">
      <c r="A227" s="6">
        <v>225</v>
      </c>
      <c r="B227" s="6">
        <v>0.19700000000000001</v>
      </c>
      <c r="C227" s="6">
        <v>0.4</v>
      </c>
      <c r="D227" s="6">
        <v>0.22389999999999999</v>
      </c>
      <c r="E227" s="6">
        <v>2</v>
      </c>
      <c r="F227" s="6">
        <v>43</v>
      </c>
      <c r="G227" s="6">
        <v>45</v>
      </c>
    </row>
    <row r="228" spans="1:7" x14ac:dyDescent="0.25">
      <c r="A228" s="6">
        <v>226</v>
      </c>
      <c r="B228" s="6">
        <v>0.21210000000000001</v>
      </c>
      <c r="C228" s="6">
        <v>0.4</v>
      </c>
      <c r="D228" s="6">
        <v>0.1343</v>
      </c>
      <c r="E228" s="6">
        <v>4</v>
      </c>
      <c r="F228" s="6">
        <v>70</v>
      </c>
      <c r="G228" s="6">
        <v>74</v>
      </c>
    </row>
    <row r="229" spans="1:7" x14ac:dyDescent="0.25">
      <c r="A229" s="6">
        <v>227</v>
      </c>
      <c r="B229" s="6">
        <v>0.2273</v>
      </c>
      <c r="C229" s="6">
        <v>0.4</v>
      </c>
      <c r="D229" s="6">
        <v>0.1045</v>
      </c>
      <c r="E229" s="6">
        <v>4</v>
      </c>
      <c r="F229" s="6">
        <v>174</v>
      </c>
      <c r="G229" s="6">
        <v>178</v>
      </c>
    </row>
    <row r="230" spans="1:7" x14ac:dyDescent="0.25">
      <c r="A230" s="6">
        <v>228</v>
      </c>
      <c r="B230" s="6">
        <v>0.19700000000000001</v>
      </c>
      <c r="C230" s="6">
        <v>0.4</v>
      </c>
      <c r="D230" s="6">
        <v>0.22389999999999999</v>
      </c>
      <c r="E230" s="6">
        <v>1</v>
      </c>
      <c r="F230" s="6">
        <v>154</v>
      </c>
      <c r="G230" s="6">
        <v>155</v>
      </c>
    </row>
    <row r="231" spans="1:7" x14ac:dyDescent="0.25">
      <c r="A231" s="6">
        <v>229</v>
      </c>
      <c r="B231" s="6">
        <v>0.16669999999999999</v>
      </c>
      <c r="C231" s="6">
        <v>0.47</v>
      </c>
      <c r="D231" s="6">
        <v>0.16420000000000001</v>
      </c>
      <c r="E231" s="6">
        <v>3</v>
      </c>
      <c r="F231" s="6">
        <v>92</v>
      </c>
      <c r="G231" s="6">
        <v>95</v>
      </c>
    </row>
    <row r="232" spans="1:7" x14ac:dyDescent="0.25">
      <c r="A232" s="6">
        <v>230</v>
      </c>
      <c r="B232" s="6">
        <v>0.16669999999999999</v>
      </c>
      <c r="C232" s="6">
        <v>0.5</v>
      </c>
      <c r="D232" s="6">
        <v>0.16420000000000001</v>
      </c>
      <c r="E232" s="6">
        <v>1</v>
      </c>
      <c r="F232" s="6">
        <v>73</v>
      </c>
      <c r="G232" s="6">
        <v>74</v>
      </c>
    </row>
    <row r="233" spans="1:7" x14ac:dyDescent="0.25">
      <c r="A233" s="6">
        <v>231</v>
      </c>
      <c r="B233" s="6">
        <v>0.13639999999999999</v>
      </c>
      <c r="C233" s="6">
        <v>0.59</v>
      </c>
      <c r="D233" s="6">
        <v>0.19400000000000001</v>
      </c>
      <c r="E233" s="6">
        <v>1</v>
      </c>
      <c r="F233" s="6">
        <v>37</v>
      </c>
      <c r="G233" s="6">
        <v>38</v>
      </c>
    </row>
    <row r="234" spans="1:7" x14ac:dyDescent="0.25">
      <c r="A234" s="6">
        <v>232</v>
      </c>
      <c r="B234" s="6">
        <v>0.1515</v>
      </c>
      <c r="C234" s="6">
        <v>0.59</v>
      </c>
      <c r="D234" s="6">
        <v>0.16420000000000001</v>
      </c>
      <c r="E234" s="6">
        <v>2</v>
      </c>
      <c r="F234" s="6">
        <v>22</v>
      </c>
      <c r="G234" s="6">
        <v>24</v>
      </c>
    </row>
    <row r="235" spans="1:7" x14ac:dyDescent="0.25">
      <c r="A235" s="6">
        <v>233</v>
      </c>
      <c r="B235" s="6">
        <v>0.1515</v>
      </c>
      <c r="C235" s="6">
        <v>0.59</v>
      </c>
      <c r="D235" s="6">
        <v>0.16420000000000001</v>
      </c>
      <c r="E235" s="6">
        <v>0</v>
      </c>
      <c r="F235" s="6">
        <v>18</v>
      </c>
      <c r="G235" s="6">
        <v>18</v>
      </c>
    </row>
    <row r="236" spans="1:7" x14ac:dyDescent="0.25">
      <c r="A236" s="6">
        <v>234</v>
      </c>
      <c r="B236" s="6">
        <v>0.16669999999999999</v>
      </c>
      <c r="C236" s="6">
        <v>0.59</v>
      </c>
      <c r="D236" s="6">
        <v>0.1045</v>
      </c>
      <c r="E236" s="6">
        <v>2</v>
      </c>
      <c r="F236" s="6">
        <v>10</v>
      </c>
      <c r="G236" s="6">
        <v>12</v>
      </c>
    </row>
    <row r="237" spans="1:7" x14ac:dyDescent="0.25">
      <c r="A237" s="6">
        <v>235</v>
      </c>
      <c r="B237" s="6">
        <v>0.1515</v>
      </c>
      <c r="C237" s="6">
        <v>0.59</v>
      </c>
      <c r="D237" s="6">
        <v>0.16420000000000001</v>
      </c>
      <c r="E237" s="6">
        <v>0</v>
      </c>
      <c r="F237" s="6">
        <v>3</v>
      </c>
      <c r="G237" s="6">
        <v>3</v>
      </c>
    </row>
    <row r="238" spans="1:7" x14ac:dyDescent="0.25">
      <c r="A238" s="6">
        <v>236</v>
      </c>
      <c r="B238" s="6">
        <v>0.1515</v>
      </c>
      <c r="C238" s="6">
        <v>0.55000000000000004</v>
      </c>
      <c r="D238" s="6">
        <v>0.19400000000000001</v>
      </c>
      <c r="E238" s="6">
        <v>0</v>
      </c>
      <c r="F238" s="6">
        <v>3</v>
      </c>
      <c r="G238" s="6">
        <v>3</v>
      </c>
    </row>
    <row r="239" spans="1:7" x14ac:dyDescent="0.25">
      <c r="A239" s="6">
        <v>237</v>
      </c>
      <c r="B239" s="6">
        <v>0.18179999999999999</v>
      </c>
      <c r="C239" s="6">
        <v>0.55000000000000004</v>
      </c>
      <c r="D239" s="6">
        <v>0.1343</v>
      </c>
      <c r="E239" s="6">
        <v>0</v>
      </c>
      <c r="F239" s="6">
        <v>6</v>
      </c>
      <c r="G239" s="6">
        <v>6</v>
      </c>
    </row>
    <row r="240" spans="1:7" x14ac:dyDescent="0.25">
      <c r="A240" s="6">
        <v>238</v>
      </c>
      <c r="B240" s="6">
        <v>0.18179999999999999</v>
      </c>
      <c r="C240" s="6">
        <v>0.55000000000000004</v>
      </c>
      <c r="D240" s="6">
        <v>0.1343</v>
      </c>
      <c r="E240" s="6">
        <v>0</v>
      </c>
      <c r="F240" s="6">
        <v>27</v>
      </c>
      <c r="G240" s="6">
        <v>27</v>
      </c>
    </row>
    <row r="241" spans="1:7" x14ac:dyDescent="0.25">
      <c r="A241" s="6">
        <v>239</v>
      </c>
      <c r="B241" s="6">
        <v>0.2273</v>
      </c>
      <c r="C241" s="6">
        <v>0.55000000000000004</v>
      </c>
      <c r="D241" s="6">
        <v>0</v>
      </c>
      <c r="E241" s="6">
        <v>2</v>
      </c>
      <c r="F241" s="6">
        <v>97</v>
      </c>
      <c r="G241" s="6">
        <v>99</v>
      </c>
    </row>
    <row r="242" spans="1:7" x14ac:dyDescent="0.25">
      <c r="A242" s="6">
        <v>240</v>
      </c>
      <c r="B242" s="6">
        <v>0.21210000000000001</v>
      </c>
      <c r="C242" s="6">
        <v>0.51</v>
      </c>
      <c r="D242" s="6">
        <v>8.9599999999999999E-2</v>
      </c>
      <c r="E242" s="6">
        <v>3</v>
      </c>
      <c r="F242" s="6">
        <v>214</v>
      </c>
      <c r="G242" s="6">
        <v>217</v>
      </c>
    </row>
    <row r="243" spans="1:7" x14ac:dyDescent="0.25">
      <c r="A243" s="6">
        <v>241</v>
      </c>
      <c r="B243" s="6">
        <v>0.19700000000000001</v>
      </c>
      <c r="C243" s="6">
        <v>0.51</v>
      </c>
      <c r="D243" s="6">
        <v>0.16420000000000001</v>
      </c>
      <c r="E243" s="6">
        <v>3</v>
      </c>
      <c r="F243" s="6">
        <v>127</v>
      </c>
      <c r="G243" s="6">
        <v>130</v>
      </c>
    </row>
    <row r="244" spans="1:7" x14ac:dyDescent="0.25">
      <c r="A244" s="6">
        <v>242</v>
      </c>
      <c r="B244" s="6">
        <v>0.21210000000000001</v>
      </c>
      <c r="C244" s="6">
        <v>0.51</v>
      </c>
      <c r="D244" s="6">
        <v>0.16420000000000001</v>
      </c>
      <c r="E244" s="6">
        <v>3</v>
      </c>
      <c r="F244" s="6">
        <v>51</v>
      </c>
      <c r="G244" s="6">
        <v>54</v>
      </c>
    </row>
    <row r="245" spans="1:7" x14ac:dyDescent="0.25">
      <c r="A245" s="6">
        <v>243</v>
      </c>
      <c r="B245" s="6">
        <v>0.21210000000000001</v>
      </c>
      <c r="C245" s="6">
        <v>0.47</v>
      </c>
      <c r="D245" s="6">
        <v>0.1343</v>
      </c>
      <c r="E245" s="6">
        <v>4</v>
      </c>
      <c r="F245" s="6">
        <v>31</v>
      </c>
      <c r="G245" s="6">
        <v>35</v>
      </c>
    </row>
    <row r="246" spans="1:7" x14ac:dyDescent="0.25">
      <c r="A246" s="6">
        <v>244</v>
      </c>
      <c r="B246" s="6">
        <v>0.2273</v>
      </c>
      <c r="C246" s="6">
        <v>0.51</v>
      </c>
      <c r="D246" s="6">
        <v>0.1045</v>
      </c>
      <c r="E246" s="6">
        <v>2</v>
      </c>
      <c r="F246" s="6">
        <v>55</v>
      </c>
      <c r="G246" s="6">
        <v>57</v>
      </c>
    </row>
    <row r="247" spans="1:7" x14ac:dyDescent="0.25">
      <c r="A247" s="6">
        <v>245</v>
      </c>
      <c r="B247" s="6">
        <v>0.2273</v>
      </c>
      <c r="C247" s="6">
        <v>0.59</v>
      </c>
      <c r="D247" s="6">
        <v>8.9599999999999999E-2</v>
      </c>
      <c r="E247" s="6">
        <v>6</v>
      </c>
      <c r="F247" s="6">
        <v>46</v>
      </c>
      <c r="G247" s="6">
        <v>52</v>
      </c>
    </row>
    <row r="248" spans="1:7" x14ac:dyDescent="0.25">
      <c r="A248" s="6">
        <v>246</v>
      </c>
      <c r="B248" s="6">
        <v>0.2273</v>
      </c>
      <c r="C248" s="6">
        <v>0.59</v>
      </c>
      <c r="D248" s="6">
        <v>8.9599999999999999E-2</v>
      </c>
      <c r="E248" s="6">
        <v>3</v>
      </c>
      <c r="F248" s="6">
        <v>60</v>
      </c>
      <c r="G248" s="6">
        <v>63</v>
      </c>
    </row>
    <row r="249" spans="1:7" x14ac:dyDescent="0.25">
      <c r="A249" s="6">
        <v>247</v>
      </c>
      <c r="B249" s="6">
        <v>0.19700000000000001</v>
      </c>
      <c r="C249" s="6">
        <v>0.8</v>
      </c>
      <c r="D249" s="6">
        <v>8.9599999999999999E-2</v>
      </c>
      <c r="E249" s="6">
        <v>2</v>
      </c>
      <c r="F249" s="6">
        <v>45</v>
      </c>
      <c r="G249" s="6">
        <v>47</v>
      </c>
    </row>
    <row r="250" spans="1:7" x14ac:dyDescent="0.25">
      <c r="A250" s="6">
        <v>248</v>
      </c>
      <c r="B250" s="6">
        <v>0.1515</v>
      </c>
      <c r="C250" s="6">
        <v>0.86</v>
      </c>
      <c r="D250" s="6">
        <v>0.22389999999999999</v>
      </c>
      <c r="E250" s="6">
        <v>4</v>
      </c>
      <c r="F250" s="6">
        <v>72</v>
      </c>
      <c r="G250" s="6">
        <v>76</v>
      </c>
    </row>
    <row r="251" spans="1:7" x14ac:dyDescent="0.25">
      <c r="A251" s="6">
        <v>249</v>
      </c>
      <c r="B251" s="6">
        <v>0.1515</v>
      </c>
      <c r="C251" s="6">
        <v>0.86</v>
      </c>
      <c r="D251" s="6">
        <v>0.22389999999999999</v>
      </c>
      <c r="E251" s="6">
        <v>6</v>
      </c>
      <c r="F251" s="6">
        <v>130</v>
      </c>
      <c r="G251" s="6">
        <v>136</v>
      </c>
    </row>
    <row r="252" spans="1:7" x14ac:dyDescent="0.25">
      <c r="A252" s="6">
        <v>250</v>
      </c>
      <c r="B252" s="6">
        <v>0.18179999999999999</v>
      </c>
      <c r="C252" s="6">
        <v>0.93</v>
      </c>
      <c r="D252" s="6">
        <v>0.1045</v>
      </c>
      <c r="E252" s="6">
        <v>1</v>
      </c>
      <c r="F252" s="6">
        <v>94</v>
      </c>
      <c r="G252" s="6">
        <v>95</v>
      </c>
    </row>
    <row r="253" spans="1:7" x14ac:dyDescent="0.25">
      <c r="A253" s="6">
        <v>251</v>
      </c>
      <c r="B253" s="6">
        <v>0.2273</v>
      </c>
      <c r="C253" s="6">
        <v>0.93</v>
      </c>
      <c r="D253" s="6">
        <v>0</v>
      </c>
      <c r="E253" s="6">
        <v>0</v>
      </c>
      <c r="F253" s="6">
        <v>51</v>
      </c>
      <c r="G253" s="6">
        <v>51</v>
      </c>
    </row>
    <row r="254" spans="1:7" x14ac:dyDescent="0.25">
      <c r="A254" s="6">
        <v>252</v>
      </c>
      <c r="B254" s="6">
        <v>0.1515</v>
      </c>
      <c r="C254" s="6">
        <v>0.93</v>
      </c>
      <c r="D254" s="6">
        <v>0.19400000000000001</v>
      </c>
      <c r="E254" s="6">
        <v>0</v>
      </c>
      <c r="F254" s="6">
        <v>32</v>
      </c>
      <c r="G254" s="6">
        <v>32</v>
      </c>
    </row>
    <row r="255" spans="1:7" x14ac:dyDescent="0.25">
      <c r="A255" s="6">
        <v>253</v>
      </c>
      <c r="B255" s="6">
        <v>0.19700000000000001</v>
      </c>
      <c r="C255" s="6">
        <v>0.86</v>
      </c>
      <c r="D255" s="6">
        <v>8.9599999999999999E-2</v>
      </c>
      <c r="E255" s="6">
        <v>0</v>
      </c>
      <c r="F255" s="6">
        <v>20</v>
      </c>
      <c r="G255" s="6">
        <v>20</v>
      </c>
    </row>
    <row r="256" spans="1:7" x14ac:dyDescent="0.25">
      <c r="A256" s="6">
        <v>254</v>
      </c>
      <c r="B256" s="6">
        <v>0.18179999999999999</v>
      </c>
      <c r="C256" s="6">
        <v>0.93</v>
      </c>
      <c r="D256" s="6">
        <v>0.1045</v>
      </c>
      <c r="E256" s="6">
        <v>1</v>
      </c>
      <c r="F256" s="6">
        <v>28</v>
      </c>
      <c r="G256" s="6">
        <v>29</v>
      </c>
    </row>
    <row r="257" spans="1:7" x14ac:dyDescent="0.25">
      <c r="A257" s="6">
        <v>255</v>
      </c>
      <c r="B257" s="6">
        <v>0.19700000000000001</v>
      </c>
      <c r="C257" s="6">
        <v>0.93</v>
      </c>
      <c r="D257" s="6">
        <v>8.9599999999999999E-2</v>
      </c>
      <c r="E257" s="6">
        <v>1</v>
      </c>
      <c r="F257" s="6">
        <v>18</v>
      </c>
      <c r="G257" s="6">
        <v>19</v>
      </c>
    </row>
    <row r="258" spans="1:7" x14ac:dyDescent="0.25">
      <c r="A258" s="6">
        <v>256</v>
      </c>
      <c r="B258" s="6">
        <v>0.19700000000000001</v>
      </c>
      <c r="C258" s="6">
        <v>0.86</v>
      </c>
      <c r="D258" s="6">
        <v>8.9599999999999999E-2</v>
      </c>
      <c r="E258" s="6">
        <v>0</v>
      </c>
      <c r="F258" s="6">
        <v>7</v>
      </c>
      <c r="G258" s="6">
        <v>7</v>
      </c>
    </row>
    <row r="259" spans="1:7" x14ac:dyDescent="0.25">
      <c r="A259" s="6">
        <v>257</v>
      </c>
      <c r="B259" s="6">
        <v>0.18179999999999999</v>
      </c>
      <c r="C259" s="6">
        <v>0.86</v>
      </c>
      <c r="D259" s="6">
        <v>0.1045</v>
      </c>
      <c r="E259" s="6">
        <v>0</v>
      </c>
      <c r="F259" s="6">
        <v>6</v>
      </c>
      <c r="G259" s="6">
        <v>6</v>
      </c>
    </row>
    <row r="260" spans="1:7" x14ac:dyDescent="0.25">
      <c r="A260" s="6">
        <v>258</v>
      </c>
      <c r="B260" s="6">
        <v>0.1515</v>
      </c>
      <c r="C260" s="6">
        <v>0.86</v>
      </c>
      <c r="D260" s="6">
        <v>0.1343</v>
      </c>
      <c r="E260" s="6">
        <v>0</v>
      </c>
      <c r="F260" s="6">
        <v>1</v>
      </c>
      <c r="G260" s="6">
        <v>1</v>
      </c>
    </row>
    <row r="261" spans="1:7" x14ac:dyDescent="0.25">
      <c r="A261" s="6">
        <v>259</v>
      </c>
      <c r="B261" s="6">
        <v>0.1515</v>
      </c>
      <c r="C261" s="6">
        <v>0.86</v>
      </c>
      <c r="D261" s="6">
        <v>0.16420000000000001</v>
      </c>
      <c r="E261" s="6">
        <v>0</v>
      </c>
      <c r="F261" s="6">
        <v>5</v>
      </c>
      <c r="G261" s="6">
        <v>5</v>
      </c>
    </row>
    <row r="262" spans="1:7" x14ac:dyDescent="0.25">
      <c r="A262" s="6">
        <v>260</v>
      </c>
      <c r="B262" s="6">
        <v>0.1515</v>
      </c>
      <c r="C262" s="6">
        <v>0.93</v>
      </c>
      <c r="D262" s="6">
        <v>0.1343</v>
      </c>
      <c r="E262" s="6">
        <v>0</v>
      </c>
      <c r="F262" s="6">
        <v>16</v>
      </c>
      <c r="G262" s="6">
        <v>16</v>
      </c>
    </row>
    <row r="263" spans="1:7" x14ac:dyDescent="0.25">
      <c r="A263" s="6">
        <v>261</v>
      </c>
      <c r="B263" s="6">
        <v>0.1515</v>
      </c>
      <c r="C263" s="6">
        <v>0.69</v>
      </c>
      <c r="D263" s="6">
        <v>0.1343</v>
      </c>
      <c r="E263" s="6">
        <v>0</v>
      </c>
      <c r="F263" s="6">
        <v>54</v>
      </c>
      <c r="G263" s="6">
        <v>54</v>
      </c>
    </row>
    <row r="264" spans="1:7" x14ac:dyDescent="0.25">
      <c r="A264" s="6">
        <v>262</v>
      </c>
      <c r="B264" s="6">
        <v>0.16669999999999999</v>
      </c>
      <c r="C264" s="6">
        <v>0.59</v>
      </c>
      <c r="D264" s="6">
        <v>0.16420000000000001</v>
      </c>
      <c r="E264" s="6">
        <v>3</v>
      </c>
      <c r="F264" s="6">
        <v>125</v>
      </c>
      <c r="G264" s="6">
        <v>128</v>
      </c>
    </row>
    <row r="265" spans="1:7" x14ac:dyDescent="0.25">
      <c r="A265" s="6">
        <v>263</v>
      </c>
      <c r="B265" s="6">
        <v>0.13639999999999999</v>
      </c>
      <c r="C265" s="6">
        <v>0.59</v>
      </c>
      <c r="D265" s="6">
        <v>0.32840000000000003</v>
      </c>
      <c r="E265" s="6">
        <v>3</v>
      </c>
      <c r="F265" s="6">
        <v>78</v>
      </c>
      <c r="G265" s="6">
        <v>81</v>
      </c>
    </row>
    <row r="266" spans="1:7" x14ac:dyDescent="0.25">
      <c r="A266" s="6">
        <v>264</v>
      </c>
      <c r="B266" s="6">
        <v>0.18179999999999999</v>
      </c>
      <c r="C266" s="6">
        <v>0.55000000000000004</v>
      </c>
      <c r="D266" s="6">
        <v>0.22389999999999999</v>
      </c>
      <c r="E266" s="6">
        <v>0</v>
      </c>
      <c r="F266" s="6">
        <v>39</v>
      </c>
      <c r="G266" s="6">
        <v>39</v>
      </c>
    </row>
    <row r="267" spans="1:7" x14ac:dyDescent="0.25">
      <c r="A267" s="6">
        <v>265</v>
      </c>
      <c r="B267" s="6">
        <v>0.18179999999999999</v>
      </c>
      <c r="C267" s="6">
        <v>0.51</v>
      </c>
      <c r="D267" s="6">
        <v>0.3881</v>
      </c>
      <c r="E267" s="6">
        <v>3</v>
      </c>
      <c r="F267" s="6">
        <v>32</v>
      </c>
      <c r="G267" s="6">
        <v>35</v>
      </c>
    </row>
    <row r="268" spans="1:7" x14ac:dyDescent="0.25">
      <c r="A268" s="6">
        <v>266</v>
      </c>
      <c r="B268" s="6">
        <v>0.1515</v>
      </c>
      <c r="C268" s="6">
        <v>0.47</v>
      </c>
      <c r="D268" s="6">
        <v>0.58209999999999995</v>
      </c>
      <c r="E268" s="6">
        <v>3</v>
      </c>
      <c r="F268" s="6">
        <v>52</v>
      </c>
      <c r="G268" s="6">
        <v>55</v>
      </c>
    </row>
    <row r="269" spans="1:7" x14ac:dyDescent="0.25">
      <c r="A269" s="6">
        <v>267</v>
      </c>
      <c r="B269" s="6">
        <v>0.19700000000000001</v>
      </c>
      <c r="C269" s="6">
        <v>0.44</v>
      </c>
      <c r="D269" s="6">
        <v>0.35820000000000002</v>
      </c>
      <c r="E269" s="6">
        <v>0</v>
      </c>
      <c r="F269" s="6">
        <v>49</v>
      </c>
      <c r="G269" s="6">
        <v>49</v>
      </c>
    </row>
    <row r="270" spans="1:7" x14ac:dyDescent="0.25">
      <c r="A270" s="6">
        <v>268</v>
      </c>
      <c r="B270" s="6">
        <v>0.18179999999999999</v>
      </c>
      <c r="C270" s="6">
        <v>0.47</v>
      </c>
      <c r="D270" s="6">
        <v>0.32840000000000003</v>
      </c>
      <c r="E270" s="6">
        <v>0</v>
      </c>
      <c r="F270" s="6">
        <v>44</v>
      </c>
      <c r="G270" s="6">
        <v>44</v>
      </c>
    </row>
    <row r="271" spans="1:7" x14ac:dyDescent="0.25">
      <c r="A271" s="6">
        <v>269</v>
      </c>
      <c r="B271" s="6">
        <v>0.16669999999999999</v>
      </c>
      <c r="C271" s="6">
        <v>0.47</v>
      </c>
      <c r="D271" s="6">
        <v>0.41789999999999999</v>
      </c>
      <c r="E271" s="6">
        <v>1</v>
      </c>
      <c r="F271" s="6">
        <v>48</v>
      </c>
      <c r="G271" s="6">
        <v>49</v>
      </c>
    </row>
    <row r="272" spans="1:7" x14ac:dyDescent="0.25">
      <c r="A272" s="6">
        <v>270</v>
      </c>
      <c r="B272" s="6">
        <v>0.19700000000000001</v>
      </c>
      <c r="C272" s="6">
        <v>0.44</v>
      </c>
      <c r="D272" s="6">
        <v>0.32840000000000003</v>
      </c>
      <c r="E272" s="6">
        <v>5</v>
      </c>
      <c r="F272" s="6">
        <v>63</v>
      </c>
      <c r="G272" s="6">
        <v>68</v>
      </c>
    </row>
    <row r="273" spans="1:7" x14ac:dyDescent="0.25">
      <c r="A273" s="6">
        <v>271</v>
      </c>
      <c r="B273" s="6">
        <v>0.18179999999999999</v>
      </c>
      <c r="C273" s="6">
        <v>0.47</v>
      </c>
      <c r="D273" s="6">
        <v>0.35820000000000002</v>
      </c>
      <c r="E273" s="6">
        <v>0</v>
      </c>
      <c r="F273" s="6">
        <v>139</v>
      </c>
      <c r="G273" s="6">
        <v>139</v>
      </c>
    </row>
    <row r="274" spans="1:7" x14ac:dyDescent="0.25">
      <c r="A274" s="6">
        <v>272</v>
      </c>
      <c r="B274" s="6">
        <v>0.1515</v>
      </c>
      <c r="C274" s="6">
        <v>0.47</v>
      </c>
      <c r="D274" s="6">
        <v>0.52239999999999998</v>
      </c>
      <c r="E274" s="6">
        <v>2</v>
      </c>
      <c r="F274" s="6">
        <v>135</v>
      </c>
      <c r="G274" s="6">
        <v>137</v>
      </c>
    </row>
    <row r="275" spans="1:7" x14ac:dyDescent="0.25">
      <c r="A275" s="6">
        <v>273</v>
      </c>
      <c r="B275" s="6">
        <v>0.1515</v>
      </c>
      <c r="C275" s="6">
        <v>0.47</v>
      </c>
      <c r="D275" s="6">
        <v>0.41789999999999999</v>
      </c>
      <c r="E275" s="6">
        <v>1</v>
      </c>
      <c r="F275" s="6">
        <v>82</v>
      </c>
      <c r="G275" s="6">
        <v>83</v>
      </c>
    </row>
    <row r="276" spans="1:7" x14ac:dyDescent="0.25">
      <c r="A276" s="6">
        <v>274</v>
      </c>
      <c r="B276" s="6">
        <v>0.13639999999999999</v>
      </c>
      <c r="C276" s="6">
        <v>0.5</v>
      </c>
      <c r="D276" s="6">
        <v>0.32840000000000003</v>
      </c>
      <c r="E276" s="6">
        <v>2</v>
      </c>
      <c r="F276" s="6">
        <v>54</v>
      </c>
      <c r="G276" s="6">
        <v>56</v>
      </c>
    </row>
    <row r="277" spans="1:7" x14ac:dyDescent="0.25">
      <c r="A277" s="6">
        <v>275</v>
      </c>
      <c r="B277" s="6">
        <v>0.13639999999999999</v>
      </c>
      <c r="C277" s="6">
        <v>0.55000000000000004</v>
      </c>
      <c r="D277" s="6">
        <v>0.32840000000000003</v>
      </c>
      <c r="E277" s="6">
        <v>0</v>
      </c>
      <c r="F277" s="6">
        <v>57</v>
      </c>
      <c r="G277" s="6">
        <v>57</v>
      </c>
    </row>
    <row r="278" spans="1:7" x14ac:dyDescent="0.25">
      <c r="A278" s="6">
        <v>276</v>
      </c>
      <c r="B278" s="6">
        <v>0.1212</v>
      </c>
      <c r="C278" s="6">
        <v>0.55000000000000004</v>
      </c>
      <c r="D278" s="6">
        <v>0.44779999999999998</v>
      </c>
      <c r="E278" s="6">
        <v>1</v>
      </c>
      <c r="F278" s="6">
        <v>32</v>
      </c>
      <c r="G278" s="6">
        <v>33</v>
      </c>
    </row>
    <row r="279" spans="1:7" x14ac:dyDescent="0.25">
      <c r="A279" s="6">
        <v>277</v>
      </c>
      <c r="B279" s="6">
        <v>0.1061</v>
      </c>
      <c r="C279" s="6">
        <v>0.59</v>
      </c>
      <c r="D279" s="6">
        <v>0.41789999999999999</v>
      </c>
      <c r="E279" s="6">
        <v>1</v>
      </c>
      <c r="F279" s="6">
        <v>19</v>
      </c>
      <c r="G279" s="6">
        <v>20</v>
      </c>
    </row>
    <row r="280" spans="1:7" x14ac:dyDescent="0.25">
      <c r="A280" s="6">
        <v>278</v>
      </c>
      <c r="B280" s="6">
        <v>0.1212</v>
      </c>
      <c r="C280" s="6">
        <v>0.59</v>
      </c>
      <c r="D280" s="6">
        <v>0.28360000000000002</v>
      </c>
      <c r="E280" s="6">
        <v>1</v>
      </c>
      <c r="F280" s="6">
        <v>6</v>
      </c>
      <c r="G280" s="6">
        <v>7</v>
      </c>
    </row>
    <row r="281" spans="1:7" x14ac:dyDescent="0.25">
      <c r="A281" s="6">
        <v>279</v>
      </c>
      <c r="B281" s="6">
        <v>0.1212</v>
      </c>
      <c r="C281" s="6">
        <v>0.5</v>
      </c>
      <c r="D281" s="6">
        <v>0.28360000000000002</v>
      </c>
      <c r="E281" s="6">
        <v>0</v>
      </c>
      <c r="F281" s="6">
        <v>2</v>
      </c>
      <c r="G281" s="6">
        <v>2</v>
      </c>
    </row>
    <row r="282" spans="1:7" x14ac:dyDescent="0.25">
      <c r="A282" s="6">
        <v>280</v>
      </c>
      <c r="B282" s="6">
        <v>0.1212</v>
      </c>
      <c r="C282" s="6">
        <v>0.5</v>
      </c>
      <c r="D282" s="6">
        <v>0.35820000000000002</v>
      </c>
      <c r="E282" s="6">
        <v>0</v>
      </c>
      <c r="F282" s="6">
        <v>2</v>
      </c>
      <c r="G282" s="6">
        <v>2</v>
      </c>
    </row>
    <row r="283" spans="1:7" x14ac:dyDescent="0.25">
      <c r="A283" s="6">
        <v>281</v>
      </c>
      <c r="B283" s="6">
        <v>0.1212</v>
      </c>
      <c r="C283" s="6">
        <v>0.5</v>
      </c>
      <c r="D283" s="6">
        <v>0.32840000000000003</v>
      </c>
      <c r="E283" s="6">
        <v>0</v>
      </c>
      <c r="F283" s="6">
        <v>3</v>
      </c>
      <c r="G283" s="6">
        <v>3</v>
      </c>
    </row>
    <row r="284" spans="1:7" x14ac:dyDescent="0.25">
      <c r="A284" s="6">
        <v>282</v>
      </c>
      <c r="B284" s="6">
        <v>0.1212</v>
      </c>
      <c r="C284" s="6">
        <v>0.5</v>
      </c>
      <c r="D284" s="6">
        <v>0.25369999999999998</v>
      </c>
      <c r="E284" s="6">
        <v>0</v>
      </c>
      <c r="F284" s="6">
        <v>4</v>
      </c>
      <c r="G284" s="6">
        <v>4</v>
      </c>
    </row>
    <row r="285" spans="1:7" x14ac:dyDescent="0.25">
      <c r="A285" s="6">
        <v>283</v>
      </c>
      <c r="B285" s="6">
        <v>0.1212</v>
      </c>
      <c r="C285" s="6">
        <v>0.5</v>
      </c>
      <c r="D285" s="6">
        <v>0.29849999999999999</v>
      </c>
      <c r="E285" s="6">
        <v>0</v>
      </c>
      <c r="F285" s="6">
        <v>3</v>
      </c>
      <c r="G285" s="6">
        <v>3</v>
      </c>
    </row>
    <row r="286" spans="1:7" x14ac:dyDescent="0.25">
      <c r="A286" s="6">
        <v>284</v>
      </c>
      <c r="B286" s="6">
        <v>0.1515</v>
      </c>
      <c r="C286" s="6">
        <v>0.54</v>
      </c>
      <c r="D286" s="6">
        <v>0.1343</v>
      </c>
      <c r="E286" s="6">
        <v>0</v>
      </c>
      <c r="F286" s="6">
        <v>28</v>
      </c>
      <c r="G286" s="6">
        <v>28</v>
      </c>
    </row>
    <row r="287" spans="1:7" x14ac:dyDescent="0.25">
      <c r="A287" s="6">
        <v>285</v>
      </c>
      <c r="B287" s="6">
        <v>0.1515</v>
      </c>
      <c r="C287" s="6">
        <v>0.54</v>
      </c>
      <c r="D287" s="6">
        <v>0.1343</v>
      </c>
      <c r="E287" s="6">
        <v>0</v>
      </c>
      <c r="F287" s="6">
        <v>72</v>
      </c>
      <c r="G287" s="6">
        <v>72</v>
      </c>
    </row>
    <row r="288" spans="1:7" x14ac:dyDescent="0.25">
      <c r="A288" s="6">
        <v>286</v>
      </c>
      <c r="B288" s="6">
        <v>0.13639999999999999</v>
      </c>
      <c r="C288" s="6">
        <v>0.5</v>
      </c>
      <c r="D288" s="6">
        <v>0.19400000000000001</v>
      </c>
      <c r="E288" s="6">
        <v>5</v>
      </c>
      <c r="F288" s="6">
        <v>197</v>
      </c>
      <c r="G288" s="6">
        <v>202</v>
      </c>
    </row>
    <row r="289" spans="1:7" x14ac:dyDescent="0.25">
      <c r="A289" s="6">
        <v>287</v>
      </c>
      <c r="B289" s="6">
        <v>0.1212</v>
      </c>
      <c r="C289" s="6">
        <v>0.5</v>
      </c>
      <c r="D289" s="6">
        <v>0.32840000000000003</v>
      </c>
      <c r="E289" s="6">
        <v>2</v>
      </c>
      <c r="F289" s="6">
        <v>137</v>
      </c>
      <c r="G289" s="6">
        <v>139</v>
      </c>
    </row>
    <row r="290" spans="1:7" x14ac:dyDescent="0.25">
      <c r="A290" s="6">
        <v>288</v>
      </c>
      <c r="B290" s="6">
        <v>0.13639999999999999</v>
      </c>
      <c r="C290" s="6">
        <v>0.5</v>
      </c>
      <c r="D290" s="6">
        <v>0.35820000000000002</v>
      </c>
      <c r="E290" s="6">
        <v>2</v>
      </c>
      <c r="F290" s="6">
        <v>36</v>
      </c>
      <c r="G290" s="6">
        <v>38</v>
      </c>
    </row>
    <row r="291" spans="1:7" x14ac:dyDescent="0.25">
      <c r="A291" s="6">
        <v>289</v>
      </c>
      <c r="B291" s="6">
        <v>0.16669999999999999</v>
      </c>
      <c r="C291" s="6">
        <v>0.44</v>
      </c>
      <c r="D291" s="6">
        <v>0.44779999999999998</v>
      </c>
      <c r="E291" s="6">
        <v>4</v>
      </c>
      <c r="F291" s="6">
        <v>33</v>
      </c>
      <c r="G291" s="6">
        <v>37</v>
      </c>
    </row>
    <row r="292" spans="1:7" x14ac:dyDescent="0.25">
      <c r="A292" s="6">
        <v>290</v>
      </c>
      <c r="B292" s="6">
        <v>0.16669999999999999</v>
      </c>
      <c r="C292" s="6">
        <v>0.44</v>
      </c>
      <c r="D292" s="6">
        <v>0.41789999999999999</v>
      </c>
      <c r="E292" s="6">
        <v>3</v>
      </c>
      <c r="F292" s="6">
        <v>49</v>
      </c>
      <c r="G292" s="6">
        <v>52</v>
      </c>
    </row>
    <row r="293" spans="1:7" x14ac:dyDescent="0.25">
      <c r="A293" s="6">
        <v>291</v>
      </c>
      <c r="B293" s="6">
        <v>0.19700000000000001</v>
      </c>
      <c r="C293" s="6">
        <v>0.41</v>
      </c>
      <c r="D293" s="6">
        <v>0.44779999999999998</v>
      </c>
      <c r="E293" s="6">
        <v>2</v>
      </c>
      <c r="F293" s="6">
        <v>81</v>
      </c>
      <c r="G293" s="6">
        <v>83</v>
      </c>
    </row>
    <row r="294" spans="1:7" x14ac:dyDescent="0.25">
      <c r="A294" s="6">
        <v>292</v>
      </c>
      <c r="B294" s="6">
        <v>0.19700000000000001</v>
      </c>
      <c r="C294" s="6">
        <v>0.41</v>
      </c>
      <c r="D294" s="6">
        <v>0.3881</v>
      </c>
      <c r="E294" s="6">
        <v>3</v>
      </c>
      <c r="F294" s="6">
        <v>39</v>
      </c>
      <c r="G294" s="6">
        <v>42</v>
      </c>
    </row>
    <row r="295" spans="1:7" x14ac:dyDescent="0.25">
      <c r="A295" s="6">
        <v>293</v>
      </c>
      <c r="B295" s="6">
        <v>0.21210000000000001</v>
      </c>
      <c r="C295" s="6">
        <v>0.38</v>
      </c>
      <c r="D295" s="6">
        <v>0.29849999999999999</v>
      </c>
      <c r="E295" s="6">
        <v>5</v>
      </c>
      <c r="F295" s="6">
        <v>55</v>
      </c>
      <c r="G295" s="6">
        <v>60</v>
      </c>
    </row>
    <row r="296" spans="1:7" x14ac:dyDescent="0.25">
      <c r="A296" s="6">
        <v>294</v>
      </c>
      <c r="B296" s="6">
        <v>0.21210000000000001</v>
      </c>
      <c r="C296" s="6">
        <v>0.38</v>
      </c>
      <c r="D296" s="6">
        <v>0.35820000000000002</v>
      </c>
      <c r="E296" s="6">
        <v>2</v>
      </c>
      <c r="F296" s="6">
        <v>76</v>
      </c>
      <c r="G296" s="6">
        <v>78</v>
      </c>
    </row>
    <row r="297" spans="1:7" x14ac:dyDescent="0.25">
      <c r="A297" s="6">
        <v>295</v>
      </c>
      <c r="B297" s="6">
        <v>0.18179999999999999</v>
      </c>
      <c r="C297" s="6">
        <v>0.4</v>
      </c>
      <c r="D297" s="6">
        <v>0.28360000000000002</v>
      </c>
      <c r="E297" s="6">
        <v>4</v>
      </c>
      <c r="F297" s="6">
        <v>158</v>
      </c>
      <c r="G297" s="6">
        <v>162</v>
      </c>
    </row>
    <row r="298" spans="1:7" x14ac:dyDescent="0.25">
      <c r="A298" s="6">
        <v>296</v>
      </c>
      <c r="B298" s="6">
        <v>0.18179999999999999</v>
      </c>
      <c r="C298" s="6">
        <v>0.4</v>
      </c>
      <c r="D298" s="6">
        <v>0.32840000000000003</v>
      </c>
      <c r="E298" s="6">
        <v>3</v>
      </c>
      <c r="F298" s="6">
        <v>141</v>
      </c>
      <c r="G298" s="6">
        <v>144</v>
      </c>
    </row>
    <row r="299" spans="1:7" x14ac:dyDescent="0.25">
      <c r="A299" s="6">
        <v>297</v>
      </c>
      <c r="B299" s="6">
        <v>0.1515</v>
      </c>
      <c r="C299" s="6">
        <v>0.47</v>
      </c>
      <c r="D299" s="6">
        <v>0.25369999999999998</v>
      </c>
      <c r="E299" s="6">
        <v>1</v>
      </c>
      <c r="F299" s="6">
        <v>98</v>
      </c>
      <c r="G299" s="6">
        <v>99</v>
      </c>
    </row>
    <row r="300" spans="1:7" x14ac:dyDescent="0.25">
      <c r="A300" s="6">
        <v>298</v>
      </c>
      <c r="B300" s="6">
        <v>0.1515</v>
      </c>
      <c r="C300" s="6">
        <v>0.47</v>
      </c>
      <c r="D300" s="6">
        <v>0.22389999999999999</v>
      </c>
      <c r="E300" s="6">
        <v>0</v>
      </c>
      <c r="F300" s="6">
        <v>64</v>
      </c>
      <c r="G300" s="6">
        <v>64</v>
      </c>
    </row>
    <row r="301" spans="1:7" x14ac:dyDescent="0.25">
      <c r="A301" s="6">
        <v>299</v>
      </c>
      <c r="B301" s="6">
        <v>0.1212</v>
      </c>
      <c r="C301" s="6">
        <v>0.46</v>
      </c>
      <c r="D301" s="6">
        <v>0.29849999999999999</v>
      </c>
      <c r="E301" s="6">
        <v>0</v>
      </c>
      <c r="F301" s="6">
        <v>40</v>
      </c>
      <c r="G301" s="6">
        <v>40</v>
      </c>
    </row>
    <row r="302" spans="1:7" x14ac:dyDescent="0.25">
      <c r="A302" s="6">
        <v>300</v>
      </c>
      <c r="B302" s="6">
        <v>0.1212</v>
      </c>
      <c r="C302" s="6">
        <v>0.46</v>
      </c>
      <c r="D302" s="6">
        <v>0.32840000000000003</v>
      </c>
      <c r="E302" s="6">
        <v>0</v>
      </c>
      <c r="F302" s="6">
        <v>30</v>
      </c>
      <c r="G302" s="6">
        <v>30</v>
      </c>
    </row>
    <row r="303" spans="1:7" x14ac:dyDescent="0.25">
      <c r="A303" s="6">
        <v>301</v>
      </c>
      <c r="B303" s="6">
        <v>0.13639999999999999</v>
      </c>
      <c r="C303" s="6">
        <v>0.5</v>
      </c>
      <c r="D303" s="6">
        <v>0.19400000000000001</v>
      </c>
      <c r="E303" s="6">
        <v>1</v>
      </c>
      <c r="F303" s="6">
        <v>14</v>
      </c>
      <c r="G303" s="6">
        <v>15</v>
      </c>
    </row>
    <row r="304" spans="1:7" x14ac:dyDescent="0.25">
      <c r="A304" s="6">
        <v>302</v>
      </c>
      <c r="B304" s="6">
        <v>0.13639999999999999</v>
      </c>
      <c r="C304" s="6">
        <v>0.5</v>
      </c>
      <c r="D304" s="6">
        <v>0.19400000000000001</v>
      </c>
      <c r="E304" s="6">
        <v>0</v>
      </c>
      <c r="F304" s="6">
        <v>14</v>
      </c>
      <c r="G304" s="6">
        <v>14</v>
      </c>
    </row>
    <row r="305" spans="1:7" x14ac:dyDescent="0.25">
      <c r="A305" s="6">
        <v>303</v>
      </c>
      <c r="B305" s="6">
        <v>0.1212</v>
      </c>
      <c r="C305" s="6">
        <v>0.54</v>
      </c>
      <c r="D305" s="6">
        <v>0.16420000000000001</v>
      </c>
      <c r="E305" s="6">
        <v>0</v>
      </c>
      <c r="F305" s="6">
        <v>5</v>
      </c>
      <c r="G305" s="6">
        <v>5</v>
      </c>
    </row>
    <row r="306" spans="1:7" x14ac:dyDescent="0.25">
      <c r="A306" s="6">
        <v>304</v>
      </c>
      <c r="B306" s="6">
        <v>0.1212</v>
      </c>
      <c r="C306" s="6">
        <v>0.54</v>
      </c>
      <c r="D306" s="6">
        <v>0.1343</v>
      </c>
      <c r="E306" s="6">
        <v>0</v>
      </c>
      <c r="F306" s="6">
        <v>1</v>
      </c>
      <c r="G306" s="6">
        <v>1</v>
      </c>
    </row>
    <row r="307" spans="1:7" x14ac:dyDescent="0.25">
      <c r="A307" s="6">
        <v>305</v>
      </c>
      <c r="B307" s="6">
        <v>0.13639999999999999</v>
      </c>
      <c r="C307" s="6">
        <v>0.54</v>
      </c>
      <c r="D307" s="6">
        <v>0.1045</v>
      </c>
      <c r="E307" s="6">
        <v>0</v>
      </c>
      <c r="F307" s="6">
        <v>1</v>
      </c>
      <c r="G307" s="6">
        <v>1</v>
      </c>
    </row>
    <row r="308" spans="1:7" x14ac:dyDescent="0.25">
      <c r="A308" s="6">
        <v>306</v>
      </c>
      <c r="B308" s="6">
        <v>0.13639999999999999</v>
      </c>
      <c r="C308" s="6">
        <v>0.54</v>
      </c>
      <c r="D308" s="6">
        <v>8.9599999999999999E-2</v>
      </c>
      <c r="E308" s="6">
        <v>0</v>
      </c>
      <c r="F308" s="6">
        <v>8</v>
      </c>
      <c r="G308" s="6">
        <v>8</v>
      </c>
    </row>
    <row r="309" spans="1:7" x14ac:dyDescent="0.25">
      <c r="A309" s="6">
        <v>307</v>
      </c>
      <c r="B309" s="6">
        <v>0.18179999999999999</v>
      </c>
      <c r="C309" s="6">
        <v>0.54</v>
      </c>
      <c r="D309" s="6">
        <v>0</v>
      </c>
      <c r="E309" s="6">
        <v>0</v>
      </c>
      <c r="F309" s="6">
        <v>17</v>
      </c>
      <c r="G309" s="6">
        <v>17</v>
      </c>
    </row>
    <row r="310" spans="1:7" x14ac:dyDescent="0.25">
      <c r="A310" s="6">
        <v>308</v>
      </c>
      <c r="B310" s="6">
        <v>0.1212</v>
      </c>
      <c r="C310" s="6">
        <v>0.74</v>
      </c>
      <c r="D310" s="6">
        <v>0.16420000000000001</v>
      </c>
      <c r="E310" s="6">
        <v>0</v>
      </c>
      <c r="F310" s="6">
        <v>70</v>
      </c>
      <c r="G310" s="6">
        <v>70</v>
      </c>
    </row>
    <row r="311" spans="1:7" x14ac:dyDescent="0.25">
      <c r="A311" s="6">
        <v>309</v>
      </c>
      <c r="B311" s="6">
        <v>0.16669999999999999</v>
      </c>
      <c r="C311" s="6">
        <v>0.68</v>
      </c>
      <c r="D311" s="6">
        <v>0</v>
      </c>
      <c r="E311" s="6">
        <v>2</v>
      </c>
      <c r="F311" s="6">
        <v>156</v>
      </c>
      <c r="G311" s="6">
        <v>158</v>
      </c>
    </row>
    <row r="312" spans="1:7" x14ac:dyDescent="0.25">
      <c r="A312" s="6">
        <v>310</v>
      </c>
      <c r="B312" s="6">
        <v>0.1515</v>
      </c>
      <c r="C312" s="6">
        <v>0.69</v>
      </c>
      <c r="D312" s="6">
        <v>0.1343</v>
      </c>
      <c r="E312" s="6">
        <v>0</v>
      </c>
      <c r="F312" s="6">
        <v>117</v>
      </c>
      <c r="G312" s="6">
        <v>117</v>
      </c>
    </row>
    <row r="313" spans="1:7" x14ac:dyDescent="0.25">
      <c r="A313" s="6">
        <v>311</v>
      </c>
      <c r="B313" s="6">
        <v>0.18179999999999999</v>
      </c>
      <c r="C313" s="6">
        <v>0.55000000000000004</v>
      </c>
      <c r="D313" s="6">
        <v>0.19400000000000001</v>
      </c>
      <c r="E313" s="6">
        <v>4</v>
      </c>
      <c r="F313" s="6">
        <v>40</v>
      </c>
      <c r="G313" s="6">
        <v>44</v>
      </c>
    </row>
    <row r="314" spans="1:7" x14ac:dyDescent="0.25">
      <c r="A314" s="6">
        <v>312</v>
      </c>
      <c r="B314" s="6">
        <v>0.16669999999999999</v>
      </c>
      <c r="C314" s="6">
        <v>0.51</v>
      </c>
      <c r="D314" s="6">
        <v>0.28360000000000002</v>
      </c>
      <c r="E314" s="6">
        <v>6</v>
      </c>
      <c r="F314" s="6">
        <v>47</v>
      </c>
      <c r="G314" s="6">
        <v>53</v>
      </c>
    </row>
    <row r="315" spans="1:7" x14ac:dyDescent="0.25">
      <c r="A315" s="6">
        <v>313</v>
      </c>
      <c r="B315" s="6">
        <v>0.19700000000000001</v>
      </c>
      <c r="C315" s="6">
        <v>0.44</v>
      </c>
      <c r="D315" s="6">
        <v>0.25369999999999998</v>
      </c>
      <c r="E315" s="6">
        <v>2</v>
      </c>
      <c r="F315" s="6">
        <v>59</v>
      </c>
      <c r="G315" s="6">
        <v>61</v>
      </c>
    </row>
    <row r="316" spans="1:7" x14ac:dyDescent="0.25">
      <c r="A316" s="6">
        <v>314</v>
      </c>
      <c r="B316" s="6">
        <v>0.19700000000000001</v>
      </c>
      <c r="C316" s="6">
        <v>0.37</v>
      </c>
      <c r="D316" s="6">
        <v>0.3881</v>
      </c>
      <c r="E316" s="6">
        <v>4</v>
      </c>
      <c r="F316" s="6">
        <v>73</v>
      </c>
      <c r="G316" s="6">
        <v>77</v>
      </c>
    </row>
    <row r="317" spans="1:7" x14ac:dyDescent="0.25">
      <c r="A317" s="6">
        <v>315</v>
      </c>
      <c r="B317" s="6">
        <v>0.21210000000000001</v>
      </c>
      <c r="C317" s="6">
        <v>0.41</v>
      </c>
      <c r="D317" s="6">
        <v>0.28360000000000002</v>
      </c>
      <c r="E317" s="6">
        <v>5</v>
      </c>
      <c r="F317" s="6">
        <v>59</v>
      </c>
      <c r="G317" s="6">
        <v>64</v>
      </c>
    </row>
    <row r="318" spans="1:7" x14ac:dyDescent="0.25">
      <c r="A318" s="6">
        <v>316</v>
      </c>
      <c r="B318" s="6">
        <v>0.2424</v>
      </c>
      <c r="C318" s="6">
        <v>0.38</v>
      </c>
      <c r="D318" s="6">
        <v>0.16420000000000001</v>
      </c>
      <c r="E318" s="6">
        <v>9</v>
      </c>
      <c r="F318" s="6">
        <v>59</v>
      </c>
      <c r="G318" s="6">
        <v>68</v>
      </c>
    </row>
    <row r="319" spans="1:7" x14ac:dyDescent="0.25">
      <c r="A319" s="6">
        <v>317</v>
      </c>
      <c r="B319" s="6">
        <v>0.2424</v>
      </c>
      <c r="C319" s="6">
        <v>0.41</v>
      </c>
      <c r="D319" s="6">
        <v>0.1045</v>
      </c>
      <c r="E319" s="6">
        <v>3</v>
      </c>
      <c r="F319" s="6">
        <v>87</v>
      </c>
      <c r="G319" s="6">
        <v>90</v>
      </c>
    </row>
    <row r="320" spans="1:7" x14ac:dyDescent="0.25">
      <c r="A320" s="6">
        <v>318</v>
      </c>
      <c r="B320" s="6">
        <v>0.2273</v>
      </c>
      <c r="C320" s="6">
        <v>0.41</v>
      </c>
      <c r="D320" s="6">
        <v>0.16420000000000001</v>
      </c>
      <c r="E320" s="6">
        <v>4</v>
      </c>
      <c r="F320" s="6">
        <v>155</v>
      </c>
      <c r="G320" s="6">
        <v>159</v>
      </c>
    </row>
    <row r="321" spans="1:7" x14ac:dyDescent="0.25">
      <c r="A321" s="6">
        <v>319</v>
      </c>
      <c r="B321" s="6">
        <v>0.2576</v>
      </c>
      <c r="C321" s="6">
        <v>0.47</v>
      </c>
      <c r="D321" s="6">
        <v>0</v>
      </c>
      <c r="E321" s="6">
        <v>5</v>
      </c>
      <c r="F321" s="6">
        <v>134</v>
      </c>
      <c r="G321" s="6">
        <v>139</v>
      </c>
    </row>
    <row r="322" spans="1:7" x14ac:dyDescent="0.25">
      <c r="A322" s="6">
        <v>320</v>
      </c>
      <c r="B322" s="6">
        <v>0.19700000000000001</v>
      </c>
      <c r="C322" s="6">
        <v>0.59</v>
      </c>
      <c r="D322" s="6">
        <v>8.9599999999999999E-2</v>
      </c>
      <c r="E322" s="6">
        <v>3</v>
      </c>
      <c r="F322" s="6">
        <v>89</v>
      </c>
      <c r="G322" s="6">
        <v>92</v>
      </c>
    </row>
    <row r="323" spans="1:7" x14ac:dyDescent="0.25">
      <c r="A323" s="6">
        <v>321</v>
      </c>
      <c r="B323" s="6">
        <v>0.2424</v>
      </c>
      <c r="C323" s="6">
        <v>0.59</v>
      </c>
      <c r="D323" s="6">
        <v>0</v>
      </c>
      <c r="E323" s="6">
        <v>0</v>
      </c>
      <c r="F323" s="6">
        <v>68</v>
      </c>
      <c r="G323" s="6">
        <v>68</v>
      </c>
    </row>
    <row r="324" spans="1:7" x14ac:dyDescent="0.25">
      <c r="A324" s="6">
        <v>322</v>
      </c>
      <c r="B324" s="6">
        <v>0.2273</v>
      </c>
      <c r="C324" s="6">
        <v>0.69</v>
      </c>
      <c r="D324" s="6">
        <v>0</v>
      </c>
      <c r="E324" s="6">
        <v>4</v>
      </c>
      <c r="F324" s="6">
        <v>48</v>
      </c>
      <c r="G324" s="6">
        <v>52</v>
      </c>
    </row>
    <row r="325" spans="1:7" x14ac:dyDescent="0.25">
      <c r="A325" s="6">
        <v>323</v>
      </c>
      <c r="B325" s="6">
        <v>0.2273</v>
      </c>
      <c r="C325" s="6">
        <v>0.69</v>
      </c>
      <c r="D325" s="6">
        <v>0</v>
      </c>
      <c r="E325" s="6">
        <v>2</v>
      </c>
      <c r="F325" s="6">
        <v>34</v>
      </c>
      <c r="G325" s="6">
        <v>36</v>
      </c>
    </row>
    <row r="326" spans="1:7" x14ac:dyDescent="0.25">
      <c r="A326" s="6">
        <v>324</v>
      </c>
      <c r="B326" s="6">
        <v>0.2424</v>
      </c>
      <c r="C326" s="6">
        <v>0.55000000000000004</v>
      </c>
      <c r="D326" s="6">
        <v>0</v>
      </c>
      <c r="E326" s="6">
        <v>1</v>
      </c>
      <c r="F326" s="6">
        <v>26</v>
      </c>
      <c r="G326" s="6">
        <v>27</v>
      </c>
    </row>
    <row r="327" spans="1:7" x14ac:dyDescent="0.25">
      <c r="A327" s="6">
        <v>325</v>
      </c>
      <c r="B327" s="6">
        <v>0.2424</v>
      </c>
      <c r="C327" s="6">
        <v>0.55000000000000004</v>
      </c>
      <c r="D327" s="6">
        <v>0</v>
      </c>
      <c r="E327" s="6">
        <v>3</v>
      </c>
      <c r="F327" s="6">
        <v>25</v>
      </c>
      <c r="G327" s="6">
        <v>28</v>
      </c>
    </row>
    <row r="328" spans="1:7" x14ac:dyDescent="0.25">
      <c r="A328" s="6">
        <v>326</v>
      </c>
      <c r="B328" s="6">
        <v>0.19700000000000001</v>
      </c>
      <c r="C328" s="6">
        <v>0.59</v>
      </c>
      <c r="D328" s="6">
        <v>8.9599999999999999E-2</v>
      </c>
      <c r="E328" s="6">
        <v>2</v>
      </c>
      <c r="F328" s="6">
        <v>18</v>
      </c>
      <c r="G328" s="6">
        <v>20</v>
      </c>
    </row>
    <row r="329" spans="1:7" x14ac:dyDescent="0.25">
      <c r="A329" s="6">
        <v>327</v>
      </c>
      <c r="B329" s="6">
        <v>0.19700000000000001</v>
      </c>
      <c r="C329" s="6">
        <v>0.59</v>
      </c>
      <c r="D329" s="6">
        <v>8.9599999999999999E-2</v>
      </c>
      <c r="E329" s="6">
        <v>0</v>
      </c>
      <c r="F329" s="6">
        <v>12</v>
      </c>
      <c r="G329" s="6">
        <v>12</v>
      </c>
    </row>
    <row r="330" spans="1:7" x14ac:dyDescent="0.25">
      <c r="A330" s="6">
        <v>328</v>
      </c>
      <c r="B330" s="6">
        <v>0.2273</v>
      </c>
      <c r="C330" s="6">
        <v>0.59</v>
      </c>
      <c r="D330" s="6">
        <v>0</v>
      </c>
      <c r="E330" s="6">
        <v>1</v>
      </c>
      <c r="F330" s="6">
        <v>7</v>
      </c>
      <c r="G330" s="6">
        <v>8</v>
      </c>
    </row>
    <row r="331" spans="1:7" x14ac:dyDescent="0.25">
      <c r="A331" s="6">
        <v>329</v>
      </c>
      <c r="B331" s="6">
        <v>0.2273</v>
      </c>
      <c r="C331" s="6">
        <v>0.59</v>
      </c>
      <c r="D331" s="6">
        <v>0</v>
      </c>
      <c r="E331" s="6">
        <v>0</v>
      </c>
      <c r="F331" s="6">
        <v>5</v>
      </c>
      <c r="G331" s="6">
        <v>5</v>
      </c>
    </row>
    <row r="332" spans="1:7" x14ac:dyDescent="0.25">
      <c r="A332" s="6">
        <v>330</v>
      </c>
      <c r="B332" s="6">
        <v>0.2273</v>
      </c>
      <c r="C332" s="6">
        <v>0.59</v>
      </c>
      <c r="D332" s="6">
        <v>0</v>
      </c>
      <c r="E332" s="6">
        <v>0</v>
      </c>
      <c r="F332" s="6">
        <v>1</v>
      </c>
      <c r="G332" s="6">
        <v>1</v>
      </c>
    </row>
    <row r="333" spans="1:7" x14ac:dyDescent="0.25">
      <c r="A333" s="6">
        <v>331</v>
      </c>
      <c r="B333" s="6">
        <v>0.16669999999999999</v>
      </c>
      <c r="C333" s="6">
        <v>0.63</v>
      </c>
      <c r="D333" s="6">
        <v>0.1045</v>
      </c>
      <c r="E333" s="6">
        <v>1</v>
      </c>
      <c r="F333" s="6">
        <v>2</v>
      </c>
      <c r="G333" s="6">
        <v>3</v>
      </c>
    </row>
    <row r="334" spans="1:7" x14ac:dyDescent="0.25">
      <c r="A334" s="6">
        <v>332</v>
      </c>
      <c r="B334" s="6">
        <v>0.21210000000000001</v>
      </c>
      <c r="C334" s="6">
        <v>0.63</v>
      </c>
      <c r="D334" s="6">
        <v>0</v>
      </c>
      <c r="E334" s="6">
        <v>1</v>
      </c>
      <c r="F334" s="6">
        <v>9</v>
      </c>
      <c r="G334" s="6">
        <v>10</v>
      </c>
    </row>
    <row r="335" spans="1:7" x14ac:dyDescent="0.25">
      <c r="A335" s="6">
        <v>333</v>
      </c>
      <c r="B335" s="6">
        <v>0.1515</v>
      </c>
      <c r="C335" s="6">
        <v>0.63</v>
      </c>
      <c r="D335" s="6">
        <v>0.1343</v>
      </c>
      <c r="E335" s="6">
        <v>1</v>
      </c>
      <c r="F335" s="6">
        <v>22</v>
      </c>
      <c r="G335" s="6">
        <v>23</v>
      </c>
    </row>
    <row r="336" spans="1:7" x14ac:dyDescent="0.25">
      <c r="A336" s="6">
        <v>334</v>
      </c>
      <c r="B336" s="6">
        <v>0.18179999999999999</v>
      </c>
      <c r="C336" s="6">
        <v>0.64</v>
      </c>
      <c r="D336" s="6">
        <v>0.1343</v>
      </c>
      <c r="E336" s="6">
        <v>2</v>
      </c>
      <c r="F336" s="6">
        <v>31</v>
      </c>
      <c r="G336" s="6">
        <v>33</v>
      </c>
    </row>
    <row r="337" spans="1:7" x14ac:dyDescent="0.25">
      <c r="A337" s="6">
        <v>335</v>
      </c>
      <c r="B337" s="6">
        <v>0.19700000000000001</v>
      </c>
      <c r="C337" s="6">
        <v>0.59</v>
      </c>
      <c r="D337" s="6">
        <v>0.16420000000000001</v>
      </c>
      <c r="E337" s="6">
        <v>2</v>
      </c>
      <c r="F337" s="6">
        <v>57</v>
      </c>
      <c r="G337" s="6">
        <v>59</v>
      </c>
    </row>
    <row r="338" spans="1:7" x14ac:dyDescent="0.25">
      <c r="A338" s="6">
        <v>336</v>
      </c>
      <c r="B338" s="6">
        <v>0.19700000000000001</v>
      </c>
      <c r="C338" s="6">
        <v>0.55000000000000004</v>
      </c>
      <c r="D338" s="6">
        <v>0.22389999999999999</v>
      </c>
      <c r="E338" s="6">
        <v>18</v>
      </c>
      <c r="F338" s="6">
        <v>54</v>
      </c>
      <c r="G338" s="6">
        <v>72</v>
      </c>
    </row>
    <row r="339" spans="1:7" x14ac:dyDescent="0.25">
      <c r="A339" s="6">
        <v>337</v>
      </c>
      <c r="B339" s="6">
        <v>0.2273</v>
      </c>
      <c r="C339" s="6">
        <v>0.48</v>
      </c>
      <c r="D339" s="6">
        <v>0.22389999999999999</v>
      </c>
      <c r="E339" s="6">
        <v>15</v>
      </c>
      <c r="F339" s="6">
        <v>74</v>
      </c>
      <c r="G339" s="6">
        <v>89</v>
      </c>
    </row>
    <row r="340" spans="1:7" x14ac:dyDescent="0.25">
      <c r="A340" s="6">
        <v>338</v>
      </c>
      <c r="B340" s="6">
        <v>0.2576</v>
      </c>
      <c r="C340" s="6">
        <v>0.38</v>
      </c>
      <c r="D340" s="6">
        <v>0.29849999999999999</v>
      </c>
      <c r="E340" s="6">
        <v>21</v>
      </c>
      <c r="F340" s="6">
        <v>80</v>
      </c>
      <c r="G340" s="6">
        <v>101</v>
      </c>
    </row>
    <row r="341" spans="1:7" x14ac:dyDescent="0.25">
      <c r="A341" s="6">
        <v>339</v>
      </c>
      <c r="B341" s="6">
        <v>0.28789999999999999</v>
      </c>
      <c r="C341" s="6">
        <v>0.39</v>
      </c>
      <c r="D341" s="6">
        <v>0.28360000000000002</v>
      </c>
      <c r="E341" s="6">
        <v>26</v>
      </c>
      <c r="F341" s="6">
        <v>92</v>
      </c>
      <c r="G341" s="6">
        <v>118</v>
      </c>
    </row>
    <row r="342" spans="1:7" x14ac:dyDescent="0.25">
      <c r="A342" s="6">
        <v>340</v>
      </c>
      <c r="B342" s="6">
        <v>0.31819999999999998</v>
      </c>
      <c r="C342" s="6">
        <v>0.36</v>
      </c>
      <c r="D342" s="6">
        <v>0.19400000000000001</v>
      </c>
      <c r="E342" s="6">
        <v>21</v>
      </c>
      <c r="F342" s="6">
        <v>108</v>
      </c>
      <c r="G342" s="6">
        <v>129</v>
      </c>
    </row>
    <row r="343" spans="1:7" x14ac:dyDescent="0.25">
      <c r="A343" s="6">
        <v>341</v>
      </c>
      <c r="B343" s="6">
        <v>0.33329999999999999</v>
      </c>
      <c r="C343" s="6">
        <v>0.34</v>
      </c>
      <c r="D343" s="6">
        <v>0.19400000000000001</v>
      </c>
      <c r="E343" s="6">
        <v>33</v>
      </c>
      <c r="F343" s="6">
        <v>95</v>
      </c>
      <c r="G343" s="6">
        <v>128</v>
      </c>
    </row>
    <row r="344" spans="1:7" x14ac:dyDescent="0.25">
      <c r="A344" s="6">
        <v>342</v>
      </c>
      <c r="B344" s="6">
        <v>0.30299999999999999</v>
      </c>
      <c r="C344" s="6">
        <v>0.36</v>
      </c>
      <c r="D344" s="6">
        <v>0.28360000000000002</v>
      </c>
      <c r="E344" s="6">
        <v>29</v>
      </c>
      <c r="F344" s="6">
        <v>54</v>
      </c>
      <c r="G344" s="6">
        <v>83</v>
      </c>
    </row>
    <row r="345" spans="1:7" x14ac:dyDescent="0.25">
      <c r="A345" s="6">
        <v>343</v>
      </c>
      <c r="B345" s="6">
        <v>0.28789999999999999</v>
      </c>
      <c r="C345" s="6">
        <v>0.45</v>
      </c>
      <c r="D345" s="6">
        <v>0.25369999999999998</v>
      </c>
      <c r="E345" s="6">
        <v>15</v>
      </c>
      <c r="F345" s="6">
        <v>69</v>
      </c>
      <c r="G345" s="6">
        <v>84</v>
      </c>
    </row>
    <row r="346" spans="1:7" x14ac:dyDescent="0.25">
      <c r="A346" s="6">
        <v>344</v>
      </c>
      <c r="B346" s="6">
        <v>0.30299999999999999</v>
      </c>
      <c r="C346" s="6">
        <v>0.39</v>
      </c>
      <c r="D346" s="6">
        <v>0.25369999999999998</v>
      </c>
      <c r="E346" s="6">
        <v>14</v>
      </c>
      <c r="F346" s="6">
        <v>60</v>
      </c>
      <c r="G346" s="6">
        <v>74</v>
      </c>
    </row>
    <row r="347" spans="1:7" x14ac:dyDescent="0.25">
      <c r="A347" s="6">
        <v>345</v>
      </c>
      <c r="B347" s="6">
        <v>0.30299999999999999</v>
      </c>
      <c r="C347" s="6">
        <v>0.39</v>
      </c>
      <c r="D347" s="6">
        <v>0.25369999999999998</v>
      </c>
      <c r="E347" s="6">
        <v>6</v>
      </c>
      <c r="F347" s="6">
        <v>35</v>
      </c>
      <c r="G347" s="6">
        <v>41</v>
      </c>
    </row>
    <row r="348" spans="1:7" x14ac:dyDescent="0.25">
      <c r="A348" s="6">
        <v>346</v>
      </c>
      <c r="B348" s="6">
        <v>0.30299999999999999</v>
      </c>
      <c r="C348" s="6">
        <v>0.39</v>
      </c>
      <c r="D348" s="6">
        <v>0.22389999999999999</v>
      </c>
      <c r="E348" s="6">
        <v>6</v>
      </c>
      <c r="F348" s="6">
        <v>51</v>
      </c>
      <c r="G348" s="6">
        <v>57</v>
      </c>
    </row>
    <row r="349" spans="1:7" x14ac:dyDescent="0.25">
      <c r="A349" s="6">
        <v>347</v>
      </c>
      <c r="B349" s="6">
        <v>0.31819999999999998</v>
      </c>
      <c r="C349" s="6">
        <v>0.42</v>
      </c>
      <c r="D349" s="6">
        <v>0.1045</v>
      </c>
      <c r="E349" s="6">
        <v>0</v>
      </c>
      <c r="F349" s="6">
        <v>26</v>
      </c>
      <c r="G349" s="6">
        <v>26</v>
      </c>
    </row>
    <row r="350" spans="1:7" x14ac:dyDescent="0.25">
      <c r="A350" s="6">
        <v>348</v>
      </c>
      <c r="B350" s="6">
        <v>0.28789999999999999</v>
      </c>
      <c r="C350" s="6">
        <v>0.45</v>
      </c>
      <c r="D350" s="6">
        <v>0.28360000000000002</v>
      </c>
      <c r="E350" s="6">
        <v>5</v>
      </c>
      <c r="F350" s="6">
        <v>39</v>
      </c>
      <c r="G350" s="6">
        <v>44</v>
      </c>
    </row>
    <row r="351" spans="1:7" x14ac:dyDescent="0.25">
      <c r="A351" s="6">
        <v>349</v>
      </c>
      <c r="B351" s="6">
        <v>0.30299999999999999</v>
      </c>
      <c r="C351" s="6">
        <v>0.56000000000000005</v>
      </c>
      <c r="D351" s="6">
        <v>0</v>
      </c>
      <c r="E351" s="6">
        <v>6</v>
      </c>
      <c r="F351" s="6">
        <v>33</v>
      </c>
      <c r="G351" s="6">
        <v>39</v>
      </c>
    </row>
    <row r="352" spans="1:7" x14ac:dyDescent="0.25">
      <c r="A352" s="6">
        <v>350</v>
      </c>
      <c r="B352" s="6">
        <v>0.2727</v>
      </c>
      <c r="C352" s="6">
        <v>0.56000000000000005</v>
      </c>
      <c r="D352" s="6">
        <v>0.1343</v>
      </c>
      <c r="E352" s="6">
        <v>4</v>
      </c>
      <c r="F352" s="6">
        <v>19</v>
      </c>
      <c r="G352" s="6">
        <v>23</v>
      </c>
    </row>
    <row r="353" spans="1:7" x14ac:dyDescent="0.25">
      <c r="A353" s="6">
        <v>351</v>
      </c>
      <c r="B353" s="6">
        <v>0.28789999999999999</v>
      </c>
      <c r="C353" s="6">
        <v>0.56000000000000005</v>
      </c>
      <c r="D353" s="6">
        <v>8.9599999999999999E-2</v>
      </c>
      <c r="E353" s="6">
        <v>3</v>
      </c>
      <c r="F353" s="6">
        <v>13</v>
      </c>
      <c r="G353" s="6">
        <v>16</v>
      </c>
    </row>
    <row r="354" spans="1:7" x14ac:dyDescent="0.25">
      <c r="A354" s="6">
        <v>352</v>
      </c>
      <c r="B354" s="6">
        <v>0.2727</v>
      </c>
      <c r="C354" s="6">
        <v>0.69</v>
      </c>
      <c r="D354" s="6">
        <v>0</v>
      </c>
      <c r="E354" s="6">
        <v>9</v>
      </c>
      <c r="F354" s="6">
        <v>6</v>
      </c>
      <c r="G354" s="6">
        <v>15</v>
      </c>
    </row>
    <row r="355" spans="1:7" x14ac:dyDescent="0.25">
      <c r="A355" s="6">
        <v>353</v>
      </c>
      <c r="B355" s="6">
        <v>0.2576</v>
      </c>
      <c r="C355" s="6">
        <v>0.56000000000000005</v>
      </c>
      <c r="D355" s="6">
        <v>0.16420000000000001</v>
      </c>
      <c r="E355" s="6">
        <v>0</v>
      </c>
      <c r="F355" s="6">
        <v>1</v>
      </c>
      <c r="G355" s="6">
        <v>1</v>
      </c>
    </row>
    <row r="356" spans="1:7" x14ac:dyDescent="0.25">
      <c r="A356" s="6">
        <v>354</v>
      </c>
      <c r="B356" s="6">
        <v>0.2576</v>
      </c>
      <c r="C356" s="6">
        <v>0.56000000000000005</v>
      </c>
      <c r="D356" s="6">
        <v>0.16420000000000001</v>
      </c>
      <c r="E356" s="6">
        <v>1</v>
      </c>
      <c r="F356" s="6">
        <v>1</v>
      </c>
      <c r="G356" s="6">
        <v>2</v>
      </c>
    </row>
    <row r="357" spans="1:7" x14ac:dyDescent="0.25">
      <c r="A357" s="6">
        <v>355</v>
      </c>
      <c r="B357" s="6">
        <v>0.2576</v>
      </c>
      <c r="C357" s="6">
        <v>0.56000000000000005</v>
      </c>
      <c r="D357" s="6">
        <v>0.16420000000000001</v>
      </c>
      <c r="E357" s="6">
        <v>0</v>
      </c>
      <c r="F357" s="6">
        <v>1</v>
      </c>
      <c r="G357" s="6">
        <v>1</v>
      </c>
    </row>
    <row r="358" spans="1:7" x14ac:dyDescent="0.25">
      <c r="A358" s="6">
        <v>356</v>
      </c>
      <c r="B358" s="6">
        <v>0.21210000000000001</v>
      </c>
      <c r="C358" s="6">
        <v>0.56000000000000005</v>
      </c>
      <c r="D358" s="6">
        <v>0.29849999999999999</v>
      </c>
      <c r="E358" s="6">
        <v>0</v>
      </c>
      <c r="F358" s="6">
        <v>3</v>
      </c>
      <c r="G358" s="6">
        <v>3</v>
      </c>
    </row>
    <row r="359" spans="1:7" x14ac:dyDescent="0.25">
      <c r="A359" s="6">
        <v>357</v>
      </c>
      <c r="B359" s="6">
        <v>0.21210000000000001</v>
      </c>
      <c r="C359" s="6">
        <v>0.55000000000000004</v>
      </c>
      <c r="D359" s="6">
        <v>0.28360000000000002</v>
      </c>
      <c r="E359" s="6">
        <v>0</v>
      </c>
      <c r="F359" s="6">
        <v>18</v>
      </c>
      <c r="G359" s="6">
        <v>18</v>
      </c>
    </row>
    <row r="360" spans="1:7" x14ac:dyDescent="0.25">
      <c r="A360" s="6">
        <v>358</v>
      </c>
      <c r="B360" s="6">
        <v>0.21210000000000001</v>
      </c>
      <c r="C360" s="6">
        <v>0.51</v>
      </c>
      <c r="D360" s="6">
        <v>0.25369999999999998</v>
      </c>
      <c r="E360" s="6">
        <v>3</v>
      </c>
      <c r="F360" s="6">
        <v>29</v>
      </c>
      <c r="G360" s="6">
        <v>32</v>
      </c>
    </row>
    <row r="361" spans="1:7" x14ac:dyDescent="0.25">
      <c r="A361" s="6">
        <v>359</v>
      </c>
      <c r="B361" s="6">
        <v>0.21210000000000001</v>
      </c>
      <c r="C361" s="6">
        <v>0.51</v>
      </c>
      <c r="D361" s="6">
        <v>0.28360000000000002</v>
      </c>
      <c r="E361" s="6">
        <v>8</v>
      </c>
      <c r="F361" s="6">
        <v>71</v>
      </c>
      <c r="G361" s="6">
        <v>79</v>
      </c>
    </row>
    <row r="362" spans="1:7" x14ac:dyDescent="0.25">
      <c r="A362" s="6">
        <v>360</v>
      </c>
      <c r="B362" s="6">
        <v>0.2273</v>
      </c>
      <c r="C362" s="6">
        <v>0.44</v>
      </c>
      <c r="D362" s="6">
        <v>0.25369999999999998</v>
      </c>
      <c r="E362" s="6">
        <v>23</v>
      </c>
      <c r="F362" s="6">
        <v>70</v>
      </c>
      <c r="G362" s="6">
        <v>93</v>
      </c>
    </row>
    <row r="363" spans="1:7" x14ac:dyDescent="0.25">
      <c r="A363" s="6">
        <v>361</v>
      </c>
      <c r="B363" s="6">
        <v>0.21210000000000001</v>
      </c>
      <c r="C363" s="6">
        <v>0.41</v>
      </c>
      <c r="D363" s="6">
        <v>0.28360000000000002</v>
      </c>
      <c r="E363" s="6">
        <v>29</v>
      </c>
      <c r="F363" s="6">
        <v>75</v>
      </c>
      <c r="G363" s="6">
        <v>104</v>
      </c>
    </row>
    <row r="364" spans="1:7" x14ac:dyDescent="0.25">
      <c r="A364" s="6">
        <v>362</v>
      </c>
      <c r="B364" s="6">
        <v>0.2273</v>
      </c>
      <c r="C364" s="6">
        <v>0.35</v>
      </c>
      <c r="D364" s="6">
        <v>0.29849999999999999</v>
      </c>
      <c r="E364" s="6">
        <v>23</v>
      </c>
      <c r="F364" s="6">
        <v>95</v>
      </c>
      <c r="G364" s="6">
        <v>118</v>
      </c>
    </row>
    <row r="365" spans="1:7" x14ac:dyDescent="0.25">
      <c r="A365" s="6">
        <v>363</v>
      </c>
      <c r="B365" s="6">
        <v>0.2727</v>
      </c>
      <c r="C365" s="6">
        <v>0.36</v>
      </c>
      <c r="D365" s="6">
        <v>0.25369999999999998</v>
      </c>
      <c r="E365" s="6">
        <v>22</v>
      </c>
      <c r="F365" s="6">
        <v>69</v>
      </c>
      <c r="G365" s="6">
        <v>91</v>
      </c>
    </row>
    <row r="366" spans="1:7" x14ac:dyDescent="0.25">
      <c r="A366" s="6">
        <v>364</v>
      </c>
      <c r="B366" s="6">
        <v>0.2424</v>
      </c>
      <c r="C366" s="6">
        <v>0.38</v>
      </c>
      <c r="D366" s="6">
        <v>0.25369999999999998</v>
      </c>
      <c r="E366" s="6">
        <v>35</v>
      </c>
      <c r="F366" s="6">
        <v>78</v>
      </c>
      <c r="G366" s="6">
        <v>113</v>
      </c>
    </row>
    <row r="367" spans="1:7" x14ac:dyDescent="0.25">
      <c r="A367" s="6">
        <v>365</v>
      </c>
      <c r="B367" s="6">
        <v>0.2273</v>
      </c>
      <c r="C367" s="6">
        <v>0.38</v>
      </c>
      <c r="D367" s="6">
        <v>0.22389999999999999</v>
      </c>
      <c r="E367" s="6">
        <v>22</v>
      </c>
      <c r="F367" s="6">
        <v>77</v>
      </c>
      <c r="G367" s="6">
        <v>99</v>
      </c>
    </row>
    <row r="368" spans="1:7" x14ac:dyDescent="0.25">
      <c r="A368" s="6">
        <v>366</v>
      </c>
      <c r="B368" s="6">
        <v>0.21210000000000001</v>
      </c>
      <c r="C368" s="6">
        <v>0.37</v>
      </c>
      <c r="D368" s="6">
        <v>0.25369999999999998</v>
      </c>
      <c r="E368" s="6">
        <v>23</v>
      </c>
      <c r="F368" s="6">
        <v>82</v>
      </c>
      <c r="G368" s="6">
        <v>105</v>
      </c>
    </row>
    <row r="369" spans="1:7" x14ac:dyDescent="0.25">
      <c r="A369" s="6">
        <v>367</v>
      </c>
      <c r="B369" s="6">
        <v>0.21210000000000001</v>
      </c>
      <c r="C369" s="6">
        <v>0.4</v>
      </c>
      <c r="D369" s="6">
        <v>0.16420000000000001</v>
      </c>
      <c r="E369" s="6">
        <v>11</v>
      </c>
      <c r="F369" s="6">
        <v>56</v>
      </c>
      <c r="G369" s="6">
        <v>67</v>
      </c>
    </row>
    <row r="370" spans="1:7" x14ac:dyDescent="0.25">
      <c r="A370" s="6">
        <v>368</v>
      </c>
      <c r="B370" s="6">
        <v>0.19700000000000001</v>
      </c>
      <c r="C370" s="6">
        <v>0.47</v>
      </c>
      <c r="D370" s="6">
        <v>0.1343</v>
      </c>
      <c r="E370" s="6">
        <v>14</v>
      </c>
      <c r="F370" s="6">
        <v>47</v>
      </c>
      <c r="G370" s="6">
        <v>61</v>
      </c>
    </row>
    <row r="371" spans="1:7" x14ac:dyDescent="0.25">
      <c r="A371" s="6">
        <v>369</v>
      </c>
      <c r="B371" s="6">
        <v>0.19700000000000001</v>
      </c>
      <c r="C371" s="6">
        <v>0.47</v>
      </c>
      <c r="D371" s="6">
        <v>0.16420000000000001</v>
      </c>
      <c r="E371" s="6">
        <v>7</v>
      </c>
      <c r="F371" s="6">
        <v>50</v>
      </c>
      <c r="G371" s="6">
        <v>57</v>
      </c>
    </row>
    <row r="372" spans="1:7" x14ac:dyDescent="0.25">
      <c r="A372" s="6">
        <v>370</v>
      </c>
      <c r="B372" s="6">
        <v>0.19700000000000001</v>
      </c>
      <c r="C372" s="6">
        <v>0.51</v>
      </c>
      <c r="D372" s="6">
        <v>0.16420000000000001</v>
      </c>
      <c r="E372" s="6">
        <v>6</v>
      </c>
      <c r="F372" s="6">
        <v>22</v>
      </c>
      <c r="G372" s="6">
        <v>28</v>
      </c>
    </row>
    <row r="373" spans="1:7" x14ac:dyDescent="0.25">
      <c r="A373" s="6">
        <v>371</v>
      </c>
      <c r="B373" s="6">
        <v>0.21210000000000001</v>
      </c>
      <c r="C373" s="6">
        <v>0.49</v>
      </c>
      <c r="D373" s="6">
        <v>0.1343</v>
      </c>
      <c r="E373" s="6">
        <v>2</v>
      </c>
      <c r="F373" s="6">
        <v>19</v>
      </c>
      <c r="G373" s="6">
        <v>21</v>
      </c>
    </row>
    <row r="374" spans="1:7" x14ac:dyDescent="0.25">
      <c r="A374" s="6">
        <v>372</v>
      </c>
      <c r="B374" s="6">
        <v>0.2273</v>
      </c>
      <c r="C374" s="6">
        <v>0.4</v>
      </c>
      <c r="D374" s="6">
        <v>0.1045</v>
      </c>
      <c r="E374" s="6">
        <v>0</v>
      </c>
      <c r="F374" s="6">
        <v>18</v>
      </c>
      <c r="G374" s="6">
        <v>18</v>
      </c>
    </row>
    <row r="375" spans="1:7" x14ac:dyDescent="0.25">
      <c r="A375" s="6">
        <v>373</v>
      </c>
      <c r="B375" s="6">
        <v>0.19700000000000001</v>
      </c>
      <c r="C375" s="6">
        <v>0.47</v>
      </c>
      <c r="D375" s="6">
        <v>0.22389999999999999</v>
      </c>
      <c r="E375" s="6">
        <v>1</v>
      </c>
      <c r="F375" s="6">
        <v>16</v>
      </c>
      <c r="G375" s="6">
        <v>17</v>
      </c>
    </row>
    <row r="376" spans="1:7" x14ac:dyDescent="0.25">
      <c r="A376" s="6">
        <v>374</v>
      </c>
      <c r="B376" s="6">
        <v>0.19700000000000001</v>
      </c>
      <c r="C376" s="6">
        <v>0.44</v>
      </c>
      <c r="D376" s="6">
        <v>0.19400000000000001</v>
      </c>
      <c r="E376" s="6">
        <v>1</v>
      </c>
      <c r="F376" s="6">
        <v>15</v>
      </c>
      <c r="G376" s="6">
        <v>16</v>
      </c>
    </row>
    <row r="377" spans="1:7" x14ac:dyDescent="0.25">
      <c r="A377" s="6">
        <v>375</v>
      </c>
      <c r="B377" s="6">
        <v>0.16669999999999999</v>
      </c>
      <c r="C377" s="6">
        <v>0.43</v>
      </c>
      <c r="D377" s="6">
        <v>0.25369999999999998</v>
      </c>
      <c r="E377" s="6">
        <v>0</v>
      </c>
      <c r="F377" s="6">
        <v>8</v>
      </c>
      <c r="G377" s="6">
        <v>8</v>
      </c>
    </row>
    <row r="378" spans="1:7" x14ac:dyDescent="0.25">
      <c r="A378" s="6">
        <v>376</v>
      </c>
      <c r="B378" s="6">
        <v>0.18179999999999999</v>
      </c>
      <c r="C378" s="6">
        <v>0.43</v>
      </c>
      <c r="D378" s="6">
        <v>0.19400000000000001</v>
      </c>
      <c r="E378" s="6">
        <v>0</v>
      </c>
      <c r="F378" s="6">
        <v>2</v>
      </c>
      <c r="G378" s="6">
        <v>2</v>
      </c>
    </row>
    <row r="379" spans="1:7" x14ac:dyDescent="0.25">
      <c r="A379" s="6">
        <v>377</v>
      </c>
      <c r="B379" s="6">
        <v>0.19700000000000001</v>
      </c>
      <c r="C379" s="6">
        <v>0.43</v>
      </c>
      <c r="D379" s="6">
        <v>0.1343</v>
      </c>
      <c r="E379" s="6">
        <v>1</v>
      </c>
      <c r="F379" s="6">
        <v>2</v>
      </c>
      <c r="G379" s="6">
        <v>3</v>
      </c>
    </row>
    <row r="380" spans="1:7" x14ac:dyDescent="0.25">
      <c r="A380" s="6">
        <v>378</v>
      </c>
      <c r="B380" s="6">
        <v>0.19700000000000001</v>
      </c>
      <c r="C380" s="6">
        <v>0.43</v>
      </c>
      <c r="D380" s="6">
        <v>0.16420000000000001</v>
      </c>
      <c r="E380" s="6">
        <v>0</v>
      </c>
      <c r="F380" s="6">
        <v>1</v>
      </c>
      <c r="G380" s="6">
        <v>1</v>
      </c>
    </row>
    <row r="381" spans="1:7" x14ac:dyDescent="0.25">
      <c r="A381" s="6">
        <v>379</v>
      </c>
      <c r="B381" s="6">
        <v>0.18179999999999999</v>
      </c>
      <c r="C381" s="6">
        <v>0.43</v>
      </c>
      <c r="D381" s="6">
        <v>0.19400000000000001</v>
      </c>
      <c r="E381" s="6">
        <v>0</v>
      </c>
      <c r="F381" s="6">
        <v>5</v>
      </c>
      <c r="G381" s="6">
        <v>5</v>
      </c>
    </row>
    <row r="382" spans="1:7" x14ac:dyDescent="0.25">
      <c r="A382" s="6">
        <v>380</v>
      </c>
      <c r="B382" s="6">
        <v>0.18179999999999999</v>
      </c>
      <c r="C382" s="6">
        <v>0.5</v>
      </c>
      <c r="D382" s="6">
        <v>0.1343</v>
      </c>
      <c r="E382" s="6">
        <v>4</v>
      </c>
      <c r="F382" s="6">
        <v>9</v>
      </c>
      <c r="G382" s="6">
        <v>13</v>
      </c>
    </row>
    <row r="383" spans="1:7" x14ac:dyDescent="0.25">
      <c r="A383" s="6">
        <v>381</v>
      </c>
      <c r="B383" s="6">
        <v>0.1515</v>
      </c>
      <c r="C383" s="6">
        <v>0.47</v>
      </c>
      <c r="D383" s="6">
        <v>0.22389999999999999</v>
      </c>
      <c r="E383" s="6">
        <v>3</v>
      </c>
      <c r="F383" s="6">
        <v>30</v>
      </c>
      <c r="G383" s="6">
        <v>33</v>
      </c>
    </row>
    <row r="384" spans="1:7" x14ac:dyDescent="0.25">
      <c r="A384" s="6">
        <v>382</v>
      </c>
      <c r="B384" s="6">
        <v>0.1515</v>
      </c>
      <c r="C384" s="6">
        <v>0.47</v>
      </c>
      <c r="D384" s="6">
        <v>0.22389999999999999</v>
      </c>
      <c r="E384" s="6">
        <v>8</v>
      </c>
      <c r="F384" s="6">
        <v>39</v>
      </c>
      <c r="G384" s="6">
        <v>47</v>
      </c>
    </row>
    <row r="385" spans="1:7" x14ac:dyDescent="0.25">
      <c r="A385" s="6">
        <v>383</v>
      </c>
      <c r="B385" s="6">
        <v>0.1515</v>
      </c>
      <c r="C385" s="6">
        <v>0.5</v>
      </c>
      <c r="D385" s="6">
        <v>0.25369999999999998</v>
      </c>
      <c r="E385" s="6">
        <v>7</v>
      </c>
      <c r="F385" s="6">
        <v>50</v>
      </c>
      <c r="G385" s="6">
        <v>57</v>
      </c>
    </row>
    <row r="386" spans="1:7" x14ac:dyDescent="0.25">
      <c r="A386" s="6">
        <v>384</v>
      </c>
      <c r="B386" s="6">
        <v>0.1515</v>
      </c>
      <c r="C386" s="6">
        <v>0.55000000000000004</v>
      </c>
      <c r="D386" s="6">
        <v>0.19400000000000001</v>
      </c>
      <c r="E386" s="6">
        <v>9</v>
      </c>
      <c r="F386" s="6">
        <v>55</v>
      </c>
      <c r="G386" s="6">
        <v>64</v>
      </c>
    </row>
    <row r="387" spans="1:7" x14ac:dyDescent="0.25">
      <c r="A387" s="6">
        <v>385</v>
      </c>
      <c r="B387" s="6">
        <v>0.19700000000000001</v>
      </c>
      <c r="C387" s="6">
        <v>0.47</v>
      </c>
      <c r="D387" s="6">
        <v>0.1343</v>
      </c>
      <c r="E387" s="6">
        <v>10</v>
      </c>
      <c r="F387" s="6">
        <v>70</v>
      </c>
      <c r="G387" s="6">
        <v>80</v>
      </c>
    </row>
    <row r="388" spans="1:7" x14ac:dyDescent="0.25">
      <c r="A388" s="6">
        <v>386</v>
      </c>
      <c r="B388" s="6">
        <v>0.19700000000000001</v>
      </c>
      <c r="C388" s="6">
        <v>0.47</v>
      </c>
      <c r="D388" s="6">
        <v>0.1343</v>
      </c>
      <c r="E388" s="6">
        <v>13</v>
      </c>
      <c r="F388" s="6">
        <v>80</v>
      </c>
      <c r="G388" s="6">
        <v>93</v>
      </c>
    </row>
    <row r="389" spans="1:7" x14ac:dyDescent="0.25">
      <c r="A389" s="6">
        <v>387</v>
      </c>
      <c r="B389" s="6">
        <v>0.21210000000000001</v>
      </c>
      <c r="C389" s="6">
        <v>0.43</v>
      </c>
      <c r="D389" s="6">
        <v>0.1045</v>
      </c>
      <c r="E389" s="6">
        <v>12</v>
      </c>
      <c r="F389" s="6">
        <v>74</v>
      </c>
      <c r="G389" s="6">
        <v>86</v>
      </c>
    </row>
    <row r="390" spans="1:7" x14ac:dyDescent="0.25">
      <c r="A390" s="6">
        <v>388</v>
      </c>
      <c r="B390" s="6">
        <v>0.21210000000000001</v>
      </c>
      <c r="C390" s="6">
        <v>0.47</v>
      </c>
      <c r="D390" s="6">
        <v>0.16420000000000001</v>
      </c>
      <c r="E390" s="6">
        <v>21</v>
      </c>
      <c r="F390" s="6">
        <v>72</v>
      </c>
      <c r="G390" s="6">
        <v>93</v>
      </c>
    </row>
    <row r="391" spans="1:7" x14ac:dyDescent="0.25">
      <c r="A391" s="6">
        <v>389</v>
      </c>
      <c r="B391" s="6">
        <v>0.21210000000000001</v>
      </c>
      <c r="C391" s="6">
        <v>0.47</v>
      </c>
      <c r="D391" s="6">
        <v>0.16420000000000001</v>
      </c>
      <c r="E391" s="6">
        <v>6</v>
      </c>
      <c r="F391" s="6">
        <v>76</v>
      </c>
      <c r="G391" s="6">
        <v>82</v>
      </c>
    </row>
    <row r="392" spans="1:7" x14ac:dyDescent="0.25">
      <c r="A392" s="6">
        <v>390</v>
      </c>
      <c r="B392" s="6">
        <v>0.19700000000000001</v>
      </c>
      <c r="C392" s="6">
        <v>0.51</v>
      </c>
      <c r="D392" s="6">
        <v>0.19400000000000001</v>
      </c>
      <c r="E392" s="6">
        <v>4</v>
      </c>
      <c r="F392" s="6">
        <v>67</v>
      </c>
      <c r="G392" s="6">
        <v>71</v>
      </c>
    </row>
    <row r="393" spans="1:7" x14ac:dyDescent="0.25">
      <c r="A393" s="6">
        <v>391</v>
      </c>
      <c r="B393" s="6">
        <v>0.16669999999999999</v>
      </c>
      <c r="C393" s="6">
        <v>0.55000000000000004</v>
      </c>
      <c r="D393" s="6">
        <v>0.25369999999999998</v>
      </c>
      <c r="E393" s="6">
        <v>7</v>
      </c>
      <c r="F393" s="6">
        <v>85</v>
      </c>
      <c r="G393" s="6">
        <v>92</v>
      </c>
    </row>
    <row r="394" spans="1:7" x14ac:dyDescent="0.25">
      <c r="A394" s="6">
        <v>392</v>
      </c>
      <c r="B394" s="6">
        <v>0.18179999999999999</v>
      </c>
      <c r="C394" s="6">
        <v>0.59</v>
      </c>
      <c r="D394" s="6">
        <v>0.19400000000000001</v>
      </c>
      <c r="E394" s="6">
        <v>2</v>
      </c>
      <c r="F394" s="6">
        <v>58</v>
      </c>
      <c r="G394" s="6">
        <v>60</v>
      </c>
    </row>
    <row r="395" spans="1:7" x14ac:dyDescent="0.25">
      <c r="A395" s="6">
        <v>393</v>
      </c>
      <c r="B395" s="6">
        <v>0.1515</v>
      </c>
      <c r="C395" s="6">
        <v>0.8</v>
      </c>
      <c r="D395" s="6">
        <v>0.19400000000000001</v>
      </c>
      <c r="E395" s="6">
        <v>4</v>
      </c>
      <c r="F395" s="6">
        <v>29</v>
      </c>
      <c r="G395" s="6">
        <v>33</v>
      </c>
    </row>
    <row r="396" spans="1:7" x14ac:dyDescent="0.25">
      <c r="A396" s="6">
        <v>394</v>
      </c>
      <c r="B396" s="6">
        <v>0.1515</v>
      </c>
      <c r="C396" s="6">
        <v>0.8</v>
      </c>
      <c r="D396" s="6">
        <v>0.19400000000000001</v>
      </c>
      <c r="E396" s="6">
        <v>3</v>
      </c>
      <c r="F396" s="6">
        <v>24</v>
      </c>
      <c r="G396" s="6">
        <v>27</v>
      </c>
    </row>
    <row r="397" spans="1:7" x14ac:dyDescent="0.25">
      <c r="A397" s="6">
        <v>395</v>
      </c>
      <c r="B397" s="6">
        <v>0.1212</v>
      </c>
      <c r="C397" s="6">
        <v>0.93</v>
      </c>
      <c r="D397" s="6">
        <v>0.25369999999999998</v>
      </c>
      <c r="E397" s="6">
        <v>0</v>
      </c>
      <c r="F397" s="6">
        <v>13</v>
      </c>
      <c r="G397" s="6">
        <v>13</v>
      </c>
    </row>
    <row r="398" spans="1:7" x14ac:dyDescent="0.25">
      <c r="A398" s="6">
        <v>396</v>
      </c>
      <c r="B398" s="6">
        <v>0.13639999999999999</v>
      </c>
      <c r="C398" s="6">
        <v>0.86</v>
      </c>
      <c r="D398" s="6">
        <v>0.28360000000000002</v>
      </c>
      <c r="E398" s="6">
        <v>1</v>
      </c>
      <c r="F398" s="6">
        <v>3</v>
      </c>
      <c r="G398" s="6">
        <v>4</v>
      </c>
    </row>
    <row r="399" spans="1:7" x14ac:dyDescent="0.25">
      <c r="A399" s="6">
        <v>397</v>
      </c>
      <c r="B399" s="6">
        <v>0.18179999999999999</v>
      </c>
      <c r="C399" s="6">
        <v>0.86</v>
      </c>
      <c r="D399" s="6">
        <v>0.32840000000000003</v>
      </c>
      <c r="E399" s="6">
        <v>0</v>
      </c>
      <c r="F399" s="6">
        <v>3</v>
      </c>
      <c r="G399" s="6">
        <v>3</v>
      </c>
    </row>
    <row r="400" spans="1:7" x14ac:dyDescent="0.25">
      <c r="A400" s="6">
        <v>398</v>
      </c>
      <c r="B400" s="6">
        <v>0.19700000000000001</v>
      </c>
      <c r="C400" s="6">
        <v>0.86</v>
      </c>
      <c r="D400" s="6">
        <v>0.22389999999999999</v>
      </c>
      <c r="E400" s="6">
        <v>0</v>
      </c>
      <c r="F400" s="6">
        <v>22</v>
      </c>
      <c r="G400" s="6">
        <v>22</v>
      </c>
    </row>
    <row r="401" spans="1:7" x14ac:dyDescent="0.25">
      <c r="A401" s="6">
        <v>399</v>
      </c>
      <c r="B401" s="6">
        <v>0.2273</v>
      </c>
      <c r="C401" s="6">
        <v>0.8</v>
      </c>
      <c r="D401" s="6">
        <v>0.16420000000000001</v>
      </c>
      <c r="E401" s="6">
        <v>2</v>
      </c>
      <c r="F401" s="6">
        <v>26</v>
      </c>
      <c r="G401" s="6">
        <v>28</v>
      </c>
    </row>
    <row r="402" spans="1:7" x14ac:dyDescent="0.25">
      <c r="A402" s="6">
        <v>400</v>
      </c>
      <c r="B402" s="6">
        <v>0.2273</v>
      </c>
      <c r="C402" s="6">
        <v>0.87</v>
      </c>
      <c r="D402" s="6">
        <v>0.16420000000000001</v>
      </c>
      <c r="E402" s="6">
        <v>3</v>
      </c>
      <c r="F402" s="6">
        <v>32</v>
      </c>
      <c r="G402" s="6">
        <v>35</v>
      </c>
    </row>
    <row r="403" spans="1:7" x14ac:dyDescent="0.25">
      <c r="A403" s="6">
        <v>401</v>
      </c>
      <c r="B403" s="6">
        <v>0.2273</v>
      </c>
      <c r="C403" s="6">
        <v>0.87</v>
      </c>
      <c r="D403" s="6">
        <v>0.19400000000000001</v>
      </c>
      <c r="E403" s="6">
        <v>0</v>
      </c>
      <c r="F403" s="6">
        <v>61</v>
      </c>
      <c r="G403" s="6">
        <v>61</v>
      </c>
    </row>
    <row r="404" spans="1:7" x14ac:dyDescent="0.25">
      <c r="A404" s="6">
        <v>402</v>
      </c>
      <c r="B404" s="6">
        <v>0.2273</v>
      </c>
      <c r="C404" s="6">
        <v>0.82</v>
      </c>
      <c r="D404" s="6">
        <v>0.19400000000000001</v>
      </c>
      <c r="E404" s="6">
        <v>1</v>
      </c>
      <c r="F404" s="6">
        <v>124</v>
      </c>
      <c r="G404" s="6">
        <v>125</v>
      </c>
    </row>
    <row r="405" spans="1:7" x14ac:dyDescent="0.25">
      <c r="A405" s="6">
        <v>403</v>
      </c>
      <c r="B405" s="6">
        <v>0.2273</v>
      </c>
      <c r="C405" s="6">
        <v>0.8</v>
      </c>
      <c r="D405" s="6">
        <v>0.16420000000000001</v>
      </c>
      <c r="E405" s="6">
        <v>1</v>
      </c>
      <c r="F405" s="6">
        <v>132</v>
      </c>
      <c r="G405" s="6">
        <v>133</v>
      </c>
    </row>
    <row r="406" spans="1:7" x14ac:dyDescent="0.25">
      <c r="A406" s="6">
        <v>404</v>
      </c>
      <c r="B406" s="6">
        <v>0.2273</v>
      </c>
      <c r="C406" s="6">
        <v>0.8</v>
      </c>
      <c r="D406" s="6">
        <v>0.1343</v>
      </c>
      <c r="E406" s="6">
        <v>1</v>
      </c>
      <c r="F406" s="6">
        <v>98</v>
      </c>
      <c r="G406" s="6">
        <v>99</v>
      </c>
    </row>
    <row r="407" spans="1:7" x14ac:dyDescent="0.25">
      <c r="A407" s="6">
        <v>405</v>
      </c>
      <c r="B407" s="6">
        <v>0.2727</v>
      </c>
      <c r="C407" s="6">
        <v>0.87</v>
      </c>
      <c r="D407" s="6">
        <v>0</v>
      </c>
      <c r="E407" s="6">
        <v>0</v>
      </c>
      <c r="F407" s="6">
        <v>83</v>
      </c>
      <c r="G407" s="6">
        <v>83</v>
      </c>
    </row>
    <row r="408" spans="1:7" x14ac:dyDescent="0.25">
      <c r="A408" s="6">
        <v>406</v>
      </c>
      <c r="B408" s="6">
        <v>0.2424</v>
      </c>
      <c r="C408" s="6">
        <v>0.93</v>
      </c>
      <c r="D408" s="6">
        <v>0.1045</v>
      </c>
      <c r="E408" s="6">
        <v>0</v>
      </c>
      <c r="F408" s="6">
        <v>41</v>
      </c>
      <c r="G408" s="6">
        <v>41</v>
      </c>
    </row>
    <row r="409" spans="1:7" x14ac:dyDescent="0.25">
      <c r="A409" s="6">
        <v>407</v>
      </c>
      <c r="B409" s="6">
        <v>0.2576</v>
      </c>
      <c r="C409" s="6">
        <v>0.93</v>
      </c>
      <c r="D409" s="6">
        <v>8.9599999999999999E-2</v>
      </c>
      <c r="E409" s="6">
        <v>0</v>
      </c>
      <c r="F409" s="6">
        <v>33</v>
      </c>
      <c r="G409" s="6">
        <v>33</v>
      </c>
    </row>
    <row r="410" spans="1:7" x14ac:dyDescent="0.25">
      <c r="A410" s="6">
        <v>408</v>
      </c>
      <c r="B410" s="6">
        <v>0.2727</v>
      </c>
      <c r="C410" s="6">
        <v>0.93</v>
      </c>
      <c r="D410" s="6">
        <v>0</v>
      </c>
      <c r="E410" s="6">
        <v>1</v>
      </c>
      <c r="F410" s="6">
        <v>19</v>
      </c>
      <c r="G410" s="6">
        <v>20</v>
      </c>
    </row>
    <row r="411" spans="1:7" x14ac:dyDescent="0.25">
      <c r="A411" s="6">
        <v>409</v>
      </c>
      <c r="B411" s="6">
        <v>0.2727</v>
      </c>
      <c r="C411" s="6">
        <v>0.93</v>
      </c>
      <c r="D411" s="6">
        <v>0</v>
      </c>
      <c r="E411" s="6">
        <v>0</v>
      </c>
      <c r="F411" s="6">
        <v>3</v>
      </c>
      <c r="G411" s="6">
        <v>3</v>
      </c>
    </row>
    <row r="412" spans="1:7" x14ac:dyDescent="0.25">
      <c r="A412" s="6">
        <v>410</v>
      </c>
      <c r="B412" s="6">
        <v>0.2273</v>
      </c>
      <c r="C412" s="6">
        <v>0.93</v>
      </c>
      <c r="D412" s="6">
        <v>0.1343</v>
      </c>
      <c r="E412" s="6">
        <v>1</v>
      </c>
      <c r="F412" s="6">
        <v>6</v>
      </c>
      <c r="G412" s="6">
        <v>7</v>
      </c>
    </row>
    <row r="413" spans="1:7" x14ac:dyDescent="0.25">
      <c r="A413" s="6">
        <v>411</v>
      </c>
      <c r="B413" s="6">
        <v>0.2273</v>
      </c>
      <c r="C413" s="6">
        <v>0.93</v>
      </c>
      <c r="D413" s="6">
        <v>0.1343</v>
      </c>
      <c r="E413" s="6">
        <v>0</v>
      </c>
      <c r="F413" s="6">
        <v>3</v>
      </c>
      <c r="G413" s="6">
        <v>3</v>
      </c>
    </row>
    <row r="414" spans="1:7" x14ac:dyDescent="0.25">
      <c r="A414" s="6">
        <v>412</v>
      </c>
      <c r="B414" s="6">
        <v>0.2273</v>
      </c>
      <c r="C414" s="6">
        <v>0.93</v>
      </c>
      <c r="D414" s="6">
        <v>0.1343</v>
      </c>
      <c r="E414" s="6">
        <v>1</v>
      </c>
      <c r="F414" s="6">
        <v>1</v>
      </c>
      <c r="G414" s="6">
        <v>2</v>
      </c>
    </row>
    <row r="415" spans="1:7" x14ac:dyDescent="0.25">
      <c r="A415" s="6">
        <v>413</v>
      </c>
      <c r="B415" s="6">
        <v>0.2576</v>
      </c>
      <c r="C415" s="6">
        <v>0.93</v>
      </c>
      <c r="D415" s="6">
        <v>8.9599999999999999E-2</v>
      </c>
      <c r="E415" s="6">
        <v>0</v>
      </c>
      <c r="F415" s="6">
        <v>7</v>
      </c>
      <c r="G415" s="6">
        <v>7</v>
      </c>
    </row>
    <row r="416" spans="1:7" x14ac:dyDescent="0.25">
      <c r="A416" s="6">
        <v>414</v>
      </c>
      <c r="B416" s="6">
        <v>0.2576</v>
      </c>
      <c r="C416" s="6">
        <v>0.93</v>
      </c>
      <c r="D416" s="6">
        <v>8.9599999999999999E-2</v>
      </c>
      <c r="E416" s="6">
        <v>0</v>
      </c>
      <c r="F416" s="6">
        <v>32</v>
      </c>
      <c r="G416" s="6">
        <v>32</v>
      </c>
    </row>
    <row r="417" spans="1:7" x14ac:dyDescent="0.25">
      <c r="A417" s="6">
        <v>415</v>
      </c>
      <c r="B417" s="6">
        <v>0.2576</v>
      </c>
      <c r="C417" s="6">
        <v>0.92</v>
      </c>
      <c r="D417" s="6">
        <v>0.1045</v>
      </c>
      <c r="E417" s="6">
        <v>1</v>
      </c>
      <c r="F417" s="6">
        <v>89</v>
      </c>
      <c r="G417" s="6">
        <v>90</v>
      </c>
    </row>
    <row r="418" spans="1:7" x14ac:dyDescent="0.25">
      <c r="A418" s="6">
        <v>416</v>
      </c>
      <c r="B418" s="6">
        <v>0.2576</v>
      </c>
      <c r="C418" s="6">
        <v>0.93</v>
      </c>
      <c r="D418" s="6">
        <v>0.1045</v>
      </c>
      <c r="E418" s="6">
        <v>1</v>
      </c>
      <c r="F418" s="6">
        <v>196</v>
      </c>
      <c r="G418" s="6">
        <v>197</v>
      </c>
    </row>
    <row r="419" spans="1:7" x14ac:dyDescent="0.25">
      <c r="A419" s="6">
        <v>417</v>
      </c>
      <c r="B419" s="6">
        <v>0.2576</v>
      </c>
      <c r="C419" s="6">
        <v>0.93</v>
      </c>
      <c r="D419" s="6">
        <v>0.1045</v>
      </c>
      <c r="E419" s="6">
        <v>2</v>
      </c>
      <c r="F419" s="6">
        <v>107</v>
      </c>
      <c r="G419" s="6">
        <v>109</v>
      </c>
    </row>
    <row r="420" spans="1:7" x14ac:dyDescent="0.25">
      <c r="A420" s="6">
        <v>418</v>
      </c>
      <c r="B420" s="6">
        <v>0.2727</v>
      </c>
      <c r="C420" s="6">
        <v>0.93</v>
      </c>
      <c r="D420" s="6">
        <v>0.1343</v>
      </c>
      <c r="E420" s="6">
        <v>1</v>
      </c>
      <c r="F420" s="6">
        <v>46</v>
      </c>
      <c r="G420" s="6">
        <v>47</v>
      </c>
    </row>
    <row r="421" spans="1:7" x14ac:dyDescent="0.25">
      <c r="A421" s="6">
        <v>419</v>
      </c>
      <c r="B421" s="6">
        <v>0.30299999999999999</v>
      </c>
      <c r="C421" s="6">
        <v>0.87</v>
      </c>
      <c r="D421" s="6">
        <v>8.9599999999999999E-2</v>
      </c>
      <c r="E421" s="6">
        <v>5</v>
      </c>
      <c r="F421" s="6">
        <v>47</v>
      </c>
      <c r="G421" s="6">
        <v>52</v>
      </c>
    </row>
    <row r="422" spans="1:7" x14ac:dyDescent="0.25">
      <c r="A422" s="6">
        <v>420</v>
      </c>
      <c r="B422" s="6">
        <v>0.31819999999999998</v>
      </c>
      <c r="C422" s="6">
        <v>0.81</v>
      </c>
      <c r="D422" s="6">
        <v>8.9599999999999999E-2</v>
      </c>
      <c r="E422" s="6">
        <v>5</v>
      </c>
      <c r="F422" s="6">
        <v>65</v>
      </c>
      <c r="G422" s="6">
        <v>70</v>
      </c>
    </row>
    <row r="423" spans="1:7" x14ac:dyDescent="0.25">
      <c r="A423" s="6">
        <v>421</v>
      </c>
      <c r="B423" s="6">
        <v>0.40910000000000002</v>
      </c>
      <c r="C423" s="6">
        <v>0.62</v>
      </c>
      <c r="D423" s="6">
        <v>0.28360000000000002</v>
      </c>
      <c r="E423" s="6">
        <v>11</v>
      </c>
      <c r="F423" s="6">
        <v>67</v>
      </c>
      <c r="G423" s="6">
        <v>78</v>
      </c>
    </row>
    <row r="424" spans="1:7" x14ac:dyDescent="0.25">
      <c r="A424" s="6">
        <v>422</v>
      </c>
      <c r="B424" s="6">
        <v>0.40910000000000002</v>
      </c>
      <c r="C424" s="6">
        <v>0.57999999999999996</v>
      </c>
      <c r="D424" s="6">
        <v>0.25369999999999998</v>
      </c>
      <c r="E424" s="6">
        <v>7</v>
      </c>
      <c r="F424" s="6">
        <v>68</v>
      </c>
      <c r="G424" s="6">
        <v>75</v>
      </c>
    </row>
    <row r="425" spans="1:7" x14ac:dyDescent="0.25">
      <c r="A425" s="6">
        <v>423</v>
      </c>
      <c r="B425" s="6">
        <v>0.40910000000000002</v>
      </c>
      <c r="C425" s="6">
        <v>0.54</v>
      </c>
      <c r="D425" s="6">
        <v>0.28360000000000002</v>
      </c>
      <c r="E425" s="6">
        <v>4</v>
      </c>
      <c r="F425" s="6">
        <v>78</v>
      </c>
      <c r="G425" s="6">
        <v>82</v>
      </c>
    </row>
    <row r="426" spans="1:7" x14ac:dyDescent="0.25">
      <c r="A426" s="6">
        <v>424</v>
      </c>
      <c r="B426" s="6">
        <v>0.39389999999999997</v>
      </c>
      <c r="C426" s="6">
        <v>0.57999999999999996</v>
      </c>
      <c r="D426" s="6">
        <v>0.3881</v>
      </c>
      <c r="E426" s="6">
        <v>10</v>
      </c>
      <c r="F426" s="6">
        <v>94</v>
      </c>
      <c r="G426" s="6">
        <v>104</v>
      </c>
    </row>
    <row r="427" spans="1:7" x14ac:dyDescent="0.25">
      <c r="A427" s="6">
        <v>425</v>
      </c>
      <c r="B427" s="6">
        <v>0.33329999999999999</v>
      </c>
      <c r="C427" s="6">
        <v>0.56999999999999995</v>
      </c>
      <c r="D427" s="6">
        <v>0.32840000000000003</v>
      </c>
      <c r="E427" s="6">
        <v>7</v>
      </c>
      <c r="F427" s="6">
        <v>190</v>
      </c>
      <c r="G427" s="6">
        <v>197</v>
      </c>
    </row>
    <row r="428" spans="1:7" x14ac:dyDescent="0.25">
      <c r="A428" s="6">
        <v>426</v>
      </c>
      <c r="B428" s="6">
        <v>0.31819999999999998</v>
      </c>
      <c r="C428" s="6">
        <v>0.61</v>
      </c>
      <c r="D428" s="6">
        <v>0.28360000000000002</v>
      </c>
      <c r="E428" s="6">
        <v>5</v>
      </c>
      <c r="F428" s="6">
        <v>156</v>
      </c>
      <c r="G428" s="6">
        <v>161</v>
      </c>
    </row>
    <row r="429" spans="1:7" x14ac:dyDescent="0.25">
      <c r="A429" s="6">
        <v>427</v>
      </c>
      <c r="B429" s="6">
        <v>0.28789999999999999</v>
      </c>
      <c r="C429" s="6">
        <v>0.56999999999999995</v>
      </c>
      <c r="D429" s="6">
        <v>0.41789999999999999</v>
      </c>
      <c r="E429" s="6">
        <v>4</v>
      </c>
      <c r="F429" s="6">
        <v>108</v>
      </c>
      <c r="G429" s="6">
        <v>112</v>
      </c>
    </row>
    <row r="430" spans="1:7" x14ac:dyDescent="0.25">
      <c r="A430" s="6">
        <v>428</v>
      </c>
      <c r="B430" s="6">
        <v>0.30299999999999999</v>
      </c>
      <c r="C430" s="6">
        <v>0.49</v>
      </c>
      <c r="D430" s="6">
        <v>0.29849999999999999</v>
      </c>
      <c r="E430" s="6">
        <v>2</v>
      </c>
      <c r="F430" s="6">
        <v>74</v>
      </c>
      <c r="G430" s="6">
        <v>76</v>
      </c>
    </row>
    <row r="431" spans="1:7" x14ac:dyDescent="0.25">
      <c r="A431" s="6">
        <v>429</v>
      </c>
      <c r="B431" s="6">
        <v>0.28789999999999999</v>
      </c>
      <c r="C431" s="6">
        <v>0.49</v>
      </c>
      <c r="D431" s="6">
        <v>0.41789999999999999</v>
      </c>
      <c r="E431" s="6">
        <v>4</v>
      </c>
      <c r="F431" s="6">
        <v>55</v>
      </c>
      <c r="G431" s="6">
        <v>59</v>
      </c>
    </row>
    <row r="432" spans="1:7" x14ac:dyDescent="0.25">
      <c r="A432" s="6">
        <v>430</v>
      </c>
      <c r="B432" s="6">
        <v>0.30299999999999999</v>
      </c>
      <c r="C432" s="6">
        <v>0.52</v>
      </c>
      <c r="D432" s="6">
        <v>0.16420000000000001</v>
      </c>
      <c r="E432" s="6">
        <v>6</v>
      </c>
      <c r="F432" s="6">
        <v>53</v>
      </c>
      <c r="G432" s="6">
        <v>59</v>
      </c>
    </row>
    <row r="433" spans="1:7" x14ac:dyDescent="0.25">
      <c r="A433" s="6">
        <v>431</v>
      </c>
      <c r="B433" s="6">
        <v>0.2727</v>
      </c>
      <c r="C433" s="6">
        <v>0.52</v>
      </c>
      <c r="D433" s="6">
        <v>0.4627</v>
      </c>
      <c r="E433" s="6">
        <v>1</v>
      </c>
      <c r="F433" s="6">
        <v>27</v>
      </c>
      <c r="G433" s="6">
        <v>28</v>
      </c>
    </row>
    <row r="434" spans="1:7" x14ac:dyDescent="0.25">
      <c r="A434" s="6">
        <v>432</v>
      </c>
      <c r="B434" s="6">
        <v>0.2273</v>
      </c>
      <c r="C434" s="6">
        <v>0.56000000000000005</v>
      </c>
      <c r="D434" s="6">
        <v>0.3881</v>
      </c>
      <c r="E434" s="6">
        <v>5</v>
      </c>
      <c r="F434" s="6">
        <v>8</v>
      </c>
      <c r="G434" s="6">
        <v>13</v>
      </c>
    </row>
    <row r="435" spans="1:7" x14ac:dyDescent="0.25">
      <c r="A435" s="6">
        <v>433</v>
      </c>
      <c r="B435" s="6">
        <v>0.2727</v>
      </c>
      <c r="C435" s="6">
        <v>0.56000000000000005</v>
      </c>
      <c r="D435" s="6">
        <v>0</v>
      </c>
      <c r="E435" s="6">
        <v>2</v>
      </c>
      <c r="F435" s="6">
        <v>3</v>
      </c>
      <c r="G435" s="6">
        <v>5</v>
      </c>
    </row>
    <row r="436" spans="1:7" x14ac:dyDescent="0.25">
      <c r="A436" s="6">
        <v>434</v>
      </c>
      <c r="B436" s="6">
        <v>0.2727</v>
      </c>
      <c r="C436" s="6">
        <v>0.56000000000000005</v>
      </c>
      <c r="D436" s="6">
        <v>0</v>
      </c>
      <c r="E436" s="6">
        <v>0</v>
      </c>
      <c r="F436" s="6">
        <v>2</v>
      </c>
      <c r="G436" s="6">
        <v>2</v>
      </c>
    </row>
    <row r="437" spans="1:7" x14ac:dyDescent="0.25">
      <c r="A437" s="6">
        <v>435</v>
      </c>
      <c r="B437" s="6">
        <v>0.2576</v>
      </c>
      <c r="C437" s="6">
        <v>0.56000000000000005</v>
      </c>
      <c r="D437" s="6">
        <v>0.16420000000000001</v>
      </c>
      <c r="E437" s="6">
        <v>0</v>
      </c>
      <c r="F437" s="6">
        <v>1</v>
      </c>
      <c r="G437" s="6">
        <v>1</v>
      </c>
    </row>
    <row r="438" spans="1:7" x14ac:dyDescent="0.25">
      <c r="A438" s="6">
        <v>436</v>
      </c>
      <c r="B438" s="6">
        <v>0.2576</v>
      </c>
      <c r="C438" s="6">
        <v>0.56000000000000005</v>
      </c>
      <c r="D438" s="6">
        <v>0.16420000000000001</v>
      </c>
      <c r="E438" s="6">
        <v>0</v>
      </c>
      <c r="F438" s="6">
        <v>1</v>
      </c>
      <c r="G438" s="6">
        <v>1</v>
      </c>
    </row>
    <row r="439" spans="1:7" x14ac:dyDescent="0.25">
      <c r="A439" s="6">
        <v>437</v>
      </c>
      <c r="B439" s="6">
        <v>0.2273</v>
      </c>
      <c r="C439" s="6">
        <v>0.6</v>
      </c>
      <c r="D439" s="6">
        <v>0.22389999999999999</v>
      </c>
      <c r="E439" s="6">
        <v>0</v>
      </c>
      <c r="F439" s="6">
        <v>6</v>
      </c>
      <c r="G439" s="6">
        <v>6</v>
      </c>
    </row>
    <row r="440" spans="1:7" x14ac:dyDescent="0.25">
      <c r="A440" s="6">
        <v>438</v>
      </c>
      <c r="B440" s="6">
        <v>0.21210000000000001</v>
      </c>
      <c r="C440" s="6">
        <v>0.6</v>
      </c>
      <c r="D440" s="6">
        <v>0.22389999999999999</v>
      </c>
      <c r="E440" s="6">
        <v>0</v>
      </c>
      <c r="F440" s="6">
        <v>35</v>
      </c>
      <c r="G440" s="6">
        <v>35</v>
      </c>
    </row>
    <row r="441" spans="1:7" x14ac:dyDescent="0.25">
      <c r="A441" s="6">
        <v>439</v>
      </c>
      <c r="B441" s="6">
        <v>0.21210000000000001</v>
      </c>
      <c r="C441" s="6">
        <v>0.55000000000000004</v>
      </c>
      <c r="D441" s="6">
        <v>0.22389999999999999</v>
      </c>
      <c r="E441" s="6">
        <v>1</v>
      </c>
      <c r="F441" s="6">
        <v>100</v>
      </c>
      <c r="G441" s="6">
        <v>101</v>
      </c>
    </row>
    <row r="442" spans="1:7" x14ac:dyDescent="0.25">
      <c r="A442" s="6">
        <v>440</v>
      </c>
      <c r="B442" s="6">
        <v>0.21210000000000001</v>
      </c>
      <c r="C442" s="6">
        <v>0.55000000000000004</v>
      </c>
      <c r="D442" s="6">
        <v>0.28360000000000002</v>
      </c>
      <c r="E442" s="6">
        <v>2</v>
      </c>
      <c r="F442" s="6">
        <v>247</v>
      </c>
      <c r="G442" s="6">
        <v>249</v>
      </c>
    </row>
    <row r="443" spans="1:7" x14ac:dyDescent="0.25">
      <c r="A443" s="6">
        <v>441</v>
      </c>
      <c r="B443" s="6">
        <v>0.2273</v>
      </c>
      <c r="C443" s="6">
        <v>0.52</v>
      </c>
      <c r="D443" s="6">
        <v>0.22389999999999999</v>
      </c>
      <c r="E443" s="6">
        <v>3</v>
      </c>
      <c r="F443" s="6">
        <v>140</v>
      </c>
      <c r="G443" s="6">
        <v>143</v>
      </c>
    </row>
    <row r="444" spans="1:7" x14ac:dyDescent="0.25">
      <c r="A444" s="6">
        <v>442</v>
      </c>
      <c r="B444" s="6">
        <v>0.2273</v>
      </c>
      <c r="C444" s="6">
        <v>0.48</v>
      </c>
      <c r="D444" s="6">
        <v>0.29849999999999999</v>
      </c>
      <c r="E444" s="6">
        <v>1</v>
      </c>
      <c r="F444" s="6">
        <v>56</v>
      </c>
      <c r="G444" s="6">
        <v>57</v>
      </c>
    </row>
    <row r="445" spans="1:7" x14ac:dyDescent="0.25">
      <c r="A445" s="6">
        <v>443</v>
      </c>
      <c r="B445" s="6">
        <v>0.2727</v>
      </c>
      <c r="C445" s="6">
        <v>0.45</v>
      </c>
      <c r="D445" s="6">
        <v>0.16420000000000001</v>
      </c>
      <c r="E445" s="6">
        <v>5</v>
      </c>
      <c r="F445" s="6">
        <v>63</v>
      </c>
      <c r="G445" s="6">
        <v>68</v>
      </c>
    </row>
    <row r="446" spans="1:7" x14ac:dyDescent="0.25">
      <c r="A446" s="6">
        <v>444</v>
      </c>
      <c r="B446" s="6">
        <v>0.33329999999999999</v>
      </c>
      <c r="C446" s="6">
        <v>0.42</v>
      </c>
      <c r="D446" s="6">
        <v>0</v>
      </c>
      <c r="E446" s="6">
        <v>7</v>
      </c>
      <c r="F446" s="6">
        <v>77</v>
      </c>
      <c r="G446" s="6">
        <v>84</v>
      </c>
    </row>
    <row r="447" spans="1:7" x14ac:dyDescent="0.25">
      <c r="A447" s="6">
        <v>445</v>
      </c>
      <c r="B447" s="6">
        <v>0.28789999999999999</v>
      </c>
      <c r="C447" s="6">
        <v>0.45</v>
      </c>
      <c r="D447" s="6">
        <v>0.1045</v>
      </c>
      <c r="E447" s="6">
        <v>12</v>
      </c>
      <c r="F447" s="6">
        <v>86</v>
      </c>
      <c r="G447" s="6">
        <v>98</v>
      </c>
    </row>
    <row r="448" spans="1:7" x14ac:dyDescent="0.25">
      <c r="A448" s="6">
        <v>446</v>
      </c>
      <c r="B448" s="6">
        <v>0.30299999999999999</v>
      </c>
      <c r="C448" s="6">
        <v>0.45</v>
      </c>
      <c r="D448" s="6">
        <v>0.1343</v>
      </c>
      <c r="E448" s="6">
        <v>6</v>
      </c>
      <c r="F448" s="6">
        <v>75</v>
      </c>
      <c r="G448" s="6">
        <v>81</v>
      </c>
    </row>
    <row r="449" spans="1:7" x14ac:dyDescent="0.25">
      <c r="A449" s="6">
        <v>447</v>
      </c>
      <c r="B449" s="6">
        <v>0.31819999999999998</v>
      </c>
      <c r="C449" s="6">
        <v>0.45</v>
      </c>
      <c r="D449" s="6">
        <v>0.19400000000000001</v>
      </c>
      <c r="E449" s="6">
        <v>8</v>
      </c>
      <c r="F449" s="6">
        <v>62</v>
      </c>
      <c r="G449" s="6">
        <v>70</v>
      </c>
    </row>
    <row r="450" spans="1:7" x14ac:dyDescent="0.25">
      <c r="A450" s="6">
        <v>448</v>
      </c>
      <c r="B450" s="6">
        <v>0.30299999999999999</v>
      </c>
      <c r="C450" s="6">
        <v>0.49</v>
      </c>
      <c r="D450" s="6">
        <v>0.1343</v>
      </c>
      <c r="E450" s="6">
        <v>8</v>
      </c>
      <c r="F450" s="6">
        <v>83</v>
      </c>
      <c r="G450" s="6">
        <v>91</v>
      </c>
    </row>
    <row r="451" spans="1:7" x14ac:dyDescent="0.25">
      <c r="A451" s="6">
        <v>449</v>
      </c>
      <c r="B451" s="6">
        <v>0.31819999999999998</v>
      </c>
      <c r="C451" s="6">
        <v>0.49</v>
      </c>
      <c r="D451" s="6">
        <v>0.1045</v>
      </c>
      <c r="E451" s="6">
        <v>8</v>
      </c>
      <c r="F451" s="6">
        <v>207</v>
      </c>
      <c r="G451" s="6">
        <v>215</v>
      </c>
    </row>
    <row r="452" spans="1:7" x14ac:dyDescent="0.25">
      <c r="A452" s="6">
        <v>450</v>
      </c>
      <c r="B452" s="6">
        <v>0.2576</v>
      </c>
      <c r="C452" s="6">
        <v>0.56000000000000005</v>
      </c>
      <c r="D452" s="6">
        <v>0.19400000000000001</v>
      </c>
      <c r="E452" s="6">
        <v>1</v>
      </c>
      <c r="F452" s="6">
        <v>184</v>
      </c>
      <c r="G452" s="6">
        <v>185</v>
      </c>
    </row>
    <row r="453" spans="1:7" x14ac:dyDescent="0.25">
      <c r="A453" s="6">
        <v>451</v>
      </c>
      <c r="B453" s="6">
        <v>0.2273</v>
      </c>
      <c r="C453" s="6">
        <v>0.56000000000000005</v>
      </c>
      <c r="D453" s="6">
        <v>0.32840000000000003</v>
      </c>
      <c r="E453" s="6">
        <v>6</v>
      </c>
      <c r="F453" s="6">
        <v>146</v>
      </c>
      <c r="G453" s="6">
        <v>152</v>
      </c>
    </row>
    <row r="454" spans="1:7" x14ac:dyDescent="0.25">
      <c r="A454" s="6">
        <v>452</v>
      </c>
      <c r="B454" s="6">
        <v>0.2424</v>
      </c>
      <c r="C454" s="6">
        <v>0.6</v>
      </c>
      <c r="D454" s="6">
        <v>0.28360000000000002</v>
      </c>
      <c r="E454" s="6">
        <v>2</v>
      </c>
      <c r="F454" s="6">
        <v>124</v>
      </c>
      <c r="G454" s="6">
        <v>126</v>
      </c>
    </row>
    <row r="455" spans="1:7" x14ac:dyDescent="0.25">
      <c r="A455" s="6">
        <v>453</v>
      </c>
      <c r="B455" s="6">
        <v>0.2273</v>
      </c>
      <c r="C455" s="6">
        <v>0.6</v>
      </c>
      <c r="D455" s="6">
        <v>0.25369999999999998</v>
      </c>
      <c r="E455" s="6">
        <v>3</v>
      </c>
      <c r="F455" s="6">
        <v>54</v>
      </c>
      <c r="G455" s="6">
        <v>57</v>
      </c>
    </row>
    <row r="456" spans="1:7" x14ac:dyDescent="0.25">
      <c r="A456" s="6">
        <v>454</v>
      </c>
      <c r="B456" s="6">
        <v>0.21210000000000001</v>
      </c>
      <c r="C456" s="6">
        <v>0.65</v>
      </c>
      <c r="D456" s="6">
        <v>0.28360000000000002</v>
      </c>
      <c r="E456" s="6">
        <v>0</v>
      </c>
      <c r="F456" s="6">
        <v>56</v>
      </c>
      <c r="G456" s="6">
        <v>56</v>
      </c>
    </row>
    <row r="457" spans="1:7" x14ac:dyDescent="0.25">
      <c r="A457" s="6">
        <v>455</v>
      </c>
      <c r="B457" s="6">
        <v>0.21210000000000001</v>
      </c>
      <c r="C457" s="6">
        <v>0.65</v>
      </c>
      <c r="D457" s="6">
        <v>0.32840000000000003</v>
      </c>
      <c r="E457" s="6">
        <v>3</v>
      </c>
      <c r="F457" s="6">
        <v>28</v>
      </c>
      <c r="G457" s="6">
        <v>31</v>
      </c>
    </row>
    <row r="458" spans="1:7" x14ac:dyDescent="0.25">
      <c r="A458" s="6">
        <v>456</v>
      </c>
      <c r="B458" s="6">
        <v>0.2273</v>
      </c>
      <c r="C458" s="6">
        <v>0.7</v>
      </c>
      <c r="D458" s="6">
        <v>0.25369999999999998</v>
      </c>
      <c r="E458" s="6">
        <v>1</v>
      </c>
      <c r="F458" s="6">
        <v>20</v>
      </c>
      <c r="G458" s="6">
        <v>21</v>
      </c>
    </row>
    <row r="459" spans="1:7" x14ac:dyDescent="0.25">
      <c r="A459" s="6">
        <v>457</v>
      </c>
      <c r="B459" s="6">
        <v>0.2273</v>
      </c>
      <c r="C459" s="6">
        <v>0.7</v>
      </c>
      <c r="D459" s="6">
        <v>0.25369999999999998</v>
      </c>
      <c r="E459" s="6">
        <v>0</v>
      </c>
      <c r="F459" s="6">
        <v>6</v>
      </c>
      <c r="G459" s="6">
        <v>6</v>
      </c>
    </row>
    <row r="460" spans="1:7" x14ac:dyDescent="0.25">
      <c r="A460" s="6">
        <v>458</v>
      </c>
      <c r="B460" s="6">
        <v>0.2424</v>
      </c>
      <c r="C460" s="6">
        <v>0.75</v>
      </c>
      <c r="D460" s="6">
        <v>0.16420000000000001</v>
      </c>
      <c r="E460" s="6">
        <v>0</v>
      </c>
      <c r="F460" s="6">
        <v>2</v>
      </c>
      <c r="G460" s="6">
        <v>2</v>
      </c>
    </row>
    <row r="461" spans="1:7" x14ac:dyDescent="0.25">
      <c r="A461" s="6">
        <v>459</v>
      </c>
      <c r="B461" s="6">
        <v>0.21210000000000001</v>
      </c>
      <c r="C461" s="6">
        <v>0.8</v>
      </c>
      <c r="D461" s="6">
        <v>0.29849999999999999</v>
      </c>
      <c r="E461" s="6">
        <v>0</v>
      </c>
      <c r="F461" s="6">
        <v>1</v>
      </c>
      <c r="G461" s="6">
        <v>1</v>
      </c>
    </row>
    <row r="462" spans="1:7" x14ac:dyDescent="0.25">
      <c r="A462" s="6">
        <v>460</v>
      </c>
      <c r="B462" s="6">
        <v>0.2576</v>
      </c>
      <c r="C462" s="6">
        <v>0.87</v>
      </c>
      <c r="D462" s="6">
        <v>8.9599999999999999E-2</v>
      </c>
      <c r="E462" s="6">
        <v>0</v>
      </c>
      <c r="F462" s="6">
        <v>1</v>
      </c>
      <c r="G462" s="6">
        <v>1</v>
      </c>
    </row>
    <row r="463" spans="1:7" x14ac:dyDescent="0.25">
      <c r="A463" s="6">
        <v>461</v>
      </c>
      <c r="B463" s="6">
        <v>0.19700000000000001</v>
      </c>
      <c r="C463" s="6">
        <v>0.6</v>
      </c>
      <c r="D463" s="6">
        <v>0.41789999999999999</v>
      </c>
      <c r="E463" s="6">
        <v>1</v>
      </c>
      <c r="F463" s="6">
        <v>4</v>
      </c>
      <c r="G463" s="6">
        <v>5</v>
      </c>
    </row>
    <row r="464" spans="1:7" x14ac:dyDescent="0.25">
      <c r="A464" s="6">
        <v>462</v>
      </c>
      <c r="B464" s="6">
        <v>0.21210000000000001</v>
      </c>
      <c r="C464" s="6">
        <v>0.55000000000000004</v>
      </c>
      <c r="D464" s="6">
        <v>0.25369999999999998</v>
      </c>
      <c r="E464" s="6">
        <v>0</v>
      </c>
      <c r="F464" s="6">
        <v>27</v>
      </c>
      <c r="G464" s="6">
        <v>27</v>
      </c>
    </row>
    <row r="465" spans="1:7" x14ac:dyDescent="0.25">
      <c r="A465" s="6">
        <v>463</v>
      </c>
      <c r="B465" s="6">
        <v>0.18179999999999999</v>
      </c>
      <c r="C465" s="6">
        <v>0.51</v>
      </c>
      <c r="D465" s="6">
        <v>0.28360000000000002</v>
      </c>
      <c r="E465" s="6">
        <v>2</v>
      </c>
      <c r="F465" s="6">
        <v>66</v>
      </c>
      <c r="G465" s="6">
        <v>68</v>
      </c>
    </row>
    <row r="466" spans="1:7" x14ac:dyDescent="0.25">
      <c r="A466" s="6">
        <v>464</v>
      </c>
      <c r="B466" s="6">
        <v>0.18179999999999999</v>
      </c>
      <c r="C466" s="6">
        <v>0.47</v>
      </c>
      <c r="D466" s="6">
        <v>0.32840000000000003</v>
      </c>
      <c r="E466" s="6">
        <v>7</v>
      </c>
      <c r="F466" s="6">
        <v>210</v>
      </c>
      <c r="G466" s="6">
        <v>217</v>
      </c>
    </row>
    <row r="467" spans="1:7" x14ac:dyDescent="0.25">
      <c r="A467" s="6">
        <v>465</v>
      </c>
      <c r="B467" s="6">
        <v>0.18179999999999999</v>
      </c>
      <c r="C467" s="6">
        <v>0.51</v>
      </c>
      <c r="D467" s="6">
        <v>0.35820000000000002</v>
      </c>
      <c r="E467" s="6">
        <v>7</v>
      </c>
      <c r="F467" s="6">
        <v>159</v>
      </c>
      <c r="G467" s="6">
        <v>166</v>
      </c>
    </row>
    <row r="468" spans="1:7" x14ac:dyDescent="0.25">
      <c r="A468" s="6">
        <v>466</v>
      </c>
      <c r="B468" s="6">
        <v>0.16669999999999999</v>
      </c>
      <c r="C468" s="6">
        <v>0.47</v>
      </c>
      <c r="D468" s="6">
        <v>0.4627</v>
      </c>
      <c r="E468" s="6">
        <v>6</v>
      </c>
      <c r="F468" s="6">
        <v>57</v>
      </c>
      <c r="G468" s="6">
        <v>63</v>
      </c>
    </row>
    <row r="469" spans="1:7" x14ac:dyDescent="0.25">
      <c r="A469" s="6">
        <v>467</v>
      </c>
      <c r="B469" s="6">
        <v>0.18179999999999999</v>
      </c>
      <c r="C469" s="6">
        <v>0.41</v>
      </c>
      <c r="D469" s="6">
        <v>0.4627</v>
      </c>
      <c r="E469" s="6">
        <v>6</v>
      </c>
      <c r="F469" s="6">
        <v>53</v>
      </c>
      <c r="G469" s="6">
        <v>59</v>
      </c>
    </row>
    <row r="470" spans="1:7" x14ac:dyDescent="0.25">
      <c r="A470" s="6">
        <v>468</v>
      </c>
      <c r="B470" s="6">
        <v>0.18179999999999999</v>
      </c>
      <c r="C470" s="6">
        <v>0.27</v>
      </c>
      <c r="D470" s="6">
        <v>0.58209999999999995</v>
      </c>
      <c r="E470" s="6">
        <v>11</v>
      </c>
      <c r="F470" s="6">
        <v>67</v>
      </c>
      <c r="G470" s="6">
        <v>78</v>
      </c>
    </row>
    <row r="471" spans="1:7" x14ac:dyDescent="0.25">
      <c r="A471" s="6">
        <v>469</v>
      </c>
      <c r="B471" s="6">
        <v>0.1515</v>
      </c>
      <c r="C471" s="6">
        <v>0.21</v>
      </c>
      <c r="D471" s="6">
        <v>0.58209999999999995</v>
      </c>
      <c r="E471" s="6">
        <v>8</v>
      </c>
      <c r="F471" s="6">
        <v>65</v>
      </c>
      <c r="G471" s="6">
        <v>73</v>
      </c>
    </row>
    <row r="472" spans="1:7" x14ac:dyDescent="0.25">
      <c r="A472" s="6">
        <v>470</v>
      </c>
      <c r="B472" s="6">
        <v>0.1515</v>
      </c>
      <c r="C472" s="6">
        <v>0.25</v>
      </c>
      <c r="D472" s="6">
        <v>0.52239999999999998</v>
      </c>
      <c r="E472" s="6">
        <v>6</v>
      </c>
      <c r="F472" s="6">
        <v>56</v>
      </c>
      <c r="G472" s="6">
        <v>62</v>
      </c>
    </row>
    <row r="473" spans="1:7" x14ac:dyDescent="0.25">
      <c r="A473" s="6">
        <v>471</v>
      </c>
      <c r="B473" s="6">
        <v>0.1212</v>
      </c>
      <c r="C473" s="6">
        <v>0.26</v>
      </c>
      <c r="D473" s="6">
        <v>0.44779999999999998</v>
      </c>
      <c r="E473" s="6">
        <v>4</v>
      </c>
      <c r="F473" s="6">
        <v>61</v>
      </c>
      <c r="G473" s="6">
        <v>65</v>
      </c>
    </row>
    <row r="474" spans="1:7" x14ac:dyDescent="0.25">
      <c r="A474" s="6">
        <v>472</v>
      </c>
      <c r="B474" s="6">
        <v>0.13639999999999999</v>
      </c>
      <c r="C474" s="6">
        <v>0.26</v>
      </c>
      <c r="D474" s="6">
        <v>0.35820000000000002</v>
      </c>
      <c r="E474" s="6">
        <v>0</v>
      </c>
      <c r="F474" s="6">
        <v>97</v>
      </c>
      <c r="G474" s="6">
        <v>97</v>
      </c>
    </row>
    <row r="475" spans="1:7" x14ac:dyDescent="0.25">
      <c r="A475" s="6">
        <v>473</v>
      </c>
      <c r="B475" s="6">
        <v>0.1212</v>
      </c>
      <c r="C475" s="6">
        <v>0.28000000000000003</v>
      </c>
      <c r="D475" s="6">
        <v>0.35820000000000002</v>
      </c>
      <c r="E475" s="6">
        <v>10</v>
      </c>
      <c r="F475" s="6">
        <v>151</v>
      </c>
      <c r="G475" s="6">
        <v>161</v>
      </c>
    </row>
    <row r="476" spans="1:7" x14ac:dyDescent="0.25">
      <c r="A476" s="6">
        <v>474</v>
      </c>
      <c r="B476" s="6">
        <v>0.1212</v>
      </c>
      <c r="C476" s="6">
        <v>0.3</v>
      </c>
      <c r="D476" s="6">
        <v>0.25369999999999998</v>
      </c>
      <c r="E476" s="6">
        <v>1</v>
      </c>
      <c r="F476" s="6">
        <v>119</v>
      </c>
      <c r="G476" s="6">
        <v>120</v>
      </c>
    </row>
    <row r="477" spans="1:7" x14ac:dyDescent="0.25">
      <c r="A477" s="6">
        <v>475</v>
      </c>
      <c r="B477" s="6">
        <v>0.1061</v>
      </c>
      <c r="C477" s="6">
        <v>0.3</v>
      </c>
      <c r="D477" s="6">
        <v>0.32840000000000003</v>
      </c>
      <c r="E477" s="6">
        <v>3</v>
      </c>
      <c r="F477" s="6">
        <v>93</v>
      </c>
      <c r="G477" s="6">
        <v>96</v>
      </c>
    </row>
    <row r="478" spans="1:7" x14ac:dyDescent="0.25">
      <c r="A478" s="6">
        <v>476</v>
      </c>
      <c r="B478" s="6">
        <v>7.5800000000000006E-2</v>
      </c>
      <c r="C478" s="6">
        <v>0.33</v>
      </c>
      <c r="D478" s="6">
        <v>0.41789999999999999</v>
      </c>
      <c r="E478" s="6">
        <v>1</v>
      </c>
      <c r="F478" s="6">
        <v>52</v>
      </c>
      <c r="G478" s="6">
        <v>53</v>
      </c>
    </row>
    <row r="479" spans="1:7" x14ac:dyDescent="0.25">
      <c r="A479" s="6">
        <v>477</v>
      </c>
      <c r="B479" s="6">
        <v>7.5800000000000006E-2</v>
      </c>
      <c r="C479" s="6">
        <v>0.38</v>
      </c>
      <c r="D479" s="6">
        <v>0.28360000000000002</v>
      </c>
      <c r="E479" s="6">
        <v>0</v>
      </c>
      <c r="F479" s="6">
        <v>41</v>
      </c>
      <c r="G479" s="6">
        <v>41</v>
      </c>
    </row>
    <row r="480" spans="1:7" x14ac:dyDescent="0.25">
      <c r="A480" s="6">
        <v>478</v>
      </c>
      <c r="B480" s="6">
        <v>3.0300000000000001E-2</v>
      </c>
      <c r="C480" s="6">
        <v>0.41</v>
      </c>
      <c r="D480" s="6">
        <v>0.3881</v>
      </c>
      <c r="E480" s="6">
        <v>1</v>
      </c>
      <c r="F480" s="6">
        <v>33</v>
      </c>
      <c r="G480" s="6">
        <v>34</v>
      </c>
    </row>
    <row r="481" spans="1:7" x14ac:dyDescent="0.25">
      <c r="A481" s="6">
        <v>479</v>
      </c>
      <c r="B481" s="6">
        <v>4.5499999999999999E-2</v>
      </c>
      <c r="C481" s="6">
        <v>0.38</v>
      </c>
      <c r="D481" s="6">
        <v>0.32840000000000003</v>
      </c>
      <c r="E481" s="6">
        <v>0</v>
      </c>
      <c r="F481" s="6">
        <v>27</v>
      </c>
      <c r="G481" s="6">
        <v>27</v>
      </c>
    </row>
    <row r="482" spans="1:7" x14ac:dyDescent="0.25">
      <c r="A482" s="6">
        <v>480</v>
      </c>
      <c r="B482" s="6">
        <v>3.0300000000000001E-2</v>
      </c>
      <c r="C482" s="6">
        <v>0.45</v>
      </c>
      <c r="D482" s="6">
        <v>0.25369999999999998</v>
      </c>
      <c r="E482" s="6">
        <v>0</v>
      </c>
      <c r="F482" s="6">
        <v>13</v>
      </c>
      <c r="G482" s="6">
        <v>13</v>
      </c>
    </row>
    <row r="483" spans="1:7" x14ac:dyDescent="0.25">
      <c r="A483" s="6">
        <v>481</v>
      </c>
      <c r="B483" s="6">
        <v>0</v>
      </c>
      <c r="C483" s="6">
        <v>0.41</v>
      </c>
      <c r="D483" s="6">
        <v>0.3881</v>
      </c>
      <c r="E483" s="6">
        <v>3</v>
      </c>
      <c r="F483" s="6">
        <v>9</v>
      </c>
      <c r="G483" s="6">
        <v>12</v>
      </c>
    </row>
    <row r="484" spans="1:7" x14ac:dyDescent="0.25">
      <c r="A484" s="6">
        <v>482</v>
      </c>
      <c r="B484" s="6">
        <v>3.0300000000000001E-2</v>
      </c>
      <c r="C484" s="6">
        <v>0.41</v>
      </c>
      <c r="D484" s="6">
        <v>0.25369999999999998</v>
      </c>
      <c r="E484" s="6">
        <v>0</v>
      </c>
      <c r="F484" s="6">
        <v>11</v>
      </c>
      <c r="G484" s="6">
        <v>11</v>
      </c>
    </row>
    <row r="485" spans="1:7" x14ac:dyDescent="0.25">
      <c r="A485" s="6">
        <v>483</v>
      </c>
      <c r="B485" s="6">
        <v>3.0300000000000001E-2</v>
      </c>
      <c r="C485" s="6">
        <v>0.41</v>
      </c>
      <c r="D485" s="6">
        <v>0.28360000000000002</v>
      </c>
      <c r="E485" s="6">
        <v>1</v>
      </c>
      <c r="F485" s="6">
        <v>6</v>
      </c>
      <c r="G485" s="6">
        <v>7</v>
      </c>
    </row>
    <row r="486" spans="1:7" x14ac:dyDescent="0.25">
      <c r="A486" s="6">
        <v>484</v>
      </c>
      <c r="B486" s="6">
        <v>1.52E-2</v>
      </c>
      <c r="C486" s="6">
        <v>0.48</v>
      </c>
      <c r="D486" s="6">
        <v>0.29849999999999999</v>
      </c>
      <c r="E486" s="6">
        <v>0</v>
      </c>
      <c r="F486" s="6">
        <v>3</v>
      </c>
      <c r="G486" s="6">
        <v>3</v>
      </c>
    </row>
    <row r="487" spans="1:7" x14ac:dyDescent="0.25">
      <c r="A487" s="6">
        <v>485</v>
      </c>
      <c r="B487" s="6">
        <v>3.0300000000000001E-2</v>
      </c>
      <c r="C487" s="6">
        <v>0.44</v>
      </c>
      <c r="D487" s="6">
        <v>0.22389999999999999</v>
      </c>
      <c r="E487" s="6">
        <v>0</v>
      </c>
      <c r="F487" s="6">
        <v>2</v>
      </c>
      <c r="G487" s="6">
        <v>2</v>
      </c>
    </row>
    <row r="488" spans="1:7" x14ac:dyDescent="0.25">
      <c r="A488" s="6">
        <v>486</v>
      </c>
      <c r="B488" s="6">
        <v>1.52E-2</v>
      </c>
      <c r="C488" s="6">
        <v>0.44</v>
      </c>
      <c r="D488" s="6">
        <v>0.28360000000000002</v>
      </c>
      <c r="E488" s="6">
        <v>0</v>
      </c>
      <c r="F488" s="6">
        <v>8</v>
      </c>
      <c r="G488" s="6">
        <v>8</v>
      </c>
    </row>
    <row r="489" spans="1:7" x14ac:dyDescent="0.25">
      <c r="A489" s="6">
        <v>487</v>
      </c>
      <c r="B489" s="6">
        <v>0</v>
      </c>
      <c r="C489" s="6">
        <v>0.44</v>
      </c>
      <c r="D489" s="6">
        <v>0.32840000000000003</v>
      </c>
      <c r="E489" s="6">
        <v>1</v>
      </c>
      <c r="F489" s="6">
        <v>26</v>
      </c>
      <c r="G489" s="6">
        <v>27</v>
      </c>
    </row>
    <row r="490" spans="1:7" x14ac:dyDescent="0.25">
      <c r="A490" s="6">
        <v>488</v>
      </c>
      <c r="B490" s="6">
        <v>3.0300000000000001E-2</v>
      </c>
      <c r="C490" s="6">
        <v>0.41</v>
      </c>
      <c r="D490" s="6">
        <v>0.25369999999999998</v>
      </c>
      <c r="E490" s="6">
        <v>3</v>
      </c>
      <c r="F490" s="6">
        <v>37</v>
      </c>
      <c r="G490" s="6">
        <v>40</v>
      </c>
    </row>
    <row r="491" spans="1:7" x14ac:dyDescent="0.25">
      <c r="A491" s="6">
        <v>489</v>
      </c>
      <c r="B491" s="6">
        <v>6.0600000000000001E-2</v>
      </c>
      <c r="C491" s="6">
        <v>0.41</v>
      </c>
      <c r="D491" s="6">
        <v>0.16420000000000001</v>
      </c>
      <c r="E491" s="6">
        <v>3</v>
      </c>
      <c r="F491" s="6">
        <v>50</v>
      </c>
      <c r="G491" s="6">
        <v>53</v>
      </c>
    </row>
    <row r="492" spans="1:7" x14ac:dyDescent="0.25">
      <c r="A492" s="6">
        <v>490</v>
      </c>
      <c r="B492" s="6">
        <v>7.5800000000000006E-2</v>
      </c>
      <c r="C492" s="6">
        <v>0.38</v>
      </c>
      <c r="D492" s="6">
        <v>0.1343</v>
      </c>
      <c r="E492" s="6">
        <v>4</v>
      </c>
      <c r="F492" s="6">
        <v>59</v>
      </c>
      <c r="G492" s="6">
        <v>63</v>
      </c>
    </row>
    <row r="493" spans="1:7" x14ac:dyDescent="0.25">
      <c r="A493" s="6">
        <v>491</v>
      </c>
      <c r="B493" s="6">
        <v>0.1061</v>
      </c>
      <c r="C493" s="6">
        <v>0.38</v>
      </c>
      <c r="D493" s="6">
        <v>0.1045</v>
      </c>
      <c r="E493" s="6">
        <v>10</v>
      </c>
      <c r="F493" s="6">
        <v>60</v>
      </c>
      <c r="G493" s="6">
        <v>70</v>
      </c>
    </row>
    <row r="494" spans="1:7" x14ac:dyDescent="0.25">
      <c r="A494" s="6">
        <v>492</v>
      </c>
      <c r="B494" s="6">
        <v>0.16669999999999999</v>
      </c>
      <c r="C494" s="6">
        <v>0.35</v>
      </c>
      <c r="D494" s="6">
        <v>0</v>
      </c>
      <c r="E494" s="6">
        <v>12</v>
      </c>
      <c r="F494" s="6">
        <v>72</v>
      </c>
      <c r="G494" s="6">
        <v>84</v>
      </c>
    </row>
    <row r="495" spans="1:7" x14ac:dyDescent="0.25">
      <c r="A495" s="6">
        <v>493</v>
      </c>
      <c r="B495" s="6">
        <v>0.13639999999999999</v>
      </c>
      <c r="C495" s="6">
        <v>0.33</v>
      </c>
      <c r="D495" s="6">
        <v>0.1045</v>
      </c>
      <c r="E495" s="6">
        <v>11</v>
      </c>
      <c r="F495" s="6">
        <v>64</v>
      </c>
      <c r="G495" s="6">
        <v>75</v>
      </c>
    </row>
    <row r="496" spans="1:7" x14ac:dyDescent="0.25">
      <c r="A496" s="6">
        <v>494</v>
      </c>
      <c r="B496" s="6">
        <v>0.1515</v>
      </c>
      <c r="C496" s="6">
        <v>0.28000000000000003</v>
      </c>
      <c r="D496" s="6">
        <v>0</v>
      </c>
      <c r="E496" s="6">
        <v>10</v>
      </c>
      <c r="F496" s="6">
        <v>93</v>
      </c>
      <c r="G496" s="6">
        <v>103</v>
      </c>
    </row>
    <row r="497" spans="1:7" x14ac:dyDescent="0.25">
      <c r="A497" s="6">
        <v>495</v>
      </c>
      <c r="B497" s="6">
        <v>0.13639999999999999</v>
      </c>
      <c r="C497" s="6">
        <v>0.28000000000000003</v>
      </c>
      <c r="D497" s="6">
        <v>0.19400000000000001</v>
      </c>
      <c r="E497" s="6">
        <v>11</v>
      </c>
      <c r="F497" s="6">
        <v>72</v>
      </c>
      <c r="G497" s="6">
        <v>83</v>
      </c>
    </row>
    <row r="498" spans="1:7" x14ac:dyDescent="0.25">
      <c r="A498" s="6">
        <v>496</v>
      </c>
      <c r="B498" s="6">
        <v>0.19700000000000001</v>
      </c>
      <c r="C498" s="6">
        <v>0.28000000000000003</v>
      </c>
      <c r="D498" s="6">
        <v>0</v>
      </c>
      <c r="E498" s="6">
        <v>8</v>
      </c>
      <c r="F498" s="6">
        <v>59</v>
      </c>
      <c r="G498" s="6">
        <v>67</v>
      </c>
    </row>
    <row r="499" spans="1:7" x14ac:dyDescent="0.25">
      <c r="A499" s="6">
        <v>497</v>
      </c>
      <c r="B499" s="6">
        <v>9.0899999999999995E-2</v>
      </c>
      <c r="C499" s="6">
        <v>0.35</v>
      </c>
      <c r="D499" s="6">
        <v>0.19400000000000001</v>
      </c>
      <c r="E499" s="6">
        <v>0</v>
      </c>
      <c r="F499" s="6">
        <v>54</v>
      </c>
      <c r="G499" s="6">
        <v>54</v>
      </c>
    </row>
    <row r="500" spans="1:7" x14ac:dyDescent="0.25">
      <c r="A500" s="6">
        <v>498</v>
      </c>
      <c r="B500" s="6">
        <v>0.1061</v>
      </c>
      <c r="C500" s="6">
        <v>0.35</v>
      </c>
      <c r="D500" s="6">
        <v>0.1343</v>
      </c>
      <c r="E500" s="6">
        <v>6</v>
      </c>
      <c r="F500" s="6">
        <v>53</v>
      </c>
      <c r="G500" s="6">
        <v>59</v>
      </c>
    </row>
    <row r="501" spans="1:7" x14ac:dyDescent="0.25">
      <c r="A501" s="6">
        <v>499</v>
      </c>
      <c r="B501" s="6">
        <v>7.5800000000000006E-2</v>
      </c>
      <c r="C501" s="6">
        <v>0.45</v>
      </c>
      <c r="D501" s="6">
        <v>0.16420000000000001</v>
      </c>
      <c r="E501" s="6">
        <v>1</v>
      </c>
      <c r="F501" s="6">
        <v>44</v>
      </c>
      <c r="G501" s="6">
        <v>45</v>
      </c>
    </row>
    <row r="502" spans="1:7" x14ac:dyDescent="0.25">
      <c r="A502" s="6">
        <v>500</v>
      </c>
      <c r="B502" s="6">
        <v>0.1061</v>
      </c>
      <c r="C502" s="6">
        <v>0.41</v>
      </c>
      <c r="D502" s="6">
        <v>8.9599999999999999E-2</v>
      </c>
      <c r="E502" s="6">
        <v>0</v>
      </c>
      <c r="F502" s="6">
        <v>39</v>
      </c>
      <c r="G502" s="6">
        <v>39</v>
      </c>
    </row>
    <row r="503" spans="1:7" x14ac:dyDescent="0.25">
      <c r="A503" s="6">
        <v>501</v>
      </c>
      <c r="B503" s="6">
        <v>0.1515</v>
      </c>
      <c r="C503" s="6">
        <v>0.49</v>
      </c>
      <c r="D503" s="6">
        <v>0</v>
      </c>
      <c r="E503" s="6">
        <v>7</v>
      </c>
      <c r="F503" s="6">
        <v>23</v>
      </c>
      <c r="G503" s="6">
        <v>30</v>
      </c>
    </row>
    <row r="504" spans="1:7" x14ac:dyDescent="0.25">
      <c r="A504" s="6">
        <v>502</v>
      </c>
      <c r="B504" s="6">
        <v>7.5800000000000006E-2</v>
      </c>
      <c r="C504" s="6">
        <v>0.56999999999999995</v>
      </c>
      <c r="D504" s="6">
        <v>0.1045</v>
      </c>
      <c r="E504" s="6">
        <v>2</v>
      </c>
      <c r="F504" s="6">
        <v>31</v>
      </c>
      <c r="G504" s="6">
        <v>33</v>
      </c>
    </row>
    <row r="505" spans="1:7" x14ac:dyDescent="0.25">
      <c r="A505" s="6">
        <v>503</v>
      </c>
      <c r="B505" s="6">
        <v>7.5800000000000006E-2</v>
      </c>
      <c r="C505" s="6">
        <v>0.56999999999999995</v>
      </c>
      <c r="D505" s="6">
        <v>0.1045</v>
      </c>
      <c r="E505" s="6">
        <v>2</v>
      </c>
      <c r="F505" s="6">
        <v>20</v>
      </c>
      <c r="G505" s="6">
        <v>22</v>
      </c>
    </row>
    <row r="506" spans="1:7" x14ac:dyDescent="0.25">
      <c r="A506" s="6">
        <v>504</v>
      </c>
      <c r="B506" s="6">
        <v>7.5800000000000006E-2</v>
      </c>
      <c r="C506" s="6">
        <v>0.56999999999999995</v>
      </c>
      <c r="D506" s="6">
        <v>0.1045</v>
      </c>
      <c r="E506" s="6">
        <v>1</v>
      </c>
      <c r="F506" s="6">
        <v>12</v>
      </c>
      <c r="G506" s="6">
        <v>13</v>
      </c>
    </row>
    <row r="507" spans="1:7" x14ac:dyDescent="0.25">
      <c r="A507" s="6">
        <v>505</v>
      </c>
      <c r="B507" s="6">
        <v>6.0600000000000001E-2</v>
      </c>
      <c r="C507" s="6">
        <v>0.62</v>
      </c>
      <c r="D507" s="6">
        <v>0.1343</v>
      </c>
      <c r="E507" s="6">
        <v>3</v>
      </c>
      <c r="F507" s="6">
        <v>15</v>
      </c>
      <c r="G507" s="6">
        <v>18</v>
      </c>
    </row>
    <row r="508" spans="1:7" x14ac:dyDescent="0.25">
      <c r="A508" s="6">
        <v>506</v>
      </c>
      <c r="B508" s="6">
        <v>6.0600000000000001E-2</v>
      </c>
      <c r="C508" s="6">
        <v>0.62</v>
      </c>
      <c r="D508" s="6">
        <v>0.1343</v>
      </c>
      <c r="E508" s="6">
        <v>1</v>
      </c>
      <c r="F508" s="6">
        <v>4</v>
      </c>
      <c r="G508" s="6">
        <v>5</v>
      </c>
    </row>
    <row r="509" spans="1:7" x14ac:dyDescent="0.25">
      <c r="A509" s="6">
        <v>507</v>
      </c>
      <c r="B509" s="6">
        <v>7.5800000000000006E-2</v>
      </c>
      <c r="C509" s="6">
        <v>0.56999999999999995</v>
      </c>
      <c r="D509" s="6">
        <v>0.1045</v>
      </c>
      <c r="E509" s="6">
        <v>0</v>
      </c>
      <c r="F509" s="6">
        <v>3</v>
      </c>
      <c r="G509" s="6">
        <v>3</v>
      </c>
    </row>
    <row r="510" spans="1:7" x14ac:dyDescent="0.25">
      <c r="A510" s="6">
        <v>508</v>
      </c>
      <c r="B510" s="6">
        <v>7.5800000000000006E-2</v>
      </c>
      <c r="C510" s="6">
        <v>0.56999999999999995</v>
      </c>
      <c r="D510" s="6">
        <v>0.1045</v>
      </c>
      <c r="E510" s="6">
        <v>0</v>
      </c>
      <c r="F510" s="6">
        <v>1</v>
      </c>
      <c r="G510" s="6">
        <v>1</v>
      </c>
    </row>
    <row r="511" spans="1:7" x14ac:dyDescent="0.25">
      <c r="A511" s="6">
        <v>509</v>
      </c>
      <c r="B511" s="6">
        <v>0.1061</v>
      </c>
      <c r="C511" s="6">
        <v>0.57999999999999996</v>
      </c>
      <c r="D511" s="6">
        <v>0.16420000000000001</v>
      </c>
      <c r="E511" s="6">
        <v>1</v>
      </c>
      <c r="F511" s="6">
        <v>1</v>
      </c>
      <c r="G511" s="6">
        <v>2</v>
      </c>
    </row>
    <row r="512" spans="1:7" x14ac:dyDescent="0.25">
      <c r="A512" s="6">
        <v>510</v>
      </c>
      <c r="B512" s="6">
        <v>7.5800000000000006E-2</v>
      </c>
      <c r="C512" s="6">
        <v>0.62</v>
      </c>
      <c r="D512" s="6">
        <v>0.16420000000000001</v>
      </c>
      <c r="E512" s="6">
        <v>2</v>
      </c>
      <c r="F512" s="6">
        <v>17</v>
      </c>
      <c r="G512" s="6">
        <v>19</v>
      </c>
    </row>
    <row r="513" spans="1:7" x14ac:dyDescent="0.25">
      <c r="A513" s="6">
        <v>511</v>
      </c>
      <c r="B513" s="6">
        <v>7.5800000000000006E-2</v>
      </c>
      <c r="C513" s="6">
        <v>0.54</v>
      </c>
      <c r="D513" s="6">
        <v>0.35820000000000002</v>
      </c>
      <c r="E513" s="6">
        <v>3</v>
      </c>
      <c r="F513" s="6">
        <v>25</v>
      </c>
      <c r="G513" s="6">
        <v>28</v>
      </c>
    </row>
    <row r="514" spans="1:7" x14ac:dyDescent="0.25">
      <c r="A514" s="6">
        <v>512</v>
      </c>
      <c r="B514" s="6">
        <v>0.1061</v>
      </c>
      <c r="C514" s="6">
        <v>0.46</v>
      </c>
      <c r="D514" s="6">
        <v>0.3881</v>
      </c>
      <c r="E514" s="6">
        <v>7</v>
      </c>
      <c r="F514" s="6">
        <v>51</v>
      </c>
      <c r="G514" s="6">
        <v>58</v>
      </c>
    </row>
    <row r="515" spans="1:7" x14ac:dyDescent="0.25">
      <c r="A515" s="6">
        <v>513</v>
      </c>
      <c r="B515" s="6">
        <v>0.13639999999999999</v>
      </c>
      <c r="C515" s="6">
        <v>0.43</v>
      </c>
      <c r="D515" s="6">
        <v>0.22389999999999999</v>
      </c>
      <c r="E515" s="6">
        <v>22</v>
      </c>
      <c r="F515" s="6">
        <v>77</v>
      </c>
      <c r="G515" s="6">
        <v>99</v>
      </c>
    </row>
    <row r="516" spans="1:7" x14ac:dyDescent="0.25">
      <c r="A516" s="6">
        <v>514</v>
      </c>
      <c r="B516" s="6">
        <v>0.1212</v>
      </c>
      <c r="C516" s="6">
        <v>0.37</v>
      </c>
      <c r="D516" s="6">
        <v>0.4627</v>
      </c>
      <c r="E516" s="6">
        <v>24</v>
      </c>
      <c r="F516" s="6">
        <v>92</v>
      </c>
      <c r="G516" s="6">
        <v>116</v>
      </c>
    </row>
    <row r="517" spans="1:7" x14ac:dyDescent="0.25">
      <c r="A517" s="6">
        <v>515</v>
      </c>
      <c r="B517" s="6">
        <v>0.1061</v>
      </c>
      <c r="C517" s="6">
        <v>0.33</v>
      </c>
      <c r="D517" s="6">
        <v>0.3881</v>
      </c>
      <c r="E517" s="6">
        <v>12</v>
      </c>
      <c r="F517" s="6">
        <v>75</v>
      </c>
      <c r="G517" s="6">
        <v>87</v>
      </c>
    </row>
    <row r="518" spans="1:7" x14ac:dyDescent="0.25">
      <c r="A518" s="6">
        <v>516</v>
      </c>
      <c r="B518" s="6">
        <v>0.13639999999999999</v>
      </c>
      <c r="C518" s="6">
        <v>0.28000000000000003</v>
      </c>
      <c r="D518" s="6">
        <v>0.35820000000000002</v>
      </c>
      <c r="E518" s="6">
        <v>17</v>
      </c>
      <c r="F518" s="6">
        <v>93</v>
      </c>
      <c r="G518" s="6">
        <v>110</v>
      </c>
    </row>
    <row r="519" spans="1:7" x14ac:dyDescent="0.25">
      <c r="A519" s="6">
        <v>517</v>
      </c>
      <c r="B519" s="6">
        <v>0.13639999999999999</v>
      </c>
      <c r="C519" s="6">
        <v>0.28000000000000003</v>
      </c>
      <c r="D519" s="6">
        <v>0.35820000000000002</v>
      </c>
      <c r="E519" s="6">
        <v>13</v>
      </c>
      <c r="F519" s="6">
        <v>64</v>
      </c>
      <c r="G519" s="6">
        <v>77</v>
      </c>
    </row>
    <row r="520" spans="1:7" x14ac:dyDescent="0.25">
      <c r="A520" s="6">
        <v>518</v>
      </c>
      <c r="B520" s="6">
        <v>0.13639999999999999</v>
      </c>
      <c r="C520" s="6">
        <v>0.26</v>
      </c>
      <c r="D520" s="6">
        <v>0.32840000000000003</v>
      </c>
      <c r="E520" s="6">
        <v>9</v>
      </c>
      <c r="F520" s="6">
        <v>56</v>
      </c>
      <c r="G520" s="6">
        <v>65</v>
      </c>
    </row>
    <row r="521" spans="1:7" x14ac:dyDescent="0.25">
      <c r="A521" s="6">
        <v>519</v>
      </c>
      <c r="B521" s="6">
        <v>0.1061</v>
      </c>
      <c r="C521" s="6">
        <v>0.26</v>
      </c>
      <c r="D521" s="6">
        <v>0.3881</v>
      </c>
      <c r="E521" s="6">
        <v>5</v>
      </c>
      <c r="F521" s="6">
        <v>50</v>
      </c>
      <c r="G521" s="6">
        <v>55</v>
      </c>
    </row>
    <row r="522" spans="1:7" x14ac:dyDescent="0.25">
      <c r="A522" s="6">
        <v>520</v>
      </c>
      <c r="B522" s="6">
        <v>0.1212</v>
      </c>
      <c r="C522" s="6">
        <v>0.3</v>
      </c>
      <c r="D522" s="6">
        <v>0.25369999999999998</v>
      </c>
      <c r="E522" s="6">
        <v>5</v>
      </c>
      <c r="F522" s="6">
        <v>44</v>
      </c>
      <c r="G522" s="6">
        <v>49</v>
      </c>
    </row>
    <row r="523" spans="1:7" x14ac:dyDescent="0.25">
      <c r="A523" s="6">
        <v>521</v>
      </c>
      <c r="B523" s="6">
        <v>0.1212</v>
      </c>
      <c r="C523" s="6">
        <v>0.3</v>
      </c>
      <c r="D523" s="6">
        <v>0.28360000000000002</v>
      </c>
      <c r="E523" s="6">
        <v>5</v>
      </c>
      <c r="F523" s="6">
        <v>45</v>
      </c>
      <c r="G523" s="6">
        <v>50</v>
      </c>
    </row>
    <row r="524" spans="1:7" x14ac:dyDescent="0.25">
      <c r="A524" s="6">
        <v>522</v>
      </c>
      <c r="B524" s="6">
        <v>0.1061</v>
      </c>
      <c r="C524" s="6">
        <v>0.36</v>
      </c>
      <c r="D524" s="6">
        <v>0.25369999999999998</v>
      </c>
      <c r="E524" s="6">
        <v>4</v>
      </c>
      <c r="F524" s="6">
        <v>31</v>
      </c>
      <c r="G524" s="6">
        <v>35</v>
      </c>
    </row>
    <row r="525" spans="1:7" x14ac:dyDescent="0.25">
      <c r="A525" s="6">
        <v>523</v>
      </c>
      <c r="B525" s="6">
        <v>0.1061</v>
      </c>
      <c r="C525" s="6">
        <v>0.36</v>
      </c>
      <c r="D525" s="6">
        <v>0.19400000000000001</v>
      </c>
      <c r="E525" s="6">
        <v>5</v>
      </c>
      <c r="F525" s="6">
        <v>20</v>
      </c>
      <c r="G525" s="6">
        <v>25</v>
      </c>
    </row>
    <row r="526" spans="1:7" x14ac:dyDescent="0.25">
      <c r="A526" s="6">
        <v>524</v>
      </c>
      <c r="B526" s="6">
        <v>9.0899999999999995E-2</v>
      </c>
      <c r="C526" s="6">
        <v>0.38</v>
      </c>
      <c r="D526" s="6">
        <v>0.19400000000000001</v>
      </c>
      <c r="E526" s="6">
        <v>5</v>
      </c>
      <c r="F526" s="6">
        <v>23</v>
      </c>
      <c r="G526" s="6">
        <v>28</v>
      </c>
    </row>
    <row r="527" spans="1:7" x14ac:dyDescent="0.25">
      <c r="A527" s="6">
        <v>525</v>
      </c>
      <c r="B527" s="6">
        <v>6.0600000000000001E-2</v>
      </c>
      <c r="C527" s="6">
        <v>0.41</v>
      </c>
      <c r="D527" s="6">
        <v>0.22389999999999999</v>
      </c>
      <c r="E527" s="6">
        <v>4</v>
      </c>
      <c r="F527" s="6">
        <v>17</v>
      </c>
      <c r="G527" s="6">
        <v>21</v>
      </c>
    </row>
    <row r="528" spans="1:7" x14ac:dyDescent="0.25">
      <c r="A528" s="6">
        <v>526</v>
      </c>
      <c r="B528" s="6">
        <v>6.0600000000000001E-2</v>
      </c>
      <c r="C528" s="6">
        <v>0.41</v>
      </c>
      <c r="D528" s="6">
        <v>0.19400000000000001</v>
      </c>
      <c r="E528" s="6">
        <v>0</v>
      </c>
      <c r="F528" s="6">
        <v>7</v>
      </c>
      <c r="G528" s="6">
        <v>7</v>
      </c>
    </row>
    <row r="529" spans="1:7" x14ac:dyDescent="0.25">
      <c r="A529" s="6">
        <v>527</v>
      </c>
      <c r="B529" s="6">
        <v>4.5499999999999999E-2</v>
      </c>
      <c r="C529" s="6">
        <v>0.45</v>
      </c>
      <c r="D529" s="6">
        <v>0.19400000000000001</v>
      </c>
      <c r="E529" s="6">
        <v>0</v>
      </c>
      <c r="F529" s="6">
        <v>1</v>
      </c>
      <c r="G529" s="6">
        <v>1</v>
      </c>
    </row>
    <row r="530" spans="1:7" x14ac:dyDescent="0.25">
      <c r="A530" s="6">
        <v>528</v>
      </c>
      <c r="B530" s="6">
        <v>3.0300000000000001E-2</v>
      </c>
      <c r="C530" s="6">
        <v>0.45</v>
      </c>
      <c r="D530" s="6">
        <v>0.25369999999999998</v>
      </c>
      <c r="E530" s="6">
        <v>0</v>
      </c>
      <c r="F530" s="6">
        <v>1</v>
      </c>
      <c r="G530" s="6">
        <v>1</v>
      </c>
    </row>
    <row r="531" spans="1:7" x14ac:dyDescent="0.25">
      <c r="A531" s="6">
        <v>529</v>
      </c>
      <c r="B531" s="6">
        <v>6.0600000000000001E-2</v>
      </c>
      <c r="C531" s="6">
        <v>0.48</v>
      </c>
      <c r="D531" s="6">
        <v>0.1343</v>
      </c>
      <c r="E531" s="6">
        <v>0</v>
      </c>
      <c r="F531" s="6">
        <v>1</v>
      </c>
      <c r="G531" s="6">
        <v>1</v>
      </c>
    </row>
    <row r="532" spans="1:7" x14ac:dyDescent="0.25">
      <c r="A532" s="6">
        <v>530</v>
      </c>
      <c r="B532" s="6">
        <v>6.0600000000000001E-2</v>
      </c>
      <c r="C532" s="6">
        <v>0.48</v>
      </c>
      <c r="D532" s="6">
        <v>0.1343</v>
      </c>
      <c r="E532" s="6">
        <v>0</v>
      </c>
      <c r="F532" s="6">
        <v>5</v>
      </c>
      <c r="G532" s="6">
        <v>5</v>
      </c>
    </row>
    <row r="533" spans="1:7" x14ac:dyDescent="0.25">
      <c r="A533" s="6">
        <v>531</v>
      </c>
      <c r="B533" s="6">
        <v>7.5800000000000006E-2</v>
      </c>
      <c r="C533" s="6">
        <v>0.48</v>
      </c>
      <c r="D533" s="6">
        <v>8.9599999999999999E-2</v>
      </c>
      <c r="E533" s="6">
        <v>0</v>
      </c>
      <c r="F533" s="6">
        <v>15</v>
      </c>
      <c r="G533" s="6">
        <v>15</v>
      </c>
    </row>
    <row r="534" spans="1:7" x14ac:dyDescent="0.25">
      <c r="A534" s="6">
        <v>532</v>
      </c>
      <c r="B534" s="6">
        <v>0.1212</v>
      </c>
      <c r="C534" s="6">
        <v>0.48</v>
      </c>
      <c r="D534" s="6">
        <v>0</v>
      </c>
      <c r="E534" s="6">
        <v>5</v>
      </c>
      <c r="F534" s="6">
        <v>79</v>
      </c>
      <c r="G534" s="6">
        <v>84</v>
      </c>
    </row>
    <row r="535" spans="1:7" x14ac:dyDescent="0.25">
      <c r="A535" s="6">
        <v>533</v>
      </c>
      <c r="B535" s="6">
        <v>0.13639999999999999</v>
      </c>
      <c r="C535" s="6">
        <v>0.49</v>
      </c>
      <c r="D535" s="6">
        <v>0</v>
      </c>
      <c r="E535" s="6">
        <v>6</v>
      </c>
      <c r="F535" s="6">
        <v>171</v>
      </c>
      <c r="G535" s="6">
        <v>177</v>
      </c>
    </row>
    <row r="536" spans="1:7" x14ac:dyDescent="0.25">
      <c r="A536" s="6">
        <v>534</v>
      </c>
      <c r="B536" s="6">
        <v>0.1515</v>
      </c>
      <c r="C536" s="6">
        <v>0.41</v>
      </c>
      <c r="D536" s="6">
        <v>0</v>
      </c>
      <c r="E536" s="6">
        <v>4</v>
      </c>
      <c r="F536" s="6">
        <v>98</v>
      </c>
      <c r="G536" s="6">
        <v>102</v>
      </c>
    </row>
    <row r="537" spans="1:7" x14ac:dyDescent="0.25">
      <c r="A537" s="6">
        <v>535</v>
      </c>
      <c r="B537" s="6">
        <v>0.13639999999999999</v>
      </c>
      <c r="C537" s="6">
        <v>0.42</v>
      </c>
      <c r="D537" s="6">
        <v>0</v>
      </c>
      <c r="E537" s="6">
        <v>6</v>
      </c>
      <c r="F537" s="6">
        <v>34</v>
      </c>
      <c r="G537" s="6">
        <v>40</v>
      </c>
    </row>
    <row r="538" spans="1:7" x14ac:dyDescent="0.25">
      <c r="A538" s="6">
        <v>536</v>
      </c>
      <c r="B538" s="6">
        <v>0.1212</v>
      </c>
      <c r="C538" s="6">
        <v>0.46</v>
      </c>
      <c r="D538" s="6">
        <v>0.1343</v>
      </c>
      <c r="E538" s="6">
        <v>3</v>
      </c>
      <c r="F538" s="6">
        <v>43</v>
      </c>
      <c r="G538" s="6">
        <v>46</v>
      </c>
    </row>
    <row r="539" spans="1:7" x14ac:dyDescent="0.25">
      <c r="A539" s="6">
        <v>537</v>
      </c>
      <c r="B539" s="6">
        <v>0.13639999999999999</v>
      </c>
      <c r="C539" s="6">
        <v>0.42</v>
      </c>
      <c r="D539" s="6">
        <v>0.19400000000000001</v>
      </c>
      <c r="E539" s="6">
        <v>11</v>
      </c>
      <c r="F539" s="6">
        <v>52</v>
      </c>
      <c r="G539" s="6">
        <v>63</v>
      </c>
    </row>
    <row r="540" spans="1:7" x14ac:dyDescent="0.25">
      <c r="A540" s="6">
        <v>538</v>
      </c>
      <c r="B540" s="6">
        <v>0.13639999999999999</v>
      </c>
      <c r="C540" s="6">
        <v>0.43</v>
      </c>
      <c r="D540" s="6">
        <v>0.22389999999999999</v>
      </c>
      <c r="E540" s="6">
        <v>6</v>
      </c>
      <c r="F540" s="6">
        <v>54</v>
      </c>
      <c r="G540" s="6">
        <v>60</v>
      </c>
    </row>
    <row r="541" spans="1:7" x14ac:dyDescent="0.25">
      <c r="A541" s="6">
        <v>539</v>
      </c>
      <c r="B541" s="6">
        <v>0.13639999999999999</v>
      </c>
      <c r="C541" s="6">
        <v>0.46</v>
      </c>
      <c r="D541" s="6">
        <v>0.22389999999999999</v>
      </c>
      <c r="E541" s="6">
        <v>2</v>
      </c>
      <c r="F541" s="6">
        <v>43</v>
      </c>
      <c r="G541" s="6">
        <v>45</v>
      </c>
    </row>
    <row r="542" spans="1:7" x14ac:dyDescent="0.25">
      <c r="A542" s="6">
        <v>540</v>
      </c>
      <c r="B542" s="6">
        <v>0.16669999999999999</v>
      </c>
      <c r="C542" s="6">
        <v>0.4</v>
      </c>
      <c r="D542" s="6">
        <v>0.16420000000000001</v>
      </c>
      <c r="E542" s="6">
        <v>7</v>
      </c>
      <c r="F542" s="6">
        <v>50</v>
      </c>
      <c r="G542" s="6">
        <v>57</v>
      </c>
    </row>
    <row r="543" spans="1:7" x14ac:dyDescent="0.25">
      <c r="A543" s="6">
        <v>541</v>
      </c>
      <c r="B543" s="6">
        <v>0.1515</v>
      </c>
      <c r="C543" s="6">
        <v>0.47</v>
      </c>
      <c r="D543" s="6">
        <v>0.25369999999999998</v>
      </c>
      <c r="E543" s="6">
        <v>4</v>
      </c>
      <c r="F543" s="6">
        <v>66</v>
      </c>
      <c r="G543" s="6">
        <v>70</v>
      </c>
    </row>
    <row r="544" spans="1:7" x14ac:dyDescent="0.25">
      <c r="A544" s="6">
        <v>542</v>
      </c>
      <c r="B544" s="6">
        <v>0.1212</v>
      </c>
      <c r="C544" s="6">
        <v>0.5</v>
      </c>
      <c r="D544" s="6">
        <v>0.25369999999999998</v>
      </c>
      <c r="E544" s="6">
        <v>6</v>
      </c>
      <c r="F544" s="6">
        <v>178</v>
      </c>
      <c r="G544" s="6">
        <v>184</v>
      </c>
    </row>
    <row r="545" spans="1:7" x14ac:dyDescent="0.25">
      <c r="A545" s="6">
        <v>543</v>
      </c>
      <c r="B545" s="6">
        <v>0.13639999999999999</v>
      </c>
      <c r="C545" s="6">
        <v>0.59</v>
      </c>
      <c r="D545" s="6">
        <v>0.19400000000000001</v>
      </c>
      <c r="E545" s="6">
        <v>8</v>
      </c>
      <c r="F545" s="6">
        <v>145</v>
      </c>
      <c r="G545" s="6">
        <v>153</v>
      </c>
    </row>
    <row r="546" spans="1:7" x14ac:dyDescent="0.25">
      <c r="A546" s="6">
        <v>544</v>
      </c>
      <c r="B546" s="6">
        <v>0.1515</v>
      </c>
      <c r="C546" s="6">
        <v>0.54</v>
      </c>
      <c r="D546" s="6">
        <v>0.16420000000000001</v>
      </c>
      <c r="E546" s="6">
        <v>5</v>
      </c>
      <c r="F546" s="6">
        <v>101</v>
      </c>
      <c r="G546" s="6">
        <v>106</v>
      </c>
    </row>
    <row r="547" spans="1:7" x14ac:dyDescent="0.25">
      <c r="A547" s="6">
        <v>545</v>
      </c>
      <c r="B547" s="6">
        <v>0.13639999999999999</v>
      </c>
      <c r="C547" s="6">
        <v>0.59</v>
      </c>
      <c r="D547" s="6">
        <v>0.19400000000000001</v>
      </c>
      <c r="E547" s="6">
        <v>1</v>
      </c>
      <c r="F547" s="6">
        <v>80</v>
      </c>
      <c r="G547" s="6">
        <v>81</v>
      </c>
    </row>
    <row r="548" spans="1:7" x14ac:dyDescent="0.25">
      <c r="A548" s="6">
        <v>546</v>
      </c>
      <c r="B548" s="6">
        <v>0.1515</v>
      </c>
      <c r="C548" s="6">
        <v>0.63</v>
      </c>
      <c r="D548" s="6">
        <v>0.16420000000000001</v>
      </c>
      <c r="E548" s="6">
        <v>6</v>
      </c>
      <c r="F548" s="6">
        <v>53</v>
      </c>
      <c r="G548" s="6">
        <v>59</v>
      </c>
    </row>
    <row r="549" spans="1:7" x14ac:dyDescent="0.25">
      <c r="A549" s="6">
        <v>547</v>
      </c>
      <c r="B549" s="6">
        <v>0.13639999999999999</v>
      </c>
      <c r="C549" s="6">
        <v>0.63</v>
      </c>
      <c r="D549" s="6">
        <v>0.22389999999999999</v>
      </c>
      <c r="E549" s="6">
        <v>3</v>
      </c>
      <c r="F549" s="6">
        <v>32</v>
      </c>
      <c r="G549" s="6">
        <v>35</v>
      </c>
    </row>
    <row r="550" spans="1:7" x14ac:dyDescent="0.25">
      <c r="A550" s="6">
        <v>548</v>
      </c>
      <c r="B550" s="6">
        <v>0.1515</v>
      </c>
      <c r="C550" s="6">
        <v>0.64</v>
      </c>
      <c r="D550" s="6">
        <v>0.25369999999999998</v>
      </c>
      <c r="E550" s="6">
        <v>3</v>
      </c>
      <c r="F550" s="6">
        <v>21</v>
      </c>
      <c r="G550" s="6">
        <v>24</v>
      </c>
    </row>
    <row r="551" spans="1:7" x14ac:dyDescent="0.25">
      <c r="A551" s="6">
        <v>549</v>
      </c>
      <c r="B551" s="6">
        <v>0.13639999999999999</v>
      </c>
      <c r="C551" s="6">
        <v>0.69</v>
      </c>
      <c r="D551" s="6">
        <v>0.28360000000000002</v>
      </c>
      <c r="E551" s="6">
        <v>3</v>
      </c>
      <c r="F551" s="6">
        <v>6</v>
      </c>
      <c r="G551" s="6">
        <v>9</v>
      </c>
    </row>
    <row r="552" spans="1:7" x14ac:dyDescent="0.25">
      <c r="A552" s="6">
        <v>550</v>
      </c>
      <c r="B552" s="6">
        <v>0.16669999999999999</v>
      </c>
      <c r="C552" s="6">
        <v>0.69</v>
      </c>
      <c r="D552" s="6">
        <v>0.16420000000000001</v>
      </c>
      <c r="E552" s="6">
        <v>0</v>
      </c>
      <c r="F552" s="6">
        <v>5</v>
      </c>
      <c r="G552" s="6">
        <v>5</v>
      </c>
    </row>
    <row r="553" spans="1:7" x14ac:dyDescent="0.25">
      <c r="A553" s="6">
        <v>551</v>
      </c>
      <c r="B553" s="6">
        <v>0.1515</v>
      </c>
      <c r="C553" s="6">
        <v>0.69</v>
      </c>
      <c r="D553" s="6">
        <v>0.22389999999999999</v>
      </c>
      <c r="E553" s="6">
        <v>0</v>
      </c>
      <c r="F553" s="6">
        <v>2</v>
      </c>
      <c r="G553" s="6">
        <v>2</v>
      </c>
    </row>
    <row r="554" spans="1:7" x14ac:dyDescent="0.25">
      <c r="A554" s="6">
        <v>552</v>
      </c>
      <c r="B554" s="6">
        <v>0.16669999999999999</v>
      </c>
      <c r="C554" s="6">
        <v>0.74</v>
      </c>
      <c r="D554" s="6">
        <v>0.1045</v>
      </c>
      <c r="E554" s="6">
        <v>0</v>
      </c>
      <c r="F554" s="6">
        <v>1</v>
      </c>
      <c r="G554" s="6">
        <v>1</v>
      </c>
    </row>
    <row r="555" spans="1:7" x14ac:dyDescent="0.25">
      <c r="A555" s="6">
        <v>553</v>
      </c>
      <c r="B555" s="6">
        <v>0.13639999999999999</v>
      </c>
      <c r="C555" s="6">
        <v>0.74</v>
      </c>
      <c r="D555" s="6">
        <v>0.22389999999999999</v>
      </c>
      <c r="E555" s="6">
        <v>0</v>
      </c>
      <c r="F555" s="6">
        <v>9</v>
      </c>
      <c r="G555" s="6">
        <v>9</v>
      </c>
    </row>
    <row r="556" spans="1:7" x14ac:dyDescent="0.25">
      <c r="A556" s="6">
        <v>554</v>
      </c>
      <c r="B556" s="6">
        <v>0.18179999999999999</v>
      </c>
      <c r="C556" s="6">
        <v>0.74</v>
      </c>
      <c r="D556" s="6">
        <v>0.1045</v>
      </c>
      <c r="E556" s="6">
        <v>1</v>
      </c>
      <c r="F556" s="6">
        <v>35</v>
      </c>
      <c r="G556" s="6">
        <v>36</v>
      </c>
    </row>
    <row r="557" spans="1:7" x14ac:dyDescent="0.25">
      <c r="A557" s="6">
        <v>555</v>
      </c>
      <c r="B557" s="6">
        <v>0.1515</v>
      </c>
      <c r="C557" s="6">
        <v>0.74</v>
      </c>
      <c r="D557" s="6">
        <v>0.22389999999999999</v>
      </c>
      <c r="E557" s="6">
        <v>5</v>
      </c>
      <c r="F557" s="6">
        <v>103</v>
      </c>
      <c r="G557" s="6">
        <v>108</v>
      </c>
    </row>
    <row r="558" spans="1:7" x14ac:dyDescent="0.25">
      <c r="A558" s="6">
        <v>556</v>
      </c>
      <c r="B558" s="6">
        <v>0.18179999999999999</v>
      </c>
      <c r="C558" s="6">
        <v>0.74</v>
      </c>
      <c r="D558" s="6">
        <v>0.1343</v>
      </c>
      <c r="E558" s="6">
        <v>5</v>
      </c>
      <c r="F558" s="6">
        <v>233</v>
      </c>
      <c r="G558" s="6">
        <v>238</v>
      </c>
    </row>
    <row r="559" spans="1:7" x14ac:dyDescent="0.25">
      <c r="A559" s="6">
        <v>557</v>
      </c>
      <c r="B559" s="6">
        <v>0.2273</v>
      </c>
      <c r="C559" s="6">
        <v>0.64</v>
      </c>
      <c r="D559" s="6">
        <v>8.9599999999999999E-2</v>
      </c>
      <c r="E559" s="6">
        <v>10</v>
      </c>
      <c r="F559" s="6">
        <v>134</v>
      </c>
      <c r="G559" s="6">
        <v>144</v>
      </c>
    </row>
    <row r="560" spans="1:7" x14ac:dyDescent="0.25">
      <c r="A560" s="6">
        <v>558</v>
      </c>
      <c r="B560" s="6">
        <v>0.2424</v>
      </c>
      <c r="C560" s="6">
        <v>0.6</v>
      </c>
      <c r="D560" s="6">
        <v>0.1045</v>
      </c>
      <c r="E560" s="6">
        <v>6</v>
      </c>
      <c r="F560" s="6">
        <v>49</v>
      </c>
      <c r="G560" s="6">
        <v>55</v>
      </c>
    </row>
    <row r="561" spans="1:7" x14ac:dyDescent="0.25">
      <c r="A561" s="6">
        <v>559</v>
      </c>
      <c r="B561" s="6">
        <v>0.2424</v>
      </c>
      <c r="C561" s="6">
        <v>0.6</v>
      </c>
      <c r="D561" s="6">
        <v>0.1343</v>
      </c>
      <c r="E561" s="6">
        <v>6</v>
      </c>
      <c r="F561" s="6">
        <v>55</v>
      </c>
      <c r="G561" s="6">
        <v>61</v>
      </c>
    </row>
    <row r="562" spans="1:7" x14ac:dyDescent="0.25">
      <c r="A562" s="6">
        <v>560</v>
      </c>
      <c r="B562" s="6">
        <v>0.28789999999999999</v>
      </c>
      <c r="C562" s="6">
        <v>0.56000000000000005</v>
      </c>
      <c r="D562" s="6">
        <v>8.9599999999999999E-2</v>
      </c>
      <c r="E562" s="6">
        <v>21</v>
      </c>
      <c r="F562" s="6">
        <v>85</v>
      </c>
      <c r="G562" s="6">
        <v>106</v>
      </c>
    </row>
    <row r="563" spans="1:7" x14ac:dyDescent="0.25">
      <c r="A563" s="6">
        <v>561</v>
      </c>
      <c r="B563" s="6">
        <v>0.2727</v>
      </c>
      <c r="C563" s="6">
        <v>0.56000000000000005</v>
      </c>
      <c r="D563" s="6">
        <v>0.1343</v>
      </c>
      <c r="E563" s="6">
        <v>21</v>
      </c>
      <c r="F563" s="6">
        <v>72</v>
      </c>
      <c r="G563" s="6">
        <v>93</v>
      </c>
    </row>
    <row r="564" spans="1:7" x14ac:dyDescent="0.25">
      <c r="A564" s="6">
        <v>562</v>
      </c>
      <c r="B564" s="6">
        <v>0.33329999999999999</v>
      </c>
      <c r="C564" s="6">
        <v>0.45</v>
      </c>
      <c r="D564" s="6">
        <v>0</v>
      </c>
      <c r="E564" s="6">
        <v>11</v>
      </c>
      <c r="F564" s="6">
        <v>57</v>
      </c>
      <c r="G564" s="6">
        <v>68</v>
      </c>
    </row>
    <row r="565" spans="1:7" x14ac:dyDescent="0.25">
      <c r="A565" s="6">
        <v>563</v>
      </c>
      <c r="B565" s="6">
        <v>0.34849999999999998</v>
      </c>
      <c r="C565" s="6">
        <v>0.42</v>
      </c>
      <c r="D565" s="6">
        <v>0</v>
      </c>
      <c r="E565" s="6">
        <v>21</v>
      </c>
      <c r="F565" s="6">
        <v>63</v>
      </c>
      <c r="G565" s="6">
        <v>84</v>
      </c>
    </row>
    <row r="566" spans="1:7" x14ac:dyDescent="0.25">
      <c r="A566" s="6">
        <v>564</v>
      </c>
      <c r="B566" s="6">
        <v>0.34849999999999998</v>
      </c>
      <c r="C566" s="6">
        <v>0.42</v>
      </c>
      <c r="D566" s="6">
        <v>0</v>
      </c>
      <c r="E566" s="6">
        <v>14</v>
      </c>
      <c r="F566" s="6">
        <v>102</v>
      </c>
      <c r="G566" s="6">
        <v>116</v>
      </c>
    </row>
    <row r="567" spans="1:7" x14ac:dyDescent="0.25">
      <c r="A567" s="6">
        <v>565</v>
      </c>
      <c r="B567" s="6">
        <v>0.33329999999999999</v>
      </c>
      <c r="C567" s="6">
        <v>0.45</v>
      </c>
      <c r="D567" s="6">
        <v>0</v>
      </c>
      <c r="E567" s="6">
        <v>14</v>
      </c>
      <c r="F567" s="6">
        <v>208</v>
      </c>
      <c r="G567" s="6">
        <v>222</v>
      </c>
    </row>
    <row r="568" spans="1:7" x14ac:dyDescent="0.25">
      <c r="A568" s="6">
        <v>566</v>
      </c>
      <c r="B568" s="6">
        <v>0.31819999999999998</v>
      </c>
      <c r="C568" s="6">
        <v>0.49</v>
      </c>
      <c r="D568" s="6">
        <v>8.9599999999999999E-2</v>
      </c>
      <c r="E568" s="6">
        <v>7</v>
      </c>
      <c r="F568" s="6">
        <v>218</v>
      </c>
      <c r="G568" s="6">
        <v>225</v>
      </c>
    </row>
    <row r="569" spans="1:7" x14ac:dyDescent="0.25">
      <c r="A569" s="6">
        <v>567</v>
      </c>
      <c r="B569" s="6">
        <v>0.2576</v>
      </c>
      <c r="C569" s="6">
        <v>0.65</v>
      </c>
      <c r="D569" s="6">
        <v>0.16420000000000001</v>
      </c>
      <c r="E569" s="6">
        <v>13</v>
      </c>
      <c r="F569" s="6">
        <v>133</v>
      </c>
      <c r="G569" s="6">
        <v>146</v>
      </c>
    </row>
    <row r="570" spans="1:7" x14ac:dyDescent="0.25">
      <c r="A570" s="6">
        <v>568</v>
      </c>
      <c r="B570" s="6">
        <v>0.2273</v>
      </c>
      <c r="C570" s="6">
        <v>0.65</v>
      </c>
      <c r="D570" s="6">
        <v>0.19400000000000001</v>
      </c>
      <c r="E570" s="6">
        <v>16</v>
      </c>
      <c r="F570" s="6">
        <v>103</v>
      </c>
      <c r="G570" s="6">
        <v>119</v>
      </c>
    </row>
    <row r="571" spans="1:7" x14ac:dyDescent="0.25">
      <c r="A571" s="6">
        <v>569</v>
      </c>
      <c r="B571" s="6">
        <v>0.2273</v>
      </c>
      <c r="C571" s="6">
        <v>0.65</v>
      </c>
      <c r="D571" s="6">
        <v>0.19400000000000001</v>
      </c>
      <c r="E571" s="6">
        <v>5</v>
      </c>
      <c r="F571" s="6">
        <v>40</v>
      </c>
      <c r="G571" s="6">
        <v>45</v>
      </c>
    </row>
    <row r="572" spans="1:7" x14ac:dyDescent="0.25">
      <c r="A572" s="6">
        <v>570</v>
      </c>
      <c r="B572" s="6">
        <v>0.2273</v>
      </c>
      <c r="C572" s="6">
        <v>0.64</v>
      </c>
      <c r="D572" s="6">
        <v>0.16420000000000001</v>
      </c>
      <c r="E572" s="6">
        <v>4</v>
      </c>
      <c r="F572" s="6">
        <v>49</v>
      </c>
      <c r="G572" s="6">
        <v>53</v>
      </c>
    </row>
    <row r="573" spans="1:7" x14ac:dyDescent="0.25">
      <c r="A573" s="6">
        <v>571</v>
      </c>
      <c r="B573" s="6">
        <v>0.2273</v>
      </c>
      <c r="C573" s="6">
        <v>0.64</v>
      </c>
      <c r="D573" s="6">
        <v>0.16420000000000001</v>
      </c>
      <c r="E573" s="6">
        <v>3</v>
      </c>
      <c r="F573" s="6">
        <v>37</v>
      </c>
      <c r="G573" s="6">
        <v>40</v>
      </c>
    </row>
    <row r="574" spans="1:7" x14ac:dyDescent="0.25">
      <c r="A574" s="6">
        <v>572</v>
      </c>
      <c r="B574" s="6">
        <v>0.2273</v>
      </c>
      <c r="C574" s="6">
        <v>0.69</v>
      </c>
      <c r="D574" s="6">
        <v>0.1343</v>
      </c>
      <c r="E574" s="6">
        <v>3</v>
      </c>
      <c r="F574" s="6">
        <v>14</v>
      </c>
      <c r="G574" s="6">
        <v>17</v>
      </c>
    </row>
    <row r="575" spans="1:7" x14ac:dyDescent="0.25">
      <c r="A575" s="6">
        <v>573</v>
      </c>
      <c r="B575" s="6">
        <v>0.2424</v>
      </c>
      <c r="C575" s="6">
        <v>0.65</v>
      </c>
      <c r="D575" s="6">
        <v>0.1343</v>
      </c>
      <c r="E575" s="6">
        <v>0</v>
      </c>
      <c r="F575" s="6">
        <v>5</v>
      </c>
      <c r="G575" s="6">
        <v>5</v>
      </c>
    </row>
    <row r="576" spans="1:7" x14ac:dyDescent="0.25">
      <c r="A576" s="6">
        <v>574</v>
      </c>
      <c r="B576" s="6">
        <v>0.2273</v>
      </c>
      <c r="C576" s="6">
        <v>0.69</v>
      </c>
      <c r="D576" s="6">
        <v>0.19400000000000001</v>
      </c>
      <c r="E576" s="6">
        <v>3</v>
      </c>
      <c r="F576" s="6">
        <v>7</v>
      </c>
      <c r="G576" s="6">
        <v>10</v>
      </c>
    </row>
    <row r="577" spans="1:7" x14ac:dyDescent="0.25">
      <c r="A577" s="6">
        <v>575</v>
      </c>
      <c r="B577" s="6">
        <v>0.18179999999999999</v>
      </c>
      <c r="C577" s="6">
        <v>0.86</v>
      </c>
      <c r="D577" s="6">
        <v>0.28360000000000002</v>
      </c>
      <c r="E577" s="6">
        <v>0</v>
      </c>
      <c r="F577" s="6">
        <v>1</v>
      </c>
      <c r="G577" s="6">
        <v>1</v>
      </c>
    </row>
    <row r="578" spans="1:7" x14ac:dyDescent="0.25">
      <c r="A578" s="6">
        <v>576</v>
      </c>
      <c r="B578" s="6">
        <v>0.18179999999999999</v>
      </c>
      <c r="C578" s="6">
        <v>0.86</v>
      </c>
      <c r="D578" s="6">
        <v>0.28360000000000002</v>
      </c>
      <c r="E578" s="6">
        <v>0</v>
      </c>
      <c r="F578" s="6">
        <v>8</v>
      </c>
      <c r="G578" s="6">
        <v>8</v>
      </c>
    </row>
    <row r="579" spans="1:7" x14ac:dyDescent="0.25">
      <c r="A579" s="6">
        <v>577</v>
      </c>
      <c r="B579" s="6">
        <v>0.21210000000000001</v>
      </c>
      <c r="C579" s="6">
        <v>0.87</v>
      </c>
      <c r="D579" s="6">
        <v>0.29849999999999999</v>
      </c>
      <c r="E579" s="6">
        <v>1</v>
      </c>
      <c r="F579" s="6">
        <v>29</v>
      </c>
      <c r="G579" s="6">
        <v>30</v>
      </c>
    </row>
    <row r="580" spans="1:7" x14ac:dyDescent="0.25">
      <c r="A580" s="6">
        <v>578</v>
      </c>
      <c r="B580" s="6">
        <v>0.21210000000000001</v>
      </c>
      <c r="C580" s="6">
        <v>0.87</v>
      </c>
      <c r="D580" s="6">
        <v>0.29849999999999999</v>
      </c>
      <c r="E580" s="6">
        <v>3</v>
      </c>
      <c r="F580" s="6">
        <v>69</v>
      </c>
      <c r="G580" s="6">
        <v>72</v>
      </c>
    </row>
    <row r="581" spans="1:7" x14ac:dyDescent="0.25">
      <c r="A581" s="6">
        <v>579</v>
      </c>
      <c r="B581" s="6">
        <v>0.21210000000000001</v>
      </c>
      <c r="C581" s="6">
        <v>0.87</v>
      </c>
      <c r="D581" s="6">
        <v>0.29849999999999999</v>
      </c>
      <c r="E581" s="6">
        <v>3</v>
      </c>
      <c r="F581" s="6">
        <v>55</v>
      </c>
      <c r="G581" s="6">
        <v>58</v>
      </c>
    </row>
    <row r="582" spans="1:7" x14ac:dyDescent="0.25">
      <c r="A582" s="6">
        <v>580</v>
      </c>
      <c r="B582" s="6">
        <v>0.21210000000000001</v>
      </c>
      <c r="C582" s="6">
        <v>0.93</v>
      </c>
      <c r="D582" s="6">
        <v>0.28360000000000002</v>
      </c>
      <c r="E582" s="6">
        <v>2</v>
      </c>
      <c r="F582" s="6">
        <v>26</v>
      </c>
      <c r="G582" s="6">
        <v>28</v>
      </c>
    </row>
    <row r="583" spans="1:7" x14ac:dyDescent="0.25">
      <c r="A583" s="6">
        <v>581</v>
      </c>
      <c r="B583" s="6">
        <v>0.19700000000000001</v>
      </c>
      <c r="C583" s="6">
        <v>0.93</v>
      </c>
      <c r="D583" s="6">
        <v>0.32840000000000003</v>
      </c>
      <c r="E583" s="6">
        <v>6</v>
      </c>
      <c r="F583" s="6">
        <v>35</v>
      </c>
      <c r="G583" s="6">
        <v>41</v>
      </c>
    </row>
    <row r="584" spans="1:7" x14ac:dyDescent="0.25">
      <c r="A584" s="6">
        <v>582</v>
      </c>
      <c r="B584" s="6">
        <v>0.19700000000000001</v>
      </c>
      <c r="C584" s="6">
        <v>0.93</v>
      </c>
      <c r="D584" s="6">
        <v>0.32840000000000003</v>
      </c>
      <c r="E584" s="6">
        <v>7</v>
      </c>
      <c r="F584" s="6">
        <v>41</v>
      </c>
      <c r="G584" s="6">
        <v>48</v>
      </c>
    </row>
    <row r="585" spans="1:7" x14ac:dyDescent="0.25">
      <c r="A585" s="6">
        <v>583</v>
      </c>
      <c r="B585" s="6">
        <v>0.19700000000000001</v>
      </c>
      <c r="C585" s="6">
        <v>0.93</v>
      </c>
      <c r="D585" s="6">
        <v>0.32840000000000003</v>
      </c>
      <c r="E585" s="6">
        <v>4</v>
      </c>
      <c r="F585" s="6">
        <v>43</v>
      </c>
      <c r="G585" s="6">
        <v>47</v>
      </c>
    </row>
    <row r="586" spans="1:7" x14ac:dyDescent="0.25">
      <c r="A586" s="6">
        <v>584</v>
      </c>
      <c r="B586" s="6">
        <v>0.19700000000000001</v>
      </c>
      <c r="C586" s="6">
        <v>0.93</v>
      </c>
      <c r="D586" s="6">
        <v>0.35820000000000002</v>
      </c>
      <c r="E586" s="6">
        <v>0</v>
      </c>
      <c r="F586" s="6">
        <v>36</v>
      </c>
      <c r="G586" s="6">
        <v>36</v>
      </c>
    </row>
    <row r="587" spans="1:7" x14ac:dyDescent="0.25">
      <c r="A587" s="6">
        <v>585</v>
      </c>
      <c r="B587" s="6">
        <v>0.18179999999999999</v>
      </c>
      <c r="C587" s="6">
        <v>0.93</v>
      </c>
      <c r="D587" s="6">
        <v>0.4627</v>
      </c>
      <c r="E587" s="6">
        <v>1</v>
      </c>
      <c r="F587" s="6">
        <v>42</v>
      </c>
      <c r="G587" s="6">
        <v>43</v>
      </c>
    </row>
    <row r="588" spans="1:7" x14ac:dyDescent="0.25">
      <c r="A588" s="6">
        <v>586</v>
      </c>
      <c r="B588" s="6">
        <v>0.19700000000000001</v>
      </c>
      <c r="C588" s="6">
        <v>0.93</v>
      </c>
      <c r="D588" s="6">
        <v>0.32840000000000003</v>
      </c>
      <c r="E588" s="6">
        <v>1</v>
      </c>
      <c r="F588" s="6">
        <v>35</v>
      </c>
      <c r="G588" s="6">
        <v>36</v>
      </c>
    </row>
    <row r="589" spans="1:7" x14ac:dyDescent="0.25">
      <c r="A589" s="6">
        <v>587</v>
      </c>
      <c r="B589" s="6">
        <v>0.18179999999999999</v>
      </c>
      <c r="C589" s="6">
        <v>0.93</v>
      </c>
      <c r="D589" s="6">
        <v>0.35820000000000002</v>
      </c>
      <c r="E589" s="6">
        <v>0</v>
      </c>
      <c r="F589" s="6">
        <v>26</v>
      </c>
      <c r="G589" s="6">
        <v>26</v>
      </c>
    </row>
    <row r="590" spans="1:7" x14ac:dyDescent="0.25">
      <c r="A590" s="6">
        <v>588</v>
      </c>
      <c r="B590" s="6">
        <v>0.2273</v>
      </c>
      <c r="C590" s="6">
        <v>0.55000000000000004</v>
      </c>
      <c r="D590" s="6">
        <v>0.19400000000000001</v>
      </c>
      <c r="E590" s="6">
        <v>1</v>
      </c>
      <c r="F590" s="6">
        <v>23</v>
      </c>
      <c r="G590" s="6">
        <v>24</v>
      </c>
    </row>
    <row r="591" spans="1:7" x14ac:dyDescent="0.25">
      <c r="A591" s="6">
        <v>589</v>
      </c>
      <c r="B591" s="6">
        <v>0.2424</v>
      </c>
      <c r="C591" s="6">
        <v>0.55000000000000004</v>
      </c>
      <c r="D591" s="6">
        <v>0.1045</v>
      </c>
      <c r="E591" s="6">
        <v>2</v>
      </c>
      <c r="F591" s="6">
        <v>82</v>
      </c>
      <c r="G591" s="6">
        <v>84</v>
      </c>
    </row>
    <row r="592" spans="1:7" x14ac:dyDescent="0.25">
      <c r="A592" s="6">
        <v>590</v>
      </c>
      <c r="B592" s="6">
        <v>0.2273</v>
      </c>
      <c r="C592" s="6">
        <v>0.69</v>
      </c>
      <c r="D592" s="6">
        <v>8.9599999999999999E-2</v>
      </c>
      <c r="E592" s="6">
        <v>3</v>
      </c>
      <c r="F592" s="6">
        <v>101</v>
      </c>
      <c r="G592" s="6">
        <v>104</v>
      </c>
    </row>
    <row r="593" spans="1:7" x14ac:dyDescent="0.25">
      <c r="A593" s="6">
        <v>591</v>
      </c>
      <c r="B593" s="6">
        <v>0.2273</v>
      </c>
      <c r="C593" s="6">
        <v>0.69</v>
      </c>
      <c r="D593" s="6">
        <v>8.9599999999999999E-2</v>
      </c>
      <c r="E593" s="6">
        <v>3</v>
      </c>
      <c r="F593" s="6">
        <v>76</v>
      </c>
      <c r="G593" s="6">
        <v>79</v>
      </c>
    </row>
    <row r="594" spans="1:7" x14ac:dyDescent="0.25">
      <c r="A594" s="6">
        <v>592</v>
      </c>
      <c r="B594" s="6">
        <v>0.21210000000000001</v>
      </c>
      <c r="C594" s="6">
        <v>0.74</v>
      </c>
      <c r="D594" s="6">
        <v>8.9599999999999999E-2</v>
      </c>
      <c r="E594" s="6">
        <v>4</v>
      </c>
      <c r="F594" s="6">
        <v>55</v>
      </c>
      <c r="G594" s="6">
        <v>59</v>
      </c>
    </row>
    <row r="595" spans="1:7" x14ac:dyDescent="0.25">
      <c r="A595" s="6">
        <v>593</v>
      </c>
      <c r="B595" s="6">
        <v>0.21210000000000001</v>
      </c>
      <c r="C595" s="6">
        <v>0.74</v>
      </c>
      <c r="D595" s="6">
        <v>8.9599999999999999E-2</v>
      </c>
      <c r="E595" s="6">
        <v>2</v>
      </c>
      <c r="F595" s="6">
        <v>36</v>
      </c>
      <c r="G595" s="6">
        <v>38</v>
      </c>
    </row>
    <row r="596" spans="1:7" x14ac:dyDescent="0.25">
      <c r="A596" s="6">
        <v>594</v>
      </c>
      <c r="B596" s="6">
        <v>0.21210000000000001</v>
      </c>
      <c r="C596" s="6">
        <v>0.74</v>
      </c>
      <c r="D596" s="6">
        <v>8.9599999999999999E-2</v>
      </c>
      <c r="E596" s="6">
        <v>0</v>
      </c>
      <c r="F596" s="6">
        <v>27</v>
      </c>
      <c r="G596" s="6">
        <v>27</v>
      </c>
    </row>
    <row r="597" spans="1:7" x14ac:dyDescent="0.25">
      <c r="A597" s="6">
        <v>595</v>
      </c>
      <c r="B597" s="6">
        <v>0.19700000000000001</v>
      </c>
      <c r="C597" s="6">
        <v>0.8</v>
      </c>
      <c r="D597" s="6">
        <v>0.16420000000000001</v>
      </c>
      <c r="E597" s="6">
        <v>0</v>
      </c>
      <c r="F597" s="6">
        <v>16</v>
      </c>
      <c r="G597" s="6">
        <v>16</v>
      </c>
    </row>
    <row r="598" spans="1:7" x14ac:dyDescent="0.25">
      <c r="A598" s="6">
        <v>596</v>
      </c>
      <c r="B598" s="6">
        <v>0.21210000000000001</v>
      </c>
      <c r="C598" s="6">
        <v>0.75</v>
      </c>
      <c r="D598" s="6">
        <v>0.1343</v>
      </c>
      <c r="E598" s="6">
        <v>0</v>
      </c>
      <c r="F598" s="6">
        <v>9</v>
      </c>
      <c r="G598" s="6">
        <v>9</v>
      </c>
    </row>
    <row r="599" spans="1:7" x14ac:dyDescent="0.25">
      <c r="A599" s="6">
        <v>597</v>
      </c>
      <c r="B599" s="6">
        <v>0.21210000000000001</v>
      </c>
      <c r="C599" s="6">
        <v>0.75</v>
      </c>
      <c r="D599" s="6">
        <v>0.1343</v>
      </c>
      <c r="E599" s="6">
        <v>1</v>
      </c>
      <c r="F599" s="6">
        <v>2</v>
      </c>
      <c r="G599" s="6">
        <v>3</v>
      </c>
    </row>
    <row r="600" spans="1:7" x14ac:dyDescent="0.25">
      <c r="A600" s="6">
        <v>598</v>
      </c>
      <c r="B600" s="6">
        <v>0.21210000000000001</v>
      </c>
      <c r="C600" s="6">
        <v>0.75</v>
      </c>
      <c r="D600" s="6">
        <v>0.16420000000000001</v>
      </c>
      <c r="E600" s="6">
        <v>0</v>
      </c>
      <c r="F600" s="6">
        <v>2</v>
      </c>
      <c r="G600" s="6">
        <v>2</v>
      </c>
    </row>
    <row r="601" spans="1:7" x14ac:dyDescent="0.25">
      <c r="A601" s="6">
        <v>599</v>
      </c>
      <c r="B601" s="6">
        <v>0.2273</v>
      </c>
      <c r="C601" s="6">
        <v>0.75</v>
      </c>
      <c r="D601" s="6">
        <v>0.1045</v>
      </c>
      <c r="E601" s="6">
        <v>1</v>
      </c>
      <c r="F601" s="6">
        <v>0</v>
      </c>
      <c r="G601" s="6">
        <v>1</v>
      </c>
    </row>
    <row r="602" spans="1:7" x14ac:dyDescent="0.25">
      <c r="A602" s="6">
        <v>600</v>
      </c>
      <c r="B602" s="6">
        <v>0.21210000000000001</v>
      </c>
      <c r="C602" s="6">
        <v>0.8</v>
      </c>
      <c r="D602" s="6">
        <v>0.1045</v>
      </c>
      <c r="E602" s="6">
        <v>0</v>
      </c>
      <c r="F602" s="6">
        <v>4</v>
      </c>
      <c r="G602" s="6">
        <v>4</v>
      </c>
    </row>
    <row r="603" spans="1:7" x14ac:dyDescent="0.25">
      <c r="A603" s="6">
        <v>601</v>
      </c>
      <c r="B603" s="6">
        <v>0.19700000000000001</v>
      </c>
      <c r="C603" s="6">
        <v>0.8</v>
      </c>
      <c r="D603" s="6">
        <v>0.1343</v>
      </c>
      <c r="E603" s="6">
        <v>0</v>
      </c>
      <c r="F603" s="6">
        <v>16</v>
      </c>
      <c r="G603" s="6">
        <v>16</v>
      </c>
    </row>
    <row r="604" spans="1:7" x14ac:dyDescent="0.25">
      <c r="A604" s="6">
        <v>602</v>
      </c>
      <c r="B604" s="6">
        <v>0.19700000000000001</v>
      </c>
      <c r="C604" s="6">
        <v>0.86</v>
      </c>
      <c r="D604" s="6">
        <v>8.9599999999999999E-2</v>
      </c>
      <c r="E604" s="6">
        <v>2</v>
      </c>
      <c r="F604" s="6">
        <v>58</v>
      </c>
      <c r="G604" s="6">
        <v>60</v>
      </c>
    </row>
    <row r="605" spans="1:7" x14ac:dyDescent="0.25">
      <c r="A605" s="6">
        <v>603</v>
      </c>
      <c r="B605" s="6">
        <v>0.19700000000000001</v>
      </c>
      <c r="C605" s="6">
        <v>0.86</v>
      </c>
      <c r="D605" s="6">
        <v>8.9599999999999999E-2</v>
      </c>
      <c r="E605" s="6">
        <v>2</v>
      </c>
      <c r="F605" s="6">
        <v>155</v>
      </c>
      <c r="G605" s="6">
        <v>157</v>
      </c>
    </row>
    <row r="606" spans="1:7" x14ac:dyDescent="0.25">
      <c r="A606" s="6">
        <v>604</v>
      </c>
      <c r="B606" s="6">
        <v>0.21210000000000001</v>
      </c>
      <c r="C606" s="6">
        <v>0.86</v>
      </c>
      <c r="D606" s="6">
        <v>8.9599999999999999E-2</v>
      </c>
      <c r="E606" s="6">
        <v>6</v>
      </c>
      <c r="F606" s="6">
        <v>95</v>
      </c>
      <c r="G606" s="6">
        <v>101</v>
      </c>
    </row>
    <row r="607" spans="1:7" x14ac:dyDescent="0.25">
      <c r="A607" s="6">
        <v>605</v>
      </c>
      <c r="B607" s="6">
        <v>0.21210000000000001</v>
      </c>
      <c r="C607" s="6">
        <v>0.86</v>
      </c>
      <c r="D607" s="6">
        <v>0.1045</v>
      </c>
      <c r="E607" s="6">
        <v>0</v>
      </c>
      <c r="F607" s="6">
        <v>49</v>
      </c>
      <c r="G607" s="6">
        <v>49</v>
      </c>
    </row>
    <row r="608" spans="1:7" x14ac:dyDescent="0.25">
      <c r="A608" s="6">
        <v>606</v>
      </c>
      <c r="B608" s="6">
        <v>0.21210000000000001</v>
      </c>
      <c r="C608" s="6">
        <v>0.93</v>
      </c>
      <c r="D608" s="6">
        <v>0.1045</v>
      </c>
      <c r="E608" s="6">
        <v>0</v>
      </c>
      <c r="F608" s="6">
        <v>30</v>
      </c>
      <c r="G608" s="6">
        <v>30</v>
      </c>
    </row>
    <row r="609" spans="1:7" x14ac:dyDescent="0.25">
      <c r="A609" s="6">
        <v>607</v>
      </c>
      <c r="B609" s="6">
        <v>0.21210000000000001</v>
      </c>
      <c r="C609" s="6">
        <v>0.93</v>
      </c>
      <c r="D609" s="6">
        <v>0.1045</v>
      </c>
      <c r="E609" s="6">
        <v>1</v>
      </c>
      <c r="F609" s="6">
        <v>28</v>
      </c>
      <c r="G609" s="6">
        <v>29</v>
      </c>
    </row>
    <row r="610" spans="1:7" x14ac:dyDescent="0.25">
      <c r="A610" s="6">
        <v>608</v>
      </c>
      <c r="B610" s="6">
        <v>0.21210000000000001</v>
      </c>
      <c r="C610" s="6">
        <v>0.93</v>
      </c>
      <c r="D610" s="6">
        <v>0.1045</v>
      </c>
      <c r="E610" s="6">
        <v>0</v>
      </c>
      <c r="F610" s="6">
        <v>31</v>
      </c>
      <c r="G610" s="6">
        <v>31</v>
      </c>
    </row>
    <row r="611" spans="1:7" x14ac:dyDescent="0.25">
      <c r="A611" s="6">
        <v>609</v>
      </c>
      <c r="B611" s="6">
        <v>0.2727</v>
      </c>
      <c r="C611" s="6">
        <v>0.8</v>
      </c>
      <c r="D611" s="6">
        <v>0</v>
      </c>
      <c r="E611" s="6">
        <v>2</v>
      </c>
      <c r="F611" s="6">
        <v>36</v>
      </c>
      <c r="G611" s="6">
        <v>38</v>
      </c>
    </row>
    <row r="612" spans="1:7" x14ac:dyDescent="0.25">
      <c r="A612" s="6">
        <v>610</v>
      </c>
      <c r="B612" s="6">
        <v>0.2576</v>
      </c>
      <c r="C612" s="6">
        <v>0.86</v>
      </c>
      <c r="D612" s="6">
        <v>0</v>
      </c>
      <c r="E612" s="6">
        <v>1</v>
      </c>
      <c r="F612" s="6">
        <v>40</v>
      </c>
      <c r="G612" s="6">
        <v>41</v>
      </c>
    </row>
    <row r="613" spans="1:7" x14ac:dyDescent="0.25">
      <c r="A613" s="6"/>
      <c r="B613" s="6"/>
      <c r="C613" s="6"/>
      <c r="D613" s="6"/>
      <c r="E613" s="6"/>
      <c r="F613" s="6"/>
      <c r="G613" s="6"/>
    </row>
    <row r="614" spans="1:7" x14ac:dyDescent="0.25">
      <c r="A614" s="6"/>
      <c r="B614" s="6"/>
      <c r="C614" s="6"/>
      <c r="D614" s="6"/>
      <c r="E614" s="6"/>
      <c r="F614" s="6"/>
      <c r="G614" s="6"/>
    </row>
    <row r="615" spans="1:7" x14ac:dyDescent="0.25">
      <c r="A615" s="6"/>
      <c r="B615" s="6"/>
      <c r="C615" s="6"/>
      <c r="D615" s="6"/>
      <c r="E615" s="6"/>
      <c r="F615" s="6"/>
      <c r="G615" s="6"/>
    </row>
    <row r="616" spans="1:7" x14ac:dyDescent="0.25">
      <c r="A616" s="6"/>
      <c r="B616" s="6"/>
      <c r="C616" s="6"/>
      <c r="D616" s="6"/>
      <c r="E616" s="6"/>
      <c r="F616" s="6"/>
      <c r="G616" s="6"/>
    </row>
    <row r="617" spans="1:7" x14ac:dyDescent="0.25">
      <c r="A617" s="6"/>
      <c r="B617" s="6"/>
      <c r="C617" s="6"/>
      <c r="D617" s="6"/>
      <c r="E617" s="6"/>
      <c r="F617" s="6"/>
      <c r="G617" s="6"/>
    </row>
    <row r="618" spans="1:7" x14ac:dyDescent="0.25">
      <c r="A618" s="6"/>
      <c r="B618" s="6"/>
      <c r="C618" s="6"/>
      <c r="D618" s="6"/>
      <c r="E618" s="6"/>
      <c r="F618" s="6"/>
      <c r="G618" s="6"/>
    </row>
    <row r="619" spans="1:7" x14ac:dyDescent="0.25">
      <c r="A619" s="6"/>
      <c r="B619" s="6"/>
      <c r="C619" s="6"/>
      <c r="D619" s="6"/>
      <c r="E619" s="6"/>
      <c r="F619" s="6"/>
      <c r="G619" s="6"/>
    </row>
    <row r="620" spans="1:7" x14ac:dyDescent="0.25">
      <c r="A620" s="6"/>
      <c r="B620" s="6"/>
      <c r="C620" s="6"/>
      <c r="D620" s="6"/>
      <c r="E620" s="6"/>
      <c r="F620" s="6"/>
      <c r="G620" s="6"/>
    </row>
    <row r="621" spans="1:7" x14ac:dyDescent="0.25">
      <c r="A621" s="6"/>
      <c r="B621" s="6"/>
      <c r="C621" s="6"/>
      <c r="D621" s="6"/>
      <c r="E621" s="6"/>
      <c r="F621" s="6"/>
      <c r="G621" s="6"/>
    </row>
    <row r="622" spans="1:7" x14ac:dyDescent="0.25">
      <c r="A622" s="6"/>
      <c r="B622" s="6"/>
      <c r="C622" s="6"/>
      <c r="D622" s="6"/>
      <c r="E622" s="6"/>
      <c r="F622" s="6"/>
      <c r="G622" s="6"/>
    </row>
    <row r="623" spans="1:7" x14ac:dyDescent="0.25">
      <c r="A623" s="6"/>
      <c r="B623" s="6"/>
      <c r="C623" s="6"/>
      <c r="D623" s="6"/>
      <c r="E623" s="6"/>
      <c r="F623" s="6"/>
      <c r="G623" s="6"/>
    </row>
    <row r="624" spans="1:7" x14ac:dyDescent="0.25">
      <c r="A624" s="6"/>
      <c r="B624" s="6"/>
      <c r="C624" s="6"/>
      <c r="D624" s="6"/>
      <c r="E624" s="6"/>
      <c r="F624" s="6"/>
      <c r="G624" s="6"/>
    </row>
    <row r="625" spans="1:7" x14ac:dyDescent="0.25">
      <c r="A625" s="6"/>
      <c r="B625" s="6"/>
      <c r="C625" s="6"/>
      <c r="D625" s="6"/>
      <c r="E625" s="6"/>
      <c r="F625" s="6"/>
      <c r="G625" s="6"/>
    </row>
    <row r="626" spans="1:7" x14ac:dyDescent="0.25">
      <c r="A626" s="6"/>
      <c r="B626" s="6"/>
      <c r="C626" s="6"/>
      <c r="D626" s="6"/>
      <c r="E626" s="6"/>
      <c r="F626" s="6"/>
      <c r="G626" s="6"/>
    </row>
    <row r="627" spans="1:7" x14ac:dyDescent="0.25">
      <c r="A627" s="6"/>
      <c r="B627" s="6"/>
      <c r="C627" s="6"/>
      <c r="D627" s="6"/>
      <c r="E627" s="6"/>
      <c r="F627" s="6"/>
      <c r="G627" s="6"/>
    </row>
    <row r="628" spans="1:7" x14ac:dyDescent="0.25">
      <c r="A628" s="6"/>
      <c r="B628" s="6"/>
      <c r="C628" s="6"/>
      <c r="D628" s="6"/>
      <c r="E628" s="6"/>
      <c r="F628" s="6"/>
      <c r="G628" s="6"/>
    </row>
    <row r="629" spans="1:7" x14ac:dyDescent="0.25">
      <c r="A629" s="6"/>
      <c r="B629" s="6"/>
      <c r="C629" s="6"/>
      <c r="D629" s="6"/>
      <c r="E629" s="6"/>
      <c r="F629" s="6"/>
      <c r="G629" s="6"/>
    </row>
    <row r="630" spans="1:7" x14ac:dyDescent="0.25">
      <c r="A630" s="6"/>
      <c r="B630" s="6"/>
      <c r="C630" s="6"/>
      <c r="D630" s="6"/>
      <c r="E630" s="6"/>
      <c r="F630" s="6"/>
      <c r="G630" s="6"/>
    </row>
    <row r="631" spans="1:7" x14ac:dyDescent="0.25">
      <c r="A631" s="6"/>
      <c r="B631" s="6"/>
      <c r="C631" s="6"/>
      <c r="D631" s="6"/>
      <c r="E631" s="6"/>
      <c r="F631" s="6"/>
      <c r="G631" s="6"/>
    </row>
    <row r="632" spans="1:7" x14ac:dyDescent="0.25">
      <c r="A632" s="6"/>
      <c r="B632" s="6"/>
      <c r="C632" s="6"/>
      <c r="D632" s="6"/>
      <c r="E632" s="6"/>
      <c r="F632" s="6"/>
      <c r="G632" s="6"/>
    </row>
    <row r="633" spans="1:7" x14ac:dyDescent="0.25">
      <c r="A633" s="6"/>
      <c r="B633" s="6"/>
      <c r="C633" s="6"/>
      <c r="D633" s="6"/>
      <c r="E633" s="6"/>
      <c r="F633" s="6"/>
      <c r="G633" s="6"/>
    </row>
    <row r="634" spans="1:7" x14ac:dyDescent="0.25">
      <c r="A634" s="6"/>
      <c r="B634" s="6"/>
      <c r="C634" s="6"/>
      <c r="D634" s="6"/>
      <c r="E634" s="6"/>
      <c r="F634" s="6"/>
      <c r="G634" s="6"/>
    </row>
    <row r="635" spans="1:7" x14ac:dyDescent="0.25">
      <c r="A635" s="6"/>
      <c r="B635" s="6"/>
      <c r="C635" s="6"/>
      <c r="D635" s="6"/>
      <c r="E635" s="6"/>
      <c r="F635" s="6"/>
      <c r="G635" s="6"/>
    </row>
    <row r="636" spans="1:7" x14ac:dyDescent="0.25">
      <c r="A636" s="6"/>
      <c r="B636" s="6"/>
      <c r="C636" s="6"/>
      <c r="D636" s="6"/>
      <c r="E636" s="6"/>
      <c r="F636" s="6"/>
      <c r="G636" s="6"/>
    </row>
    <row r="637" spans="1:7" x14ac:dyDescent="0.25">
      <c r="A637" s="6"/>
      <c r="B637" s="6"/>
      <c r="C637" s="6"/>
      <c r="D637" s="6"/>
      <c r="E637" s="6"/>
      <c r="F637" s="6"/>
      <c r="G637" s="6"/>
    </row>
    <row r="638" spans="1:7" x14ac:dyDescent="0.25">
      <c r="A638" s="6"/>
      <c r="B638" s="6"/>
      <c r="C638" s="6"/>
      <c r="D638" s="6"/>
      <c r="E638" s="6"/>
      <c r="F638" s="6"/>
      <c r="G638" s="6"/>
    </row>
    <row r="639" spans="1:7" x14ac:dyDescent="0.25">
      <c r="A639" s="6"/>
      <c r="B639" s="6"/>
      <c r="C639" s="6"/>
      <c r="D639" s="6"/>
      <c r="E639" s="6"/>
      <c r="F639" s="6"/>
      <c r="G639" s="6"/>
    </row>
    <row r="640" spans="1:7" x14ac:dyDescent="0.25">
      <c r="A640" s="6"/>
      <c r="B640" s="6"/>
      <c r="C640" s="6"/>
      <c r="D640" s="6"/>
      <c r="E640" s="6"/>
      <c r="F640" s="6"/>
      <c r="G640" s="6"/>
    </row>
    <row r="641" spans="1:7" x14ac:dyDescent="0.25">
      <c r="A641" s="6"/>
      <c r="B641" s="6"/>
      <c r="C641" s="6"/>
      <c r="D641" s="6"/>
      <c r="E641" s="6"/>
      <c r="F641" s="6"/>
      <c r="G641" s="6"/>
    </row>
    <row r="642" spans="1:7" x14ac:dyDescent="0.25">
      <c r="A642" s="6"/>
      <c r="B642" s="6"/>
      <c r="C642" s="6"/>
      <c r="D642" s="6"/>
      <c r="E642" s="6"/>
      <c r="F642" s="6"/>
      <c r="G642" s="6"/>
    </row>
    <row r="643" spans="1:7" x14ac:dyDescent="0.25">
      <c r="A643" s="6"/>
      <c r="B643" s="6"/>
      <c r="C643" s="6"/>
      <c r="D643" s="6"/>
      <c r="E643" s="6"/>
      <c r="F643" s="6"/>
      <c r="G643" s="6"/>
    </row>
    <row r="644" spans="1:7" x14ac:dyDescent="0.25">
      <c r="A644" s="6"/>
      <c r="B644" s="6"/>
      <c r="C644" s="6"/>
      <c r="D644" s="6"/>
      <c r="E644" s="6"/>
      <c r="F644" s="6"/>
      <c r="G644" s="6"/>
    </row>
    <row r="645" spans="1:7" x14ac:dyDescent="0.25">
      <c r="A645" s="6"/>
      <c r="B645" s="6"/>
      <c r="C645" s="6"/>
      <c r="D645" s="6"/>
      <c r="E645" s="6"/>
      <c r="F645" s="6"/>
      <c r="G645" s="6"/>
    </row>
    <row r="646" spans="1:7" x14ac:dyDescent="0.25">
      <c r="A646" s="6"/>
      <c r="B646" s="6"/>
      <c r="C646" s="6"/>
      <c r="D646" s="6"/>
      <c r="E646" s="6"/>
      <c r="F646" s="6"/>
      <c r="G646" s="6"/>
    </row>
    <row r="647" spans="1:7" x14ac:dyDescent="0.25">
      <c r="A647" s="6"/>
      <c r="B647" s="6"/>
      <c r="C647" s="6"/>
      <c r="D647" s="6"/>
      <c r="E647" s="6"/>
      <c r="F647" s="6"/>
      <c r="G647" s="6"/>
    </row>
    <row r="648" spans="1:7" x14ac:dyDescent="0.25">
      <c r="A648" s="6"/>
      <c r="B648" s="6"/>
      <c r="C648" s="6"/>
      <c r="D648" s="6"/>
      <c r="E648" s="6"/>
      <c r="F648" s="6"/>
      <c r="G648" s="6"/>
    </row>
    <row r="649" spans="1:7" x14ac:dyDescent="0.25">
      <c r="A649" s="6"/>
      <c r="B649" s="6"/>
      <c r="C649" s="6"/>
      <c r="D649" s="6"/>
      <c r="E649" s="6"/>
      <c r="F649" s="6"/>
      <c r="G649" s="6"/>
    </row>
    <row r="650" spans="1:7" x14ac:dyDescent="0.25">
      <c r="A650" s="6"/>
      <c r="B650" s="6"/>
      <c r="C650" s="6"/>
      <c r="D650" s="6"/>
      <c r="E650" s="6"/>
      <c r="F650" s="6"/>
      <c r="G650" s="6"/>
    </row>
    <row r="651" spans="1:7" x14ac:dyDescent="0.25">
      <c r="A651" s="6"/>
      <c r="B651" s="6"/>
      <c r="C651" s="6"/>
      <c r="D651" s="6"/>
      <c r="E651" s="6"/>
      <c r="F651" s="6"/>
      <c r="G651" s="6"/>
    </row>
    <row r="652" spans="1:7" x14ac:dyDescent="0.25">
      <c r="A652" s="6"/>
      <c r="B652" s="6"/>
      <c r="C652" s="6"/>
      <c r="D652" s="6"/>
      <c r="E652" s="6"/>
      <c r="F652" s="6"/>
      <c r="G652" s="6"/>
    </row>
    <row r="653" spans="1:7" x14ac:dyDescent="0.25">
      <c r="A653" s="6"/>
      <c r="B653" s="6"/>
      <c r="C653" s="6"/>
      <c r="D653" s="6"/>
      <c r="E653" s="6"/>
      <c r="F653" s="6"/>
      <c r="G653" s="6"/>
    </row>
    <row r="654" spans="1:7" x14ac:dyDescent="0.25">
      <c r="A654" s="6"/>
      <c r="B654" s="6"/>
      <c r="C654" s="6"/>
      <c r="D654" s="6"/>
      <c r="E654" s="6"/>
      <c r="F654" s="6"/>
      <c r="G654" s="6"/>
    </row>
    <row r="655" spans="1:7" x14ac:dyDescent="0.25">
      <c r="A655" s="6"/>
      <c r="B655" s="6"/>
      <c r="C655" s="6"/>
      <c r="D655" s="6"/>
      <c r="E655" s="6"/>
      <c r="F655" s="6"/>
      <c r="G655" s="6"/>
    </row>
    <row r="656" spans="1:7" x14ac:dyDescent="0.25">
      <c r="A656" s="6"/>
      <c r="B656" s="6"/>
      <c r="C656" s="6"/>
      <c r="D656" s="6"/>
      <c r="E656" s="6"/>
      <c r="F656" s="6"/>
      <c r="G656" s="6"/>
    </row>
    <row r="657" spans="1:7" x14ac:dyDescent="0.25">
      <c r="A657" s="6"/>
      <c r="B657" s="6"/>
      <c r="C657" s="6"/>
      <c r="D657" s="6"/>
      <c r="E657" s="6"/>
      <c r="F657" s="6"/>
      <c r="G657" s="6"/>
    </row>
    <row r="658" spans="1:7" x14ac:dyDescent="0.25">
      <c r="A658" s="6"/>
      <c r="B658" s="6"/>
      <c r="C658" s="6"/>
      <c r="D658" s="6"/>
      <c r="E658" s="6"/>
      <c r="F658" s="6"/>
      <c r="G658" s="6"/>
    </row>
    <row r="659" spans="1:7" x14ac:dyDescent="0.25">
      <c r="A659" s="6"/>
      <c r="B659" s="6"/>
      <c r="C659" s="6"/>
      <c r="D659" s="6"/>
      <c r="E659" s="6"/>
      <c r="F659" s="6"/>
      <c r="G659" s="6"/>
    </row>
    <row r="660" spans="1:7" x14ac:dyDescent="0.25">
      <c r="A660" s="6"/>
      <c r="B660" s="6"/>
      <c r="C660" s="6"/>
      <c r="D660" s="6"/>
      <c r="E660" s="6"/>
      <c r="F660" s="6"/>
      <c r="G660" s="6"/>
    </row>
    <row r="661" spans="1:7" x14ac:dyDescent="0.25">
      <c r="A661" s="6"/>
      <c r="B661" s="6"/>
      <c r="C661" s="6"/>
      <c r="D661" s="6"/>
      <c r="E661" s="6"/>
      <c r="F661" s="6"/>
      <c r="G661" s="6"/>
    </row>
    <row r="662" spans="1:7" x14ac:dyDescent="0.25">
      <c r="A662" s="6"/>
      <c r="B662" s="6"/>
      <c r="C662" s="6"/>
      <c r="D662" s="6"/>
      <c r="E662" s="6"/>
      <c r="F662" s="6"/>
      <c r="G662" s="6"/>
    </row>
    <row r="663" spans="1:7" x14ac:dyDescent="0.25">
      <c r="A663" s="6"/>
      <c r="B663" s="6"/>
      <c r="C663" s="6"/>
      <c r="D663" s="6"/>
      <c r="E663" s="6"/>
      <c r="F663" s="6"/>
      <c r="G663" s="6"/>
    </row>
    <row r="664" spans="1:7" x14ac:dyDescent="0.25">
      <c r="A664" s="6"/>
      <c r="B664" s="6"/>
      <c r="C664" s="6"/>
      <c r="D664" s="6"/>
      <c r="E664" s="6"/>
      <c r="F664" s="6"/>
      <c r="G664" s="6"/>
    </row>
    <row r="665" spans="1:7" x14ac:dyDescent="0.25">
      <c r="A665" s="6"/>
      <c r="B665" s="6"/>
      <c r="C665" s="6"/>
      <c r="D665" s="6"/>
      <c r="E665" s="6"/>
      <c r="F665" s="6"/>
      <c r="G665" s="6"/>
    </row>
    <row r="666" spans="1:7" x14ac:dyDescent="0.25">
      <c r="A666" s="6"/>
      <c r="B666" s="6"/>
      <c r="C666" s="6"/>
      <c r="D666" s="6"/>
      <c r="E666" s="6"/>
      <c r="F666" s="6"/>
      <c r="G666" s="6"/>
    </row>
    <row r="667" spans="1:7" x14ac:dyDescent="0.25">
      <c r="A667" s="6"/>
      <c r="B667" s="6"/>
      <c r="C667" s="6"/>
      <c r="D667" s="6"/>
      <c r="E667" s="6"/>
      <c r="F667" s="6"/>
      <c r="G667" s="6"/>
    </row>
    <row r="668" spans="1:7" x14ac:dyDescent="0.25">
      <c r="A668" s="6"/>
      <c r="B668" s="6"/>
      <c r="C668" s="6"/>
      <c r="D668" s="6"/>
      <c r="E668" s="6"/>
      <c r="F668" s="6"/>
      <c r="G668" s="6"/>
    </row>
    <row r="669" spans="1:7" x14ac:dyDescent="0.25">
      <c r="A669" s="6"/>
      <c r="B669" s="6"/>
      <c r="C669" s="6"/>
      <c r="D669" s="6"/>
      <c r="E669" s="6"/>
      <c r="F669" s="6"/>
      <c r="G669" s="6"/>
    </row>
    <row r="670" spans="1:7" x14ac:dyDescent="0.25">
      <c r="A670" s="6"/>
      <c r="B670" s="6"/>
      <c r="C670" s="6"/>
      <c r="D670" s="6"/>
      <c r="E670" s="6"/>
      <c r="F670" s="6"/>
      <c r="G670" s="6"/>
    </row>
    <row r="671" spans="1:7" x14ac:dyDescent="0.25">
      <c r="A671" s="6"/>
      <c r="B671" s="6"/>
      <c r="C671" s="6"/>
      <c r="D671" s="6"/>
      <c r="E671" s="6"/>
      <c r="F671" s="6"/>
      <c r="G671" s="6"/>
    </row>
    <row r="672" spans="1:7" x14ac:dyDescent="0.25">
      <c r="A672" s="6"/>
      <c r="B672" s="6"/>
      <c r="C672" s="6"/>
      <c r="D672" s="6"/>
      <c r="E672" s="6"/>
      <c r="F672" s="6"/>
      <c r="G672" s="6"/>
    </row>
    <row r="673" spans="1:7" x14ac:dyDescent="0.25">
      <c r="A673" s="6"/>
      <c r="B673" s="6"/>
      <c r="C673" s="6"/>
      <c r="D673" s="6"/>
      <c r="E673" s="6"/>
      <c r="F673" s="6"/>
      <c r="G673" s="6"/>
    </row>
    <row r="674" spans="1:7" x14ac:dyDescent="0.25">
      <c r="A674" s="6"/>
      <c r="B674" s="6"/>
      <c r="C674" s="6"/>
      <c r="D674" s="6"/>
      <c r="E674" s="6"/>
      <c r="F674" s="6"/>
      <c r="G674" s="6"/>
    </row>
    <row r="675" spans="1:7" x14ac:dyDescent="0.25">
      <c r="A675" s="6"/>
      <c r="B675" s="6"/>
      <c r="C675" s="6"/>
      <c r="D675" s="6"/>
      <c r="E675" s="6"/>
      <c r="F675" s="6"/>
      <c r="G675" s="6"/>
    </row>
    <row r="676" spans="1:7" x14ac:dyDescent="0.25">
      <c r="A676" s="6"/>
      <c r="B676" s="6"/>
      <c r="C676" s="6"/>
      <c r="D676" s="6"/>
      <c r="E676" s="6"/>
      <c r="F676" s="6"/>
      <c r="G676" s="6"/>
    </row>
    <row r="677" spans="1:7" x14ac:dyDescent="0.25">
      <c r="A677" s="6"/>
      <c r="B677" s="6"/>
      <c r="C677" s="6"/>
      <c r="D677" s="6"/>
      <c r="E677" s="6"/>
      <c r="F677" s="6"/>
      <c r="G677" s="6"/>
    </row>
    <row r="678" spans="1:7" x14ac:dyDescent="0.25">
      <c r="A678" s="6"/>
      <c r="B678" s="6"/>
      <c r="C678" s="6"/>
      <c r="D678" s="6"/>
      <c r="E678" s="6"/>
      <c r="F678" s="6"/>
      <c r="G678" s="6"/>
    </row>
    <row r="679" spans="1:7" x14ac:dyDescent="0.25">
      <c r="A679" s="6"/>
      <c r="B679" s="6"/>
      <c r="C679" s="6"/>
      <c r="D679" s="6"/>
      <c r="E679" s="6"/>
      <c r="F679" s="6"/>
      <c r="G679" s="6"/>
    </row>
    <row r="680" spans="1:7" x14ac:dyDescent="0.25">
      <c r="A680" s="6"/>
      <c r="B680" s="6"/>
      <c r="C680" s="6"/>
      <c r="D680" s="6"/>
      <c r="E680" s="6"/>
      <c r="F680" s="6"/>
      <c r="G680" s="6"/>
    </row>
    <row r="681" spans="1:7" x14ac:dyDescent="0.25">
      <c r="A681" s="6"/>
      <c r="B681" s="6"/>
      <c r="C681" s="6"/>
      <c r="D681" s="6"/>
      <c r="E681" s="6"/>
      <c r="F681" s="6"/>
      <c r="G681" s="6"/>
    </row>
    <row r="682" spans="1:7" x14ac:dyDescent="0.25">
      <c r="A682" s="6"/>
      <c r="B682" s="6"/>
      <c r="C682" s="6"/>
      <c r="D682" s="6"/>
      <c r="E682" s="6"/>
      <c r="F682" s="6"/>
      <c r="G682" s="6"/>
    </row>
    <row r="683" spans="1:7" x14ac:dyDescent="0.25">
      <c r="A683" s="6"/>
      <c r="B683" s="6"/>
      <c r="C683" s="6"/>
      <c r="D683" s="6"/>
      <c r="E683" s="6"/>
      <c r="F683" s="6"/>
      <c r="G683" s="6"/>
    </row>
    <row r="684" spans="1:7" x14ac:dyDescent="0.25">
      <c r="A684" s="6"/>
      <c r="B684" s="6"/>
      <c r="C684" s="6"/>
      <c r="D684" s="6"/>
      <c r="E684" s="6"/>
      <c r="F684" s="6"/>
      <c r="G684" s="6"/>
    </row>
    <row r="685" spans="1:7" x14ac:dyDescent="0.25">
      <c r="A685" s="6"/>
      <c r="B685" s="6"/>
      <c r="C685" s="6"/>
      <c r="D685" s="6"/>
      <c r="E685" s="6"/>
      <c r="F685" s="6"/>
      <c r="G685" s="6"/>
    </row>
    <row r="686" spans="1:7" x14ac:dyDescent="0.25">
      <c r="A686" s="6"/>
      <c r="B686" s="6"/>
      <c r="C686" s="6"/>
      <c r="D686" s="6"/>
      <c r="E686" s="6"/>
      <c r="F686" s="6"/>
      <c r="G686" s="6"/>
    </row>
    <row r="687" spans="1:7" x14ac:dyDescent="0.25">
      <c r="A687" s="6"/>
      <c r="B687" s="6"/>
      <c r="C687" s="6"/>
      <c r="D687" s="6"/>
      <c r="E687" s="6"/>
      <c r="F687" s="6"/>
      <c r="G687" s="6"/>
    </row>
    <row r="688" spans="1:7" x14ac:dyDescent="0.25">
      <c r="A688" s="6"/>
      <c r="B688" s="6"/>
      <c r="C688" s="6"/>
      <c r="D688" s="6"/>
      <c r="E688" s="6"/>
      <c r="F688" s="6"/>
      <c r="G688" s="6"/>
    </row>
    <row r="689" spans="1:7" x14ac:dyDescent="0.25">
      <c r="A689" s="6"/>
      <c r="B689" s="6"/>
      <c r="C689" s="6"/>
      <c r="D689" s="6"/>
      <c r="E689" s="6"/>
      <c r="F689" s="6"/>
      <c r="G689" s="6"/>
    </row>
    <row r="690" spans="1:7" x14ac:dyDescent="0.25">
      <c r="A690" s="6"/>
      <c r="B690" s="6"/>
      <c r="C690" s="6"/>
      <c r="D690" s="6"/>
      <c r="E690" s="6"/>
      <c r="F690" s="6"/>
      <c r="G690" s="6"/>
    </row>
    <row r="691" spans="1:7" x14ac:dyDescent="0.25">
      <c r="A691" s="6"/>
      <c r="B691" s="6"/>
      <c r="C691" s="6"/>
      <c r="D691" s="6"/>
      <c r="E691" s="6"/>
      <c r="F691" s="6"/>
      <c r="G691" s="6"/>
    </row>
    <row r="692" spans="1:7" x14ac:dyDescent="0.25">
      <c r="A692" s="6"/>
      <c r="B692" s="6"/>
      <c r="C692" s="6"/>
      <c r="D692" s="6"/>
      <c r="E692" s="6"/>
      <c r="F692" s="6"/>
      <c r="G692" s="6"/>
    </row>
    <row r="693" spans="1:7" x14ac:dyDescent="0.25">
      <c r="A693" s="6"/>
      <c r="B693" s="6"/>
      <c r="C693" s="6"/>
      <c r="D693" s="6"/>
      <c r="E693" s="6"/>
      <c r="F693" s="6"/>
      <c r="G693" s="6"/>
    </row>
    <row r="694" spans="1:7" x14ac:dyDescent="0.25">
      <c r="A694" s="6"/>
      <c r="B694" s="6"/>
      <c r="C694" s="6"/>
      <c r="D694" s="6"/>
      <c r="E694" s="6"/>
      <c r="F694" s="6"/>
      <c r="G694" s="6"/>
    </row>
    <row r="695" spans="1:7" x14ac:dyDescent="0.25">
      <c r="A695" s="6"/>
      <c r="B695" s="6"/>
      <c r="C695" s="6"/>
      <c r="D695" s="6"/>
      <c r="E695" s="6"/>
      <c r="F695" s="6"/>
      <c r="G695" s="6"/>
    </row>
    <row r="696" spans="1:7" x14ac:dyDescent="0.25">
      <c r="A696" s="6"/>
      <c r="B696" s="6"/>
      <c r="C696" s="6"/>
      <c r="D696" s="6"/>
      <c r="E696" s="6"/>
      <c r="F696" s="6"/>
      <c r="G696" s="6"/>
    </row>
    <row r="697" spans="1:7" x14ac:dyDescent="0.25">
      <c r="A697" s="6"/>
      <c r="B697" s="6"/>
      <c r="C697" s="6"/>
      <c r="D697" s="6"/>
      <c r="E697" s="6"/>
      <c r="F697" s="6"/>
      <c r="G697" s="6"/>
    </row>
    <row r="698" spans="1:7" x14ac:dyDescent="0.25">
      <c r="A698" s="6"/>
      <c r="B698" s="6"/>
      <c r="C698" s="6"/>
      <c r="D698" s="6"/>
      <c r="E698" s="6"/>
      <c r="F698" s="6"/>
      <c r="G698" s="6"/>
    </row>
    <row r="699" spans="1:7" x14ac:dyDescent="0.25">
      <c r="A699" s="6"/>
      <c r="B699" s="6"/>
      <c r="C699" s="6"/>
      <c r="D699" s="6"/>
      <c r="E699" s="6"/>
      <c r="F699" s="6"/>
      <c r="G699" s="6"/>
    </row>
    <row r="700" spans="1:7" x14ac:dyDescent="0.25">
      <c r="A700" s="6"/>
      <c r="B700" s="6"/>
      <c r="C700" s="6"/>
      <c r="D700" s="6"/>
      <c r="E700" s="6"/>
      <c r="F700" s="6"/>
      <c r="G700" s="6"/>
    </row>
    <row r="701" spans="1:7" x14ac:dyDescent="0.25">
      <c r="A701" s="6"/>
      <c r="B701" s="6"/>
      <c r="C701" s="6"/>
      <c r="D701" s="6"/>
      <c r="E701" s="6"/>
      <c r="F701" s="6"/>
      <c r="G701" s="6"/>
    </row>
    <row r="702" spans="1:7" x14ac:dyDescent="0.25">
      <c r="A702" s="6"/>
      <c r="B702" s="6"/>
      <c r="C702" s="6"/>
      <c r="D702" s="6"/>
      <c r="E702" s="6"/>
      <c r="F702" s="6"/>
      <c r="G702" s="6"/>
    </row>
    <row r="703" spans="1:7" x14ac:dyDescent="0.25">
      <c r="A703" s="6"/>
      <c r="B703" s="6"/>
      <c r="C703" s="6"/>
      <c r="D703" s="6"/>
      <c r="E703" s="6"/>
      <c r="F703" s="6"/>
      <c r="G703" s="6"/>
    </row>
    <row r="704" spans="1:7" x14ac:dyDescent="0.25">
      <c r="A704" s="6"/>
      <c r="B704" s="6"/>
      <c r="C704" s="6"/>
      <c r="D704" s="6"/>
      <c r="E704" s="6"/>
      <c r="F704" s="6"/>
      <c r="G704" s="6"/>
    </row>
    <row r="705" spans="1:7" x14ac:dyDescent="0.25">
      <c r="A705" s="6"/>
      <c r="B705" s="6"/>
      <c r="C705" s="6"/>
      <c r="D705" s="6"/>
      <c r="E705" s="6"/>
      <c r="F705" s="6"/>
      <c r="G705" s="6"/>
    </row>
    <row r="706" spans="1:7" x14ac:dyDescent="0.25">
      <c r="A706" s="6"/>
      <c r="B706" s="6"/>
      <c r="C706" s="6"/>
      <c r="D706" s="6"/>
      <c r="E706" s="6"/>
      <c r="F706" s="6"/>
      <c r="G706" s="6"/>
    </row>
    <row r="707" spans="1:7" x14ac:dyDescent="0.25">
      <c r="A707" s="6"/>
      <c r="B707" s="6"/>
      <c r="C707" s="6"/>
      <c r="D707" s="6"/>
      <c r="E707" s="6"/>
      <c r="F707" s="6"/>
      <c r="G707" s="6"/>
    </row>
    <row r="708" spans="1:7" x14ac:dyDescent="0.25">
      <c r="A708" s="6"/>
      <c r="B708" s="6"/>
      <c r="C708" s="6"/>
      <c r="D708" s="6"/>
      <c r="E708" s="6"/>
      <c r="F708" s="6"/>
      <c r="G708" s="6"/>
    </row>
    <row r="709" spans="1:7" x14ac:dyDescent="0.25">
      <c r="A709" s="6"/>
      <c r="B709" s="6"/>
      <c r="C709" s="6"/>
      <c r="D709" s="6"/>
      <c r="E709" s="6"/>
      <c r="F709" s="6"/>
      <c r="G709" s="6"/>
    </row>
    <row r="710" spans="1:7" x14ac:dyDescent="0.25">
      <c r="A710" s="6"/>
      <c r="B710" s="6"/>
      <c r="C710" s="6"/>
      <c r="D710" s="6"/>
      <c r="E710" s="6"/>
      <c r="F710" s="6"/>
      <c r="G710" s="6"/>
    </row>
    <row r="711" spans="1:7" x14ac:dyDescent="0.25">
      <c r="A711" s="6"/>
      <c r="B711" s="6"/>
      <c r="C711" s="6"/>
      <c r="D711" s="6"/>
      <c r="E711" s="6"/>
      <c r="F711" s="6"/>
      <c r="G711" s="6"/>
    </row>
    <row r="712" spans="1:7" x14ac:dyDescent="0.25">
      <c r="A712" s="6"/>
      <c r="B712" s="6"/>
      <c r="C712" s="6"/>
      <c r="D712" s="6"/>
      <c r="E712" s="6"/>
      <c r="F712" s="6"/>
      <c r="G712" s="6"/>
    </row>
    <row r="713" spans="1:7" x14ac:dyDescent="0.25">
      <c r="A713" s="6"/>
      <c r="B713" s="6"/>
      <c r="C713" s="6"/>
      <c r="D713" s="6"/>
      <c r="E713" s="6"/>
      <c r="F713" s="6"/>
      <c r="G713" s="6"/>
    </row>
    <row r="714" spans="1:7" x14ac:dyDescent="0.25">
      <c r="A714" s="6"/>
      <c r="B714" s="6"/>
      <c r="C714" s="6"/>
      <c r="D714" s="6"/>
      <c r="E714" s="6"/>
      <c r="F714" s="6"/>
      <c r="G714" s="6"/>
    </row>
    <row r="715" spans="1:7" x14ac:dyDescent="0.25">
      <c r="A715" s="6"/>
      <c r="B715" s="6"/>
      <c r="C715" s="6"/>
      <c r="D715" s="6"/>
      <c r="E715" s="6"/>
      <c r="F715" s="6"/>
      <c r="G715" s="6"/>
    </row>
    <row r="716" spans="1:7" x14ac:dyDescent="0.25">
      <c r="A716" s="6"/>
      <c r="B716" s="6"/>
      <c r="C716" s="6"/>
      <c r="D716" s="6"/>
      <c r="E716" s="6"/>
      <c r="F716" s="6"/>
      <c r="G716" s="6"/>
    </row>
    <row r="717" spans="1:7" x14ac:dyDescent="0.25">
      <c r="A717" s="6"/>
      <c r="B717" s="6"/>
      <c r="C717" s="6"/>
      <c r="D717" s="6"/>
      <c r="E717" s="6"/>
      <c r="F717" s="6"/>
      <c r="G717" s="6"/>
    </row>
    <row r="718" spans="1:7" x14ac:dyDescent="0.25">
      <c r="A718" s="6"/>
      <c r="B718" s="6"/>
      <c r="C718" s="6"/>
      <c r="D718" s="6"/>
      <c r="E718" s="6"/>
      <c r="F718" s="6"/>
      <c r="G718" s="6"/>
    </row>
    <row r="719" spans="1:7" x14ac:dyDescent="0.25">
      <c r="A719" s="6"/>
      <c r="B719" s="6"/>
      <c r="C719" s="6"/>
      <c r="D719" s="6"/>
      <c r="E719" s="6"/>
      <c r="F719" s="6"/>
      <c r="G719" s="6"/>
    </row>
    <row r="720" spans="1:7" x14ac:dyDescent="0.25">
      <c r="A720" s="6"/>
      <c r="B720" s="6"/>
      <c r="C720" s="6"/>
      <c r="D720" s="6"/>
      <c r="E720" s="6"/>
      <c r="F720" s="6"/>
      <c r="G720" s="6"/>
    </row>
    <row r="721" spans="1:7" x14ac:dyDescent="0.25">
      <c r="A721" s="6"/>
      <c r="B721" s="6"/>
      <c r="C721" s="6"/>
      <c r="D721" s="6"/>
      <c r="E721" s="6"/>
      <c r="F721" s="6"/>
      <c r="G721" s="6"/>
    </row>
    <row r="722" spans="1:7" x14ac:dyDescent="0.25">
      <c r="A722" s="6"/>
      <c r="B722" s="6"/>
      <c r="C722" s="6"/>
      <c r="D722" s="6"/>
      <c r="E722" s="6"/>
      <c r="F722" s="6"/>
      <c r="G722" s="6"/>
    </row>
    <row r="723" spans="1:7" x14ac:dyDescent="0.25">
      <c r="A723" s="6"/>
      <c r="B723" s="6"/>
      <c r="C723" s="6"/>
      <c r="D723" s="6"/>
      <c r="E723" s="6"/>
      <c r="F723" s="6"/>
      <c r="G723" s="6"/>
    </row>
    <row r="724" spans="1:7" x14ac:dyDescent="0.25">
      <c r="A724" s="6"/>
      <c r="B724" s="6"/>
      <c r="C724" s="6"/>
      <c r="D724" s="6"/>
      <c r="E724" s="6"/>
      <c r="F724" s="6"/>
      <c r="G724" s="6"/>
    </row>
    <row r="725" spans="1:7" x14ac:dyDescent="0.25">
      <c r="A725" s="6"/>
      <c r="B725" s="6"/>
      <c r="C725" s="6"/>
      <c r="D725" s="6"/>
      <c r="E725" s="6"/>
      <c r="F725" s="6"/>
      <c r="G725" s="6"/>
    </row>
    <row r="726" spans="1:7" x14ac:dyDescent="0.25">
      <c r="A726" s="6"/>
      <c r="B726" s="6"/>
      <c r="C726" s="6"/>
      <c r="D726" s="6"/>
      <c r="E726" s="6"/>
      <c r="F726" s="6"/>
      <c r="G726" s="6"/>
    </row>
    <row r="727" spans="1:7" x14ac:dyDescent="0.25">
      <c r="A727" s="6"/>
      <c r="B727" s="6"/>
      <c r="C727" s="6"/>
      <c r="D727" s="6"/>
      <c r="E727" s="6"/>
      <c r="F727" s="6"/>
      <c r="G727" s="6"/>
    </row>
    <row r="728" spans="1:7" x14ac:dyDescent="0.25">
      <c r="A728" s="6"/>
      <c r="B728" s="6"/>
      <c r="C728" s="6"/>
      <c r="D728" s="6"/>
      <c r="E728" s="6"/>
      <c r="F728" s="6"/>
      <c r="G728" s="6"/>
    </row>
    <row r="729" spans="1:7" x14ac:dyDescent="0.25">
      <c r="A729" s="6"/>
      <c r="B729" s="6"/>
      <c r="C729" s="6"/>
      <c r="D729" s="6"/>
      <c r="E729" s="6"/>
      <c r="F729" s="6"/>
      <c r="G729" s="6"/>
    </row>
    <row r="730" spans="1:7" x14ac:dyDescent="0.25">
      <c r="A730" s="6"/>
      <c r="B730" s="6"/>
      <c r="C730" s="6"/>
      <c r="D730" s="6"/>
      <c r="E730" s="6"/>
      <c r="F730" s="6"/>
      <c r="G730" s="6"/>
    </row>
    <row r="731" spans="1:7" x14ac:dyDescent="0.25">
      <c r="A731" s="6"/>
      <c r="B731" s="6"/>
      <c r="C731" s="6"/>
      <c r="D731" s="6"/>
      <c r="E731" s="6"/>
      <c r="F731" s="6"/>
      <c r="G731" s="6"/>
    </row>
    <row r="732" spans="1:7" x14ac:dyDescent="0.25">
      <c r="A732" s="6"/>
      <c r="B732" s="6"/>
      <c r="C732" s="6"/>
      <c r="D732" s="6"/>
      <c r="E732" s="6"/>
      <c r="F732" s="6"/>
      <c r="G732" s="6"/>
    </row>
    <row r="733" spans="1:7" x14ac:dyDescent="0.25">
      <c r="A733" s="6"/>
      <c r="B733" s="6"/>
      <c r="C733" s="6"/>
      <c r="D733" s="6"/>
      <c r="E733" s="6"/>
      <c r="F733" s="6"/>
      <c r="G733" s="6"/>
    </row>
    <row r="734" spans="1:7" x14ac:dyDescent="0.25">
      <c r="A734" s="6"/>
      <c r="B734" s="6"/>
      <c r="C734" s="6"/>
      <c r="D734" s="6"/>
      <c r="E734" s="6"/>
      <c r="F734" s="6"/>
      <c r="G734" s="6"/>
    </row>
    <row r="735" spans="1:7" x14ac:dyDescent="0.25">
      <c r="A735" s="6"/>
      <c r="B735" s="6"/>
      <c r="C735" s="6"/>
      <c r="D735" s="6"/>
      <c r="E735" s="6"/>
      <c r="F735" s="6"/>
      <c r="G735" s="6"/>
    </row>
    <row r="736" spans="1:7" x14ac:dyDescent="0.25">
      <c r="A736" s="6"/>
      <c r="B736" s="6"/>
      <c r="C736" s="6"/>
      <c r="D736" s="6"/>
      <c r="E736" s="6"/>
      <c r="F736" s="6"/>
      <c r="G736" s="6"/>
    </row>
    <row r="737" spans="1:7" x14ac:dyDescent="0.25">
      <c r="A737" s="6"/>
      <c r="B737" s="6"/>
      <c r="C737" s="6"/>
      <c r="D737" s="6"/>
      <c r="E737" s="6"/>
      <c r="F737" s="6"/>
      <c r="G737" s="6"/>
    </row>
    <row r="738" spans="1:7" x14ac:dyDescent="0.25">
      <c r="A738" s="6"/>
      <c r="B738" s="6"/>
      <c r="C738" s="6"/>
      <c r="D738" s="6"/>
      <c r="E738" s="6"/>
      <c r="F738" s="6"/>
      <c r="G738" s="6"/>
    </row>
    <row r="739" spans="1:7" x14ac:dyDescent="0.25">
      <c r="A739" s="6"/>
      <c r="B739" s="6"/>
      <c r="C739" s="6"/>
      <c r="D739" s="6"/>
      <c r="E739" s="6"/>
      <c r="F739" s="6"/>
      <c r="G739" s="6"/>
    </row>
    <row r="740" spans="1:7" x14ac:dyDescent="0.25">
      <c r="A740" s="6"/>
      <c r="B740" s="6"/>
      <c r="C740" s="6"/>
      <c r="D740" s="6"/>
      <c r="E740" s="6"/>
      <c r="F740" s="6"/>
      <c r="G740" s="6"/>
    </row>
    <row r="741" spans="1:7" x14ac:dyDescent="0.25">
      <c r="A741" s="6"/>
      <c r="B741" s="6"/>
      <c r="C741" s="6"/>
      <c r="D741" s="6"/>
      <c r="E741" s="6"/>
      <c r="F741" s="6"/>
      <c r="G741" s="6"/>
    </row>
    <row r="742" spans="1:7" x14ac:dyDescent="0.25">
      <c r="A742" s="6"/>
      <c r="B742" s="6"/>
      <c r="C742" s="6"/>
      <c r="D742" s="6"/>
      <c r="E742" s="6"/>
      <c r="F742" s="6"/>
      <c r="G742" s="6"/>
    </row>
    <row r="743" spans="1:7" x14ac:dyDescent="0.25">
      <c r="A743" s="6"/>
      <c r="B743" s="6"/>
      <c r="C743" s="6"/>
      <c r="D743" s="6"/>
      <c r="E743" s="6"/>
      <c r="F743" s="6"/>
      <c r="G743" s="6"/>
    </row>
    <row r="744" spans="1:7" x14ac:dyDescent="0.25">
      <c r="A744" s="6"/>
      <c r="B744" s="6"/>
      <c r="C744" s="6"/>
      <c r="D744" s="6"/>
      <c r="E744" s="6"/>
      <c r="F744" s="6"/>
      <c r="G744" s="6"/>
    </row>
    <row r="745" spans="1:7" x14ac:dyDescent="0.25">
      <c r="A745" s="6"/>
      <c r="B745" s="6"/>
      <c r="C745" s="6"/>
      <c r="D745" s="6"/>
      <c r="E745" s="6"/>
      <c r="F745" s="6"/>
      <c r="G745" s="6"/>
    </row>
    <row r="746" spans="1:7" x14ac:dyDescent="0.25">
      <c r="A746" s="6"/>
      <c r="B746" s="6"/>
      <c r="C746" s="6"/>
      <c r="D746" s="6"/>
      <c r="E746" s="6"/>
      <c r="F746" s="6"/>
      <c r="G746" s="6"/>
    </row>
    <row r="747" spans="1:7" x14ac:dyDescent="0.25">
      <c r="A747" s="6"/>
      <c r="B747" s="6"/>
      <c r="C747" s="6"/>
      <c r="D747" s="6"/>
      <c r="E747" s="6"/>
      <c r="F747" s="6"/>
      <c r="G747" s="6"/>
    </row>
    <row r="748" spans="1:7" x14ac:dyDescent="0.25">
      <c r="A748" s="6"/>
      <c r="B748" s="6"/>
      <c r="C748" s="6"/>
      <c r="D748" s="6"/>
      <c r="E748" s="6"/>
      <c r="F748" s="6"/>
      <c r="G748" s="6"/>
    </row>
    <row r="749" spans="1:7" x14ac:dyDescent="0.25">
      <c r="A749" s="6"/>
      <c r="B749" s="6"/>
      <c r="C749" s="6"/>
      <c r="D749" s="6"/>
      <c r="E749" s="6"/>
      <c r="F749" s="6"/>
      <c r="G749" s="6"/>
    </row>
    <row r="750" spans="1:7" x14ac:dyDescent="0.25">
      <c r="A750" s="6"/>
      <c r="B750" s="6"/>
      <c r="C750" s="6"/>
      <c r="D750" s="6"/>
      <c r="E750" s="6"/>
      <c r="F750" s="6"/>
      <c r="G750" s="6"/>
    </row>
    <row r="751" spans="1:7" x14ac:dyDescent="0.25">
      <c r="A751" s="6"/>
      <c r="B751" s="6"/>
      <c r="C751" s="6"/>
      <c r="D751" s="6"/>
      <c r="E751" s="6"/>
      <c r="F751" s="6"/>
      <c r="G751" s="6"/>
    </row>
    <row r="752" spans="1:7" x14ac:dyDescent="0.25">
      <c r="A752" s="6"/>
      <c r="B752" s="6"/>
      <c r="C752" s="6"/>
      <c r="D752" s="6"/>
      <c r="E752" s="6"/>
      <c r="F752" s="6"/>
      <c r="G752" s="6"/>
    </row>
    <row r="753" spans="1:7" x14ac:dyDescent="0.25">
      <c r="A753" s="6"/>
      <c r="B753" s="6"/>
      <c r="C753" s="6"/>
      <c r="D753" s="6"/>
      <c r="E753" s="6"/>
      <c r="F753" s="6"/>
      <c r="G753" s="6"/>
    </row>
    <row r="754" spans="1:7" x14ac:dyDescent="0.25">
      <c r="A754" s="6"/>
      <c r="B754" s="6"/>
      <c r="C754" s="6"/>
      <c r="D754" s="6"/>
      <c r="E754" s="6"/>
      <c r="F754" s="6"/>
      <c r="G754" s="6"/>
    </row>
    <row r="755" spans="1:7" x14ac:dyDescent="0.25">
      <c r="A755" s="6"/>
      <c r="B755" s="6"/>
      <c r="C755" s="6"/>
      <c r="D755" s="6"/>
      <c r="E755" s="6"/>
      <c r="F755" s="6"/>
      <c r="G755" s="6"/>
    </row>
    <row r="756" spans="1:7" x14ac:dyDescent="0.25">
      <c r="A756" s="6"/>
      <c r="B756" s="6"/>
      <c r="C756" s="6"/>
      <c r="D756" s="6"/>
      <c r="E756" s="6"/>
      <c r="F756" s="6"/>
      <c r="G756" s="6"/>
    </row>
    <row r="757" spans="1:7" x14ac:dyDescent="0.25">
      <c r="A757" s="6"/>
      <c r="B757" s="6"/>
      <c r="C757" s="6"/>
      <c r="D757" s="6"/>
      <c r="E757" s="6"/>
      <c r="F757" s="6"/>
      <c r="G757" s="6"/>
    </row>
    <row r="758" spans="1:7" x14ac:dyDescent="0.25">
      <c r="A758" s="6"/>
      <c r="B758" s="6"/>
      <c r="C758" s="6"/>
      <c r="D758" s="6"/>
      <c r="E758" s="6"/>
      <c r="F758" s="6"/>
      <c r="G758" s="6"/>
    </row>
    <row r="759" spans="1:7" x14ac:dyDescent="0.25">
      <c r="A759" s="6"/>
      <c r="B759" s="6"/>
      <c r="C759" s="6"/>
      <c r="D759" s="6"/>
      <c r="E759" s="6"/>
      <c r="F759" s="6"/>
      <c r="G759" s="6"/>
    </row>
    <row r="760" spans="1:7" x14ac:dyDescent="0.25">
      <c r="A760" s="6"/>
      <c r="B760" s="6"/>
      <c r="C760" s="6"/>
      <c r="D760" s="6"/>
      <c r="E760" s="6"/>
      <c r="F760" s="6"/>
      <c r="G760" s="6"/>
    </row>
    <row r="761" spans="1:7" x14ac:dyDescent="0.25">
      <c r="A761" s="6"/>
      <c r="B761" s="6"/>
      <c r="C761" s="6"/>
      <c r="D761" s="6"/>
      <c r="E761" s="6"/>
      <c r="F761" s="6"/>
      <c r="G761" s="6"/>
    </row>
    <row r="762" spans="1:7" x14ac:dyDescent="0.25">
      <c r="A762" s="6"/>
      <c r="B762" s="6"/>
      <c r="C762" s="6"/>
      <c r="D762" s="6"/>
      <c r="E762" s="6"/>
      <c r="F762" s="6"/>
      <c r="G762" s="6"/>
    </row>
    <row r="763" spans="1:7" x14ac:dyDescent="0.25">
      <c r="A763" s="6"/>
      <c r="B763" s="6"/>
      <c r="C763" s="6"/>
      <c r="D763" s="6"/>
      <c r="E763" s="6"/>
      <c r="F763" s="6"/>
      <c r="G763" s="6"/>
    </row>
    <row r="764" spans="1:7" x14ac:dyDescent="0.25">
      <c r="A764" s="6"/>
      <c r="B764" s="6"/>
      <c r="C764" s="6"/>
      <c r="D764" s="6"/>
      <c r="E764" s="6"/>
      <c r="F764" s="6"/>
      <c r="G764" s="6"/>
    </row>
    <row r="765" spans="1:7" x14ac:dyDescent="0.25">
      <c r="A765" s="6"/>
      <c r="B765" s="6"/>
      <c r="C765" s="6"/>
      <c r="D765" s="6"/>
      <c r="E765" s="6"/>
      <c r="F765" s="6"/>
      <c r="G765" s="6"/>
    </row>
    <row r="766" spans="1:7" x14ac:dyDescent="0.25">
      <c r="A766" s="6"/>
      <c r="B766" s="6"/>
      <c r="C766" s="6"/>
      <c r="D766" s="6"/>
      <c r="E766" s="6"/>
      <c r="F766" s="6"/>
      <c r="G766" s="6"/>
    </row>
    <row r="767" spans="1:7" x14ac:dyDescent="0.25">
      <c r="A767" s="6"/>
      <c r="B767" s="6"/>
      <c r="C767" s="6"/>
      <c r="D767" s="6"/>
      <c r="E767" s="6"/>
      <c r="F767" s="6"/>
      <c r="G767" s="6"/>
    </row>
    <row r="768" spans="1:7" x14ac:dyDescent="0.25">
      <c r="A768" s="6"/>
      <c r="B768" s="6"/>
      <c r="C768" s="6"/>
      <c r="D768" s="6"/>
      <c r="E768" s="6"/>
      <c r="F768" s="6"/>
      <c r="G768" s="6"/>
    </row>
    <row r="769" spans="1:7" x14ac:dyDescent="0.25">
      <c r="A769" s="6"/>
      <c r="B769" s="6"/>
      <c r="C769" s="6"/>
      <c r="D769" s="6"/>
      <c r="E769" s="6"/>
      <c r="F769" s="6"/>
      <c r="G769" s="6"/>
    </row>
    <row r="770" spans="1:7" x14ac:dyDescent="0.25">
      <c r="A770" s="6"/>
      <c r="B770" s="6"/>
      <c r="C770" s="6"/>
      <c r="D770" s="6"/>
      <c r="E770" s="6"/>
      <c r="F770" s="6"/>
      <c r="G770" s="6"/>
    </row>
    <row r="771" spans="1:7" x14ac:dyDescent="0.25">
      <c r="A771" s="6"/>
      <c r="B771" s="6"/>
      <c r="C771" s="6"/>
      <c r="D771" s="6"/>
      <c r="E771" s="6"/>
      <c r="F771" s="6"/>
      <c r="G771" s="6"/>
    </row>
    <row r="772" spans="1:7" x14ac:dyDescent="0.25">
      <c r="A772" s="6"/>
      <c r="B772" s="6"/>
      <c r="C772" s="6"/>
      <c r="D772" s="6"/>
      <c r="E772" s="6"/>
      <c r="F772" s="6"/>
      <c r="G772" s="6"/>
    </row>
    <row r="773" spans="1:7" x14ac:dyDescent="0.25">
      <c r="A773" s="6"/>
      <c r="B773" s="6"/>
      <c r="C773" s="6"/>
      <c r="D773" s="6"/>
      <c r="E773" s="6"/>
      <c r="F773" s="6"/>
      <c r="G773" s="6"/>
    </row>
    <row r="774" spans="1:7" x14ac:dyDescent="0.25">
      <c r="A774" s="6"/>
      <c r="B774" s="6"/>
      <c r="C774" s="6"/>
      <c r="D774" s="6"/>
      <c r="E774" s="6"/>
      <c r="F774" s="6"/>
      <c r="G774" s="6"/>
    </row>
    <row r="775" spans="1:7" x14ac:dyDescent="0.25">
      <c r="A775" s="6"/>
      <c r="B775" s="6"/>
      <c r="C775" s="6"/>
      <c r="D775" s="6"/>
      <c r="E775" s="6"/>
      <c r="F775" s="6"/>
      <c r="G775" s="6"/>
    </row>
    <row r="776" spans="1:7" x14ac:dyDescent="0.25">
      <c r="A776" s="6"/>
      <c r="B776" s="6"/>
      <c r="C776" s="6"/>
      <c r="D776" s="6"/>
      <c r="E776" s="6"/>
      <c r="F776" s="6"/>
      <c r="G776" s="6"/>
    </row>
    <row r="777" spans="1:7" x14ac:dyDescent="0.25">
      <c r="A777" s="6"/>
      <c r="B777" s="6"/>
      <c r="C777" s="6"/>
      <c r="D777" s="6"/>
      <c r="E777" s="6"/>
      <c r="F777" s="6"/>
      <c r="G777" s="6"/>
    </row>
    <row r="778" spans="1:7" x14ac:dyDescent="0.25">
      <c r="A778" s="6"/>
      <c r="B778" s="6"/>
      <c r="C778" s="6"/>
      <c r="D778" s="6"/>
      <c r="E778" s="6"/>
      <c r="F778" s="6"/>
      <c r="G778" s="6"/>
    </row>
    <row r="779" spans="1:7" x14ac:dyDescent="0.25">
      <c r="A779" s="6"/>
      <c r="B779" s="6"/>
      <c r="C779" s="6"/>
      <c r="D779" s="6"/>
      <c r="E779" s="6"/>
      <c r="F779" s="6"/>
      <c r="G779" s="6"/>
    </row>
    <row r="780" spans="1:7" x14ac:dyDescent="0.25">
      <c r="A780" s="6"/>
      <c r="B780" s="6"/>
      <c r="C780" s="6"/>
      <c r="D780" s="6"/>
      <c r="E780" s="6"/>
      <c r="F780" s="6"/>
      <c r="G780" s="6"/>
    </row>
    <row r="781" spans="1:7" x14ac:dyDescent="0.25">
      <c r="A781" s="6"/>
      <c r="B781" s="6"/>
      <c r="C781" s="6"/>
      <c r="D781" s="6"/>
      <c r="E781" s="6"/>
      <c r="F781" s="6"/>
      <c r="G781" s="6"/>
    </row>
    <row r="782" spans="1:7" x14ac:dyDescent="0.25">
      <c r="A782" s="6"/>
      <c r="B782" s="6"/>
      <c r="C782" s="6"/>
      <c r="D782" s="6"/>
      <c r="E782" s="6"/>
      <c r="F782" s="6"/>
      <c r="G782" s="6"/>
    </row>
    <row r="783" spans="1:7" x14ac:dyDescent="0.25">
      <c r="A783" s="6"/>
      <c r="B783" s="6"/>
      <c r="C783" s="6"/>
      <c r="D783" s="6"/>
      <c r="E783" s="6"/>
      <c r="F783" s="6"/>
      <c r="G783" s="6"/>
    </row>
    <row r="784" spans="1:7" x14ac:dyDescent="0.25">
      <c r="A784" s="6"/>
      <c r="B784" s="6"/>
      <c r="C784" s="6"/>
      <c r="D784" s="6"/>
      <c r="E784" s="6"/>
      <c r="F784" s="6"/>
      <c r="G784" s="6"/>
    </row>
    <row r="785" spans="1:7" x14ac:dyDescent="0.25">
      <c r="A785" s="6"/>
      <c r="B785" s="6"/>
      <c r="C785" s="6"/>
      <c r="D785" s="6"/>
      <c r="E785" s="6"/>
      <c r="F785" s="6"/>
      <c r="G785" s="6"/>
    </row>
    <row r="786" spans="1:7" x14ac:dyDescent="0.25">
      <c r="A786" s="6"/>
      <c r="B786" s="6"/>
      <c r="C786" s="6"/>
      <c r="D786" s="6"/>
      <c r="E786" s="6"/>
      <c r="F786" s="6"/>
      <c r="G786" s="6"/>
    </row>
    <row r="787" spans="1:7" x14ac:dyDescent="0.25">
      <c r="A787" s="6"/>
      <c r="B787" s="6"/>
      <c r="C787" s="6"/>
      <c r="D787" s="6"/>
      <c r="E787" s="6"/>
      <c r="F787" s="6"/>
      <c r="G787" s="6"/>
    </row>
    <row r="788" spans="1:7" x14ac:dyDescent="0.25">
      <c r="A788" s="6"/>
      <c r="B788" s="6"/>
      <c r="C788" s="6"/>
      <c r="D788" s="6"/>
      <c r="E788" s="6"/>
      <c r="F788" s="6"/>
      <c r="G788" s="6"/>
    </row>
    <row r="789" spans="1:7" x14ac:dyDescent="0.25">
      <c r="A789" s="6"/>
      <c r="B789" s="6"/>
      <c r="C789" s="6"/>
      <c r="D789" s="6"/>
      <c r="E789" s="6"/>
      <c r="F789" s="6"/>
      <c r="G789" s="6"/>
    </row>
    <row r="790" spans="1:7" x14ac:dyDescent="0.25">
      <c r="A790" s="6"/>
      <c r="B790" s="6"/>
      <c r="C790" s="6"/>
      <c r="D790" s="6"/>
      <c r="E790" s="6"/>
      <c r="F790" s="6"/>
      <c r="G790" s="6"/>
    </row>
    <row r="791" spans="1:7" x14ac:dyDescent="0.25">
      <c r="A791" s="6"/>
      <c r="B791" s="6"/>
      <c r="C791" s="6"/>
      <c r="D791" s="6"/>
      <c r="E791" s="6"/>
      <c r="F791" s="6"/>
      <c r="G791" s="6"/>
    </row>
    <row r="792" spans="1:7" x14ac:dyDescent="0.25">
      <c r="A792" s="6"/>
      <c r="B792" s="6"/>
      <c r="C792" s="6"/>
      <c r="D792" s="6"/>
      <c r="E792" s="6"/>
      <c r="F792" s="6"/>
      <c r="G792" s="6"/>
    </row>
    <row r="793" spans="1:7" x14ac:dyDescent="0.25">
      <c r="A793" s="6"/>
      <c r="B793" s="6"/>
      <c r="C793" s="6"/>
      <c r="D793" s="6"/>
      <c r="E793" s="6"/>
      <c r="F793" s="6"/>
      <c r="G793" s="6"/>
    </row>
    <row r="794" spans="1:7" x14ac:dyDescent="0.25">
      <c r="A794" s="6"/>
      <c r="B794" s="6"/>
      <c r="C794" s="6"/>
      <c r="D794" s="6"/>
      <c r="E794" s="6"/>
      <c r="F794" s="6"/>
      <c r="G794" s="6"/>
    </row>
    <row r="795" spans="1:7" x14ac:dyDescent="0.25">
      <c r="A795" s="6"/>
      <c r="B795" s="6"/>
      <c r="C795" s="6"/>
      <c r="D795" s="6"/>
      <c r="E795" s="6"/>
      <c r="F795" s="6"/>
      <c r="G795" s="6"/>
    </row>
    <row r="796" spans="1:7" x14ac:dyDescent="0.25">
      <c r="A796" s="6"/>
      <c r="B796" s="6"/>
      <c r="C796" s="6"/>
      <c r="D796" s="6"/>
      <c r="E796" s="6"/>
      <c r="F796" s="6"/>
      <c r="G796" s="6"/>
    </row>
    <row r="797" spans="1:7" x14ac:dyDescent="0.25">
      <c r="A797" s="6"/>
      <c r="B797" s="6"/>
      <c r="C797" s="6"/>
      <c r="D797" s="6"/>
      <c r="E797" s="6"/>
      <c r="F797" s="6"/>
      <c r="G797" s="6"/>
    </row>
    <row r="798" spans="1:7" x14ac:dyDescent="0.25">
      <c r="A798" s="6"/>
      <c r="B798" s="6"/>
      <c r="C798" s="6"/>
      <c r="D798" s="6"/>
      <c r="E798" s="6"/>
      <c r="F798" s="6"/>
      <c r="G798" s="6"/>
    </row>
    <row r="799" spans="1:7" x14ac:dyDescent="0.25">
      <c r="A799" s="6"/>
      <c r="B799" s="6"/>
      <c r="C799" s="6"/>
      <c r="D799" s="6"/>
      <c r="E799" s="6"/>
      <c r="F799" s="6"/>
      <c r="G799" s="6"/>
    </row>
    <row r="800" spans="1:7" x14ac:dyDescent="0.25">
      <c r="A800" s="6"/>
      <c r="B800" s="6"/>
      <c r="C800" s="6"/>
      <c r="D800" s="6"/>
      <c r="E800" s="6"/>
      <c r="F800" s="6"/>
      <c r="G800" s="6"/>
    </row>
    <row r="801" spans="1:7" x14ac:dyDescent="0.25">
      <c r="A801" s="6"/>
      <c r="B801" s="6"/>
      <c r="C801" s="6"/>
      <c r="D801" s="6"/>
      <c r="E801" s="6"/>
      <c r="F801" s="6"/>
      <c r="G801" s="6"/>
    </row>
    <row r="802" spans="1:7" x14ac:dyDescent="0.25">
      <c r="A802" s="6"/>
      <c r="B802" s="6"/>
      <c r="C802" s="6"/>
      <c r="D802" s="6"/>
      <c r="E802" s="6"/>
      <c r="F802" s="6"/>
      <c r="G802" s="6"/>
    </row>
    <row r="803" spans="1:7" x14ac:dyDescent="0.25">
      <c r="A803" s="6"/>
      <c r="B803" s="6"/>
      <c r="C803" s="6"/>
      <c r="D803" s="6"/>
      <c r="E803" s="6"/>
      <c r="F803" s="6"/>
      <c r="G803" s="6"/>
    </row>
    <row r="804" spans="1:7" x14ac:dyDescent="0.25">
      <c r="A804" s="6"/>
      <c r="B804" s="6"/>
      <c r="C804" s="6"/>
      <c r="D804" s="6"/>
      <c r="E804" s="6"/>
      <c r="F804" s="6"/>
      <c r="G804" s="6"/>
    </row>
    <row r="805" spans="1:7" x14ac:dyDescent="0.25">
      <c r="A805" s="6"/>
      <c r="B805" s="6"/>
      <c r="C805" s="6"/>
      <c r="D805" s="6"/>
      <c r="E805" s="6"/>
      <c r="F805" s="6"/>
      <c r="G805" s="6"/>
    </row>
    <row r="806" spans="1:7" x14ac:dyDescent="0.25">
      <c r="A806" s="6"/>
      <c r="B806" s="6"/>
      <c r="C806" s="6"/>
      <c r="D806" s="6"/>
      <c r="E806" s="6"/>
      <c r="F806" s="6"/>
      <c r="G806" s="6"/>
    </row>
    <row r="807" spans="1:7" x14ac:dyDescent="0.25">
      <c r="A807" s="6"/>
      <c r="B807" s="6"/>
      <c r="C807" s="6"/>
      <c r="D807" s="6"/>
      <c r="E807" s="6"/>
      <c r="F807" s="6"/>
      <c r="G807" s="6"/>
    </row>
    <row r="808" spans="1:7" x14ac:dyDescent="0.25">
      <c r="A808" s="6"/>
      <c r="B808" s="6"/>
      <c r="C808" s="6"/>
      <c r="D808" s="6"/>
      <c r="E808" s="6"/>
      <c r="F808" s="6"/>
      <c r="G808" s="6"/>
    </row>
    <row r="809" spans="1:7" x14ac:dyDescent="0.25">
      <c r="A809" s="6"/>
      <c r="B809" s="6"/>
      <c r="C809" s="6"/>
      <c r="D809" s="6"/>
      <c r="E809" s="6"/>
      <c r="F809" s="6"/>
      <c r="G809" s="6"/>
    </row>
    <row r="810" spans="1:7" x14ac:dyDescent="0.25">
      <c r="A810" s="6"/>
      <c r="B810" s="6"/>
      <c r="C810" s="6"/>
      <c r="D810" s="6"/>
      <c r="E810" s="6"/>
      <c r="F810" s="6"/>
      <c r="G810" s="6"/>
    </row>
    <row r="811" spans="1:7" x14ac:dyDescent="0.25">
      <c r="A811" s="6"/>
      <c r="B811" s="6"/>
      <c r="C811" s="6"/>
      <c r="D811" s="6"/>
      <c r="E811" s="6"/>
      <c r="F811" s="6"/>
      <c r="G811" s="6"/>
    </row>
    <row r="812" spans="1:7" x14ac:dyDescent="0.25">
      <c r="A812" s="6"/>
      <c r="B812" s="6"/>
      <c r="C812" s="6"/>
      <c r="D812" s="6"/>
      <c r="E812" s="6"/>
      <c r="F812" s="6"/>
      <c r="G812" s="6"/>
    </row>
    <row r="813" spans="1:7" x14ac:dyDescent="0.25">
      <c r="A813" s="6"/>
      <c r="B813" s="6"/>
      <c r="C813" s="6"/>
      <c r="D813" s="6"/>
      <c r="E813" s="6"/>
      <c r="F813" s="6"/>
      <c r="G813" s="6"/>
    </row>
    <row r="814" spans="1:7" x14ac:dyDescent="0.25">
      <c r="A814" s="6"/>
      <c r="B814" s="6"/>
      <c r="C814" s="6"/>
      <c r="D814" s="6"/>
      <c r="E814" s="6"/>
      <c r="F814" s="6"/>
      <c r="G814" s="6"/>
    </row>
    <row r="815" spans="1:7" x14ac:dyDescent="0.25">
      <c r="A815" s="6"/>
      <c r="B815" s="6"/>
      <c r="C815" s="6"/>
      <c r="D815" s="6"/>
      <c r="E815" s="6"/>
      <c r="F815" s="6"/>
      <c r="G815" s="6"/>
    </row>
    <row r="816" spans="1:7" x14ac:dyDescent="0.25">
      <c r="A816" s="6"/>
      <c r="B816" s="6"/>
      <c r="C816" s="6"/>
      <c r="D816" s="6"/>
      <c r="E816" s="6"/>
      <c r="F816" s="6"/>
      <c r="G816" s="6"/>
    </row>
    <row r="817" spans="1:7" x14ac:dyDescent="0.25">
      <c r="A817" s="6"/>
      <c r="B817" s="6"/>
      <c r="C817" s="6"/>
      <c r="D817" s="6"/>
      <c r="E817" s="6"/>
      <c r="F817" s="6"/>
      <c r="G817" s="6"/>
    </row>
    <row r="818" spans="1:7" x14ac:dyDescent="0.25">
      <c r="A818" s="6"/>
      <c r="B818" s="6"/>
      <c r="C818" s="6"/>
      <c r="D818" s="6"/>
      <c r="E818" s="6"/>
      <c r="F818" s="6"/>
      <c r="G818" s="6"/>
    </row>
    <row r="819" spans="1:7" x14ac:dyDescent="0.25">
      <c r="A819" s="6"/>
      <c r="B819" s="6"/>
      <c r="C819" s="6"/>
      <c r="D819" s="6"/>
      <c r="E819" s="6"/>
      <c r="F819" s="6"/>
      <c r="G819" s="6"/>
    </row>
    <row r="820" spans="1:7" x14ac:dyDescent="0.25">
      <c r="A820" s="6"/>
      <c r="B820" s="6"/>
      <c r="C820" s="6"/>
      <c r="D820" s="6"/>
      <c r="E820" s="6"/>
      <c r="F820" s="6"/>
      <c r="G820" s="6"/>
    </row>
    <row r="821" spans="1:7" x14ac:dyDescent="0.25">
      <c r="A821" s="6"/>
      <c r="B821" s="6"/>
      <c r="C821" s="6"/>
      <c r="D821" s="6"/>
      <c r="E821" s="6"/>
      <c r="F821" s="6"/>
      <c r="G821" s="6"/>
    </row>
    <row r="822" spans="1:7" x14ac:dyDescent="0.25">
      <c r="A822" s="6"/>
      <c r="B822" s="6"/>
      <c r="C822" s="6"/>
      <c r="D822" s="6"/>
      <c r="E822" s="6"/>
      <c r="F822" s="6"/>
      <c r="G822" s="6"/>
    </row>
    <row r="823" spans="1:7" x14ac:dyDescent="0.25">
      <c r="A823" s="6"/>
      <c r="B823" s="6"/>
      <c r="C823" s="6"/>
      <c r="D823" s="6"/>
      <c r="E823" s="6"/>
      <c r="F823" s="6"/>
      <c r="G823" s="6"/>
    </row>
    <row r="824" spans="1:7" x14ac:dyDescent="0.25">
      <c r="A824" s="6"/>
      <c r="B824" s="6"/>
      <c r="C824" s="6"/>
      <c r="D824" s="6"/>
      <c r="E824" s="6"/>
      <c r="F824" s="6"/>
      <c r="G824" s="6"/>
    </row>
    <row r="825" spans="1:7" x14ac:dyDescent="0.25">
      <c r="A825" s="6"/>
      <c r="B825" s="6"/>
      <c r="C825" s="6"/>
      <c r="D825" s="6"/>
      <c r="E825" s="6"/>
      <c r="F825" s="6"/>
      <c r="G825" s="6"/>
    </row>
    <row r="826" spans="1:7" x14ac:dyDescent="0.25">
      <c r="A826" s="6"/>
      <c r="B826" s="6"/>
      <c r="C826" s="6"/>
      <c r="D826" s="6"/>
      <c r="E826" s="6"/>
      <c r="F826" s="6"/>
      <c r="G826" s="6"/>
    </row>
    <row r="827" spans="1:7" x14ac:dyDescent="0.25">
      <c r="A827" s="6"/>
      <c r="B827" s="6"/>
      <c r="C827" s="6"/>
      <c r="D827" s="6"/>
      <c r="E827" s="6"/>
      <c r="F827" s="6"/>
      <c r="G827" s="6"/>
    </row>
    <row r="828" spans="1:7" x14ac:dyDescent="0.25">
      <c r="A828" s="6"/>
      <c r="B828" s="6"/>
      <c r="C828" s="6"/>
      <c r="D828" s="6"/>
      <c r="E828" s="6"/>
      <c r="F828" s="6"/>
      <c r="G828" s="6"/>
    </row>
    <row r="829" spans="1:7" x14ac:dyDescent="0.25">
      <c r="A829" s="6"/>
      <c r="B829" s="6"/>
      <c r="C829" s="6"/>
      <c r="D829" s="6"/>
      <c r="E829" s="6"/>
      <c r="F829" s="6"/>
      <c r="G829" s="6"/>
    </row>
    <row r="830" spans="1:7" x14ac:dyDescent="0.25">
      <c r="A830" s="6"/>
      <c r="B830" s="6"/>
      <c r="C830" s="6"/>
      <c r="D830" s="6"/>
      <c r="E830" s="6"/>
      <c r="F830" s="6"/>
      <c r="G830" s="6"/>
    </row>
    <row r="831" spans="1:7" x14ac:dyDescent="0.25">
      <c r="A831" s="6"/>
      <c r="B831" s="6"/>
      <c r="C831" s="6"/>
      <c r="D831" s="6"/>
      <c r="E831" s="6"/>
      <c r="F831" s="6"/>
      <c r="G831" s="6"/>
    </row>
    <row r="832" spans="1:7" x14ac:dyDescent="0.25">
      <c r="A832" s="6"/>
      <c r="B832" s="6"/>
      <c r="C832" s="6"/>
      <c r="D832" s="6"/>
      <c r="E832" s="6"/>
      <c r="F832" s="6"/>
      <c r="G832" s="6"/>
    </row>
    <row r="833" spans="1:7" x14ac:dyDescent="0.25">
      <c r="A833" s="6"/>
      <c r="B833" s="6"/>
      <c r="C833" s="6"/>
      <c r="D833" s="6"/>
      <c r="E833" s="6"/>
      <c r="F833" s="6"/>
      <c r="G833" s="6"/>
    </row>
    <row r="834" spans="1:7" x14ac:dyDescent="0.25">
      <c r="A834" s="6"/>
      <c r="B834" s="6"/>
      <c r="C834" s="6"/>
      <c r="D834" s="6"/>
      <c r="E834" s="6"/>
      <c r="F834" s="6"/>
      <c r="G834" s="6"/>
    </row>
    <row r="835" spans="1:7" x14ac:dyDescent="0.25">
      <c r="A835" s="6"/>
      <c r="B835" s="6"/>
      <c r="C835" s="6"/>
      <c r="D835" s="6"/>
      <c r="E835" s="6"/>
      <c r="F835" s="6"/>
      <c r="G835" s="6"/>
    </row>
    <row r="836" spans="1:7" x14ac:dyDescent="0.25">
      <c r="A836" s="6"/>
      <c r="B836" s="6"/>
      <c r="C836" s="6"/>
      <c r="D836" s="6"/>
      <c r="E836" s="6"/>
      <c r="F836" s="6"/>
      <c r="G836" s="6"/>
    </row>
    <row r="837" spans="1:7" x14ac:dyDescent="0.25">
      <c r="A837" s="6"/>
      <c r="B837" s="6"/>
      <c r="C837" s="6"/>
      <c r="D837" s="6"/>
      <c r="E837" s="6"/>
      <c r="F837" s="6"/>
      <c r="G837" s="6"/>
    </row>
    <row r="838" spans="1:7" x14ac:dyDescent="0.25">
      <c r="A838" s="6"/>
      <c r="B838" s="6"/>
      <c r="C838" s="6"/>
      <c r="D838" s="6"/>
      <c r="E838" s="6"/>
      <c r="F838" s="6"/>
      <c r="G838" s="6"/>
    </row>
    <row r="839" spans="1:7" x14ac:dyDescent="0.25">
      <c r="A839" s="6"/>
      <c r="B839" s="6"/>
      <c r="C839" s="6"/>
      <c r="D839" s="6"/>
      <c r="E839" s="6"/>
      <c r="F839" s="6"/>
      <c r="G839" s="6"/>
    </row>
    <row r="840" spans="1:7" x14ac:dyDescent="0.25">
      <c r="A840" s="6"/>
      <c r="B840" s="6"/>
      <c r="C840" s="6"/>
      <c r="D840" s="6"/>
      <c r="E840" s="6"/>
      <c r="F840" s="6"/>
      <c r="G840" s="6"/>
    </row>
    <row r="841" spans="1:7" x14ac:dyDescent="0.25">
      <c r="A841" s="6"/>
      <c r="B841" s="6"/>
      <c r="C841" s="6"/>
      <c r="D841" s="6"/>
      <c r="E841" s="6"/>
      <c r="F841" s="6"/>
      <c r="G841" s="6"/>
    </row>
    <row r="842" spans="1:7" x14ac:dyDescent="0.25">
      <c r="A842" s="6"/>
      <c r="B842" s="6"/>
      <c r="C842" s="6"/>
      <c r="D842" s="6"/>
      <c r="E842" s="6"/>
      <c r="F842" s="6"/>
      <c r="G842" s="6"/>
    </row>
    <row r="843" spans="1:7" x14ac:dyDescent="0.25">
      <c r="A843" s="6"/>
      <c r="B843" s="6"/>
      <c r="C843" s="6"/>
      <c r="D843" s="6"/>
      <c r="E843" s="6"/>
      <c r="F843" s="6"/>
      <c r="G843" s="6"/>
    </row>
    <row r="844" spans="1:7" x14ac:dyDescent="0.25">
      <c r="A844" s="6"/>
      <c r="B844" s="6"/>
      <c r="C844" s="6"/>
      <c r="D844" s="6"/>
      <c r="E844" s="6"/>
      <c r="F844" s="6"/>
      <c r="G844" s="6"/>
    </row>
    <row r="845" spans="1:7" x14ac:dyDescent="0.25">
      <c r="A845" s="6"/>
      <c r="B845" s="6"/>
      <c r="C845" s="6"/>
      <c r="D845" s="6"/>
      <c r="E845" s="6"/>
      <c r="F845" s="6"/>
      <c r="G845" s="6"/>
    </row>
    <row r="846" spans="1:7" x14ac:dyDescent="0.25">
      <c r="A846" s="6"/>
      <c r="B846" s="6"/>
      <c r="C846" s="6"/>
      <c r="D846" s="6"/>
      <c r="E846" s="6"/>
      <c r="F846" s="6"/>
      <c r="G846" s="6"/>
    </row>
    <row r="847" spans="1:7" x14ac:dyDescent="0.25">
      <c r="A847" s="6"/>
      <c r="B847" s="6"/>
      <c r="C847" s="6"/>
      <c r="D847" s="6"/>
      <c r="E847" s="6"/>
      <c r="F847" s="6"/>
      <c r="G847" s="6"/>
    </row>
    <row r="848" spans="1:7" x14ac:dyDescent="0.25">
      <c r="A848" s="6"/>
      <c r="B848" s="6"/>
      <c r="C848" s="6"/>
      <c r="D848" s="6"/>
      <c r="E848" s="6"/>
      <c r="F848" s="6"/>
      <c r="G848" s="6"/>
    </row>
    <row r="849" spans="1:7" x14ac:dyDescent="0.25">
      <c r="A849" s="6"/>
      <c r="B849" s="6"/>
      <c r="C849" s="6"/>
      <c r="D849" s="6"/>
      <c r="E849" s="6"/>
      <c r="F849" s="6"/>
      <c r="G849" s="6"/>
    </row>
    <row r="850" spans="1:7" x14ac:dyDescent="0.25">
      <c r="A850" s="6"/>
      <c r="B850" s="6"/>
      <c r="C850" s="6"/>
      <c r="D850" s="6"/>
      <c r="E850" s="6"/>
      <c r="F850" s="6"/>
      <c r="G850" s="6"/>
    </row>
    <row r="851" spans="1:7" x14ac:dyDescent="0.25">
      <c r="A851" s="6"/>
      <c r="B851" s="6"/>
      <c r="C851" s="6"/>
      <c r="D851" s="6"/>
      <c r="E851" s="6"/>
      <c r="F851" s="6"/>
      <c r="G851" s="6"/>
    </row>
    <row r="852" spans="1:7" x14ac:dyDescent="0.25">
      <c r="A852" s="6"/>
      <c r="B852" s="6"/>
      <c r="C852" s="6"/>
      <c r="D852" s="6"/>
      <c r="E852" s="6"/>
      <c r="F852" s="6"/>
      <c r="G852" s="6"/>
    </row>
    <row r="853" spans="1:7" x14ac:dyDescent="0.25">
      <c r="A853" s="6"/>
      <c r="B853" s="6"/>
      <c r="C853" s="6"/>
      <c r="D853" s="6"/>
      <c r="E853" s="6"/>
      <c r="F853" s="6"/>
      <c r="G853" s="6"/>
    </row>
    <row r="854" spans="1:7" x14ac:dyDescent="0.25">
      <c r="A854" s="6"/>
      <c r="B854" s="6"/>
      <c r="C854" s="6"/>
      <c r="D854" s="6"/>
      <c r="E854" s="6"/>
      <c r="F854" s="6"/>
      <c r="G854" s="6"/>
    </row>
    <row r="855" spans="1:7" x14ac:dyDescent="0.25">
      <c r="A855" s="6"/>
      <c r="B855" s="6"/>
      <c r="C855" s="6"/>
      <c r="D855" s="6"/>
      <c r="E855" s="6"/>
      <c r="F855" s="6"/>
      <c r="G855" s="6"/>
    </row>
    <row r="856" spans="1:7" x14ac:dyDescent="0.25">
      <c r="A856" s="6"/>
      <c r="B856" s="6"/>
      <c r="C856" s="6"/>
      <c r="D856" s="6"/>
      <c r="E856" s="6"/>
      <c r="F856" s="6"/>
      <c r="G856" s="6"/>
    </row>
    <row r="857" spans="1:7" x14ac:dyDescent="0.25">
      <c r="A857" s="6"/>
      <c r="B857" s="6"/>
      <c r="C857" s="6"/>
      <c r="D857" s="6"/>
      <c r="E857" s="6"/>
      <c r="F857" s="6"/>
      <c r="G857" s="6"/>
    </row>
    <row r="858" spans="1:7" x14ac:dyDescent="0.25">
      <c r="A858" s="6"/>
      <c r="B858" s="6"/>
      <c r="C858" s="6"/>
      <c r="D858" s="6"/>
      <c r="E858" s="6"/>
      <c r="F858" s="6"/>
      <c r="G858" s="6"/>
    </row>
    <row r="859" spans="1:7" x14ac:dyDescent="0.25">
      <c r="A859" s="6"/>
      <c r="B859" s="6"/>
      <c r="C859" s="6"/>
      <c r="D859" s="6"/>
      <c r="E859" s="6"/>
      <c r="F859" s="6"/>
      <c r="G859" s="6"/>
    </row>
    <row r="860" spans="1:7" x14ac:dyDescent="0.25">
      <c r="A860" s="6"/>
      <c r="B860" s="6"/>
      <c r="C860" s="6"/>
      <c r="D860" s="6"/>
      <c r="E860" s="6"/>
      <c r="F860" s="6"/>
      <c r="G860" s="6"/>
    </row>
    <row r="861" spans="1:7" x14ac:dyDescent="0.25">
      <c r="A861" s="6"/>
      <c r="B861" s="6"/>
      <c r="C861" s="6"/>
      <c r="D861" s="6"/>
      <c r="E861" s="6"/>
      <c r="F861" s="6"/>
      <c r="G861" s="6"/>
    </row>
    <row r="862" spans="1:7" x14ac:dyDescent="0.25">
      <c r="A862" s="6"/>
      <c r="B862" s="6"/>
      <c r="C862" s="6"/>
      <c r="D862" s="6"/>
      <c r="E862" s="6"/>
      <c r="F862" s="6"/>
      <c r="G862" s="6"/>
    </row>
    <row r="863" spans="1:7" x14ac:dyDescent="0.25">
      <c r="A863" s="6"/>
      <c r="B863" s="6"/>
      <c r="C863" s="6"/>
      <c r="D863" s="6"/>
      <c r="E863" s="6"/>
      <c r="F863" s="6"/>
      <c r="G863" s="6"/>
    </row>
    <row r="864" spans="1:7" x14ac:dyDescent="0.25">
      <c r="A864" s="6"/>
      <c r="B864" s="6"/>
      <c r="C864" s="6"/>
      <c r="D864" s="6"/>
      <c r="E864" s="6"/>
      <c r="F864" s="6"/>
      <c r="G864" s="6"/>
    </row>
    <row r="865" spans="1:7" x14ac:dyDescent="0.25">
      <c r="A865" s="6"/>
      <c r="B865" s="6"/>
      <c r="C865" s="6"/>
      <c r="D865" s="6"/>
      <c r="E865" s="6"/>
      <c r="F865" s="6"/>
      <c r="G865" s="6"/>
    </row>
    <row r="866" spans="1:7" x14ac:dyDescent="0.25">
      <c r="A866" s="6"/>
      <c r="B866" s="6"/>
      <c r="C866" s="6"/>
      <c r="D866" s="6"/>
      <c r="E866" s="6"/>
      <c r="F866" s="6"/>
      <c r="G866" s="6"/>
    </row>
    <row r="867" spans="1:7" x14ac:dyDescent="0.25">
      <c r="A867" s="6"/>
      <c r="B867" s="6"/>
      <c r="C867" s="6"/>
      <c r="D867" s="6"/>
      <c r="E867" s="6"/>
      <c r="F867" s="6"/>
      <c r="G867" s="6"/>
    </row>
    <row r="868" spans="1:7" x14ac:dyDescent="0.25">
      <c r="A868" s="6"/>
      <c r="B868" s="6"/>
      <c r="C868" s="6"/>
      <c r="D868" s="6"/>
      <c r="E868" s="6"/>
      <c r="F868" s="6"/>
      <c r="G868" s="6"/>
    </row>
    <row r="869" spans="1:7" x14ac:dyDescent="0.25">
      <c r="A869" s="6"/>
      <c r="B869" s="6"/>
      <c r="C869" s="6"/>
      <c r="D869" s="6"/>
      <c r="E869" s="6"/>
      <c r="F869" s="6"/>
      <c r="G869" s="6"/>
    </row>
    <row r="870" spans="1:7" x14ac:dyDescent="0.25">
      <c r="A870" s="6"/>
      <c r="B870" s="6"/>
      <c r="C870" s="6"/>
      <c r="D870" s="6"/>
      <c r="E870" s="6"/>
      <c r="F870" s="6"/>
      <c r="G870" s="6"/>
    </row>
    <row r="871" spans="1:7" x14ac:dyDescent="0.25">
      <c r="A871" s="6"/>
      <c r="B871" s="6"/>
      <c r="C871" s="6"/>
      <c r="D871" s="6"/>
      <c r="E871" s="6"/>
      <c r="F871" s="6"/>
      <c r="G871" s="6"/>
    </row>
    <row r="872" spans="1:7" x14ac:dyDescent="0.25">
      <c r="A872" s="6"/>
      <c r="B872" s="6"/>
      <c r="C872" s="6"/>
      <c r="D872" s="6"/>
      <c r="E872" s="6"/>
      <c r="F872" s="6"/>
      <c r="G872" s="6"/>
    </row>
    <row r="873" spans="1:7" x14ac:dyDescent="0.25">
      <c r="A873" s="6"/>
      <c r="B873" s="6"/>
      <c r="C873" s="6"/>
      <c r="D873" s="6"/>
      <c r="E873" s="6"/>
      <c r="F873" s="6"/>
      <c r="G873" s="6"/>
    </row>
    <row r="874" spans="1:7" x14ac:dyDescent="0.25">
      <c r="A874" s="6"/>
      <c r="B874" s="6"/>
      <c r="C874" s="6"/>
      <c r="D874" s="6"/>
      <c r="E874" s="6"/>
      <c r="F874" s="6"/>
      <c r="G874" s="6"/>
    </row>
    <row r="875" spans="1:7" x14ac:dyDescent="0.25">
      <c r="A875" s="6"/>
      <c r="B875" s="6"/>
      <c r="C875" s="6"/>
      <c r="D875" s="6"/>
      <c r="E875" s="6"/>
      <c r="F875" s="6"/>
      <c r="G875" s="6"/>
    </row>
    <row r="876" spans="1:7" x14ac:dyDescent="0.25">
      <c r="A876" s="6"/>
      <c r="B876" s="6"/>
      <c r="C876" s="6"/>
      <c r="D876" s="6"/>
      <c r="E876" s="6"/>
      <c r="F876" s="6"/>
      <c r="G876" s="6"/>
    </row>
    <row r="877" spans="1:7" x14ac:dyDescent="0.25">
      <c r="A877" s="6"/>
      <c r="B877" s="6"/>
      <c r="C877" s="6"/>
      <c r="D877" s="6"/>
      <c r="E877" s="6"/>
      <c r="F877" s="6"/>
      <c r="G877" s="6"/>
    </row>
    <row r="878" spans="1:7" x14ac:dyDescent="0.25">
      <c r="A878" s="6"/>
      <c r="B878" s="6"/>
      <c r="C878" s="6"/>
      <c r="D878" s="6"/>
      <c r="E878" s="6"/>
      <c r="F878" s="6"/>
      <c r="G878" s="6"/>
    </row>
    <row r="879" spans="1:7" x14ac:dyDescent="0.25">
      <c r="A879" s="6"/>
      <c r="B879" s="6"/>
      <c r="C879" s="6"/>
      <c r="D879" s="6"/>
      <c r="E879" s="6"/>
      <c r="F879" s="6"/>
      <c r="G879" s="6"/>
    </row>
    <row r="880" spans="1:7" x14ac:dyDescent="0.25">
      <c r="A880" s="6"/>
      <c r="B880" s="6"/>
      <c r="C880" s="6"/>
      <c r="D880" s="6"/>
      <c r="E880" s="6"/>
      <c r="F880" s="6"/>
      <c r="G880" s="6"/>
    </row>
    <row r="881" spans="1:7" x14ac:dyDescent="0.25">
      <c r="A881" s="6"/>
      <c r="B881" s="6"/>
      <c r="C881" s="6"/>
      <c r="D881" s="6"/>
      <c r="E881" s="6"/>
      <c r="F881" s="6"/>
      <c r="G881" s="6"/>
    </row>
    <row r="882" spans="1:7" x14ac:dyDescent="0.25">
      <c r="A882" s="6"/>
      <c r="B882" s="6"/>
      <c r="C882" s="6"/>
      <c r="D882" s="6"/>
      <c r="E882" s="6"/>
      <c r="F882" s="6"/>
      <c r="G882" s="6"/>
    </row>
    <row r="883" spans="1:7" x14ac:dyDescent="0.25">
      <c r="A883" s="6"/>
      <c r="B883" s="6"/>
      <c r="C883" s="6"/>
      <c r="D883" s="6"/>
      <c r="E883" s="6"/>
      <c r="F883" s="6"/>
      <c r="G883" s="6"/>
    </row>
    <row r="884" spans="1:7" x14ac:dyDescent="0.25">
      <c r="A884" s="6"/>
      <c r="B884" s="6"/>
      <c r="C884" s="6"/>
      <c r="D884" s="6"/>
      <c r="E884" s="6"/>
      <c r="F884" s="6"/>
      <c r="G884" s="6"/>
    </row>
    <row r="885" spans="1:7" x14ac:dyDescent="0.25">
      <c r="A885" s="6"/>
      <c r="B885" s="6"/>
      <c r="C885" s="6"/>
      <c r="D885" s="6"/>
      <c r="E885" s="6"/>
      <c r="F885" s="6"/>
      <c r="G885" s="6"/>
    </row>
    <row r="886" spans="1:7" x14ac:dyDescent="0.25">
      <c r="A886" s="6"/>
      <c r="B886" s="6"/>
      <c r="C886" s="6"/>
      <c r="D886" s="6"/>
      <c r="E886" s="6"/>
      <c r="F886" s="6"/>
      <c r="G886" s="6"/>
    </row>
    <row r="887" spans="1:7" x14ac:dyDescent="0.25">
      <c r="A887" s="6"/>
      <c r="B887" s="6"/>
      <c r="C887" s="6"/>
      <c r="D887" s="6"/>
      <c r="E887" s="6"/>
      <c r="F887" s="6"/>
      <c r="G887" s="6"/>
    </row>
    <row r="888" spans="1:7" x14ac:dyDescent="0.25">
      <c r="A888" s="6"/>
      <c r="B888" s="6"/>
      <c r="C888" s="6"/>
      <c r="D888" s="6"/>
      <c r="E888" s="6"/>
      <c r="F888" s="6"/>
      <c r="G888" s="6"/>
    </row>
    <row r="889" spans="1:7" x14ac:dyDescent="0.25">
      <c r="A889" s="6"/>
      <c r="B889" s="6"/>
      <c r="C889" s="6"/>
      <c r="D889" s="6"/>
      <c r="E889" s="6"/>
      <c r="F889" s="6"/>
      <c r="G889" s="6"/>
    </row>
    <row r="890" spans="1:7" x14ac:dyDescent="0.25">
      <c r="A890" s="6"/>
      <c r="B890" s="6"/>
      <c r="C890" s="6"/>
      <c r="D890" s="6"/>
      <c r="E890" s="6"/>
      <c r="F890" s="6"/>
      <c r="G890" s="6"/>
    </row>
    <row r="891" spans="1:7" x14ac:dyDescent="0.25">
      <c r="A891" s="6"/>
      <c r="B891" s="6"/>
      <c r="C891" s="6"/>
      <c r="D891" s="6"/>
      <c r="E891" s="6"/>
      <c r="F891" s="6"/>
      <c r="G891" s="6"/>
    </row>
    <row r="892" spans="1:7" x14ac:dyDescent="0.25">
      <c r="A892" s="6"/>
      <c r="B892" s="6"/>
      <c r="C892" s="6"/>
      <c r="D892" s="6"/>
      <c r="E892" s="6"/>
      <c r="F892" s="6"/>
      <c r="G892" s="6"/>
    </row>
    <row r="893" spans="1:7" x14ac:dyDescent="0.25">
      <c r="A893" s="6"/>
      <c r="B893" s="6"/>
      <c r="C893" s="6"/>
      <c r="D893" s="6"/>
      <c r="E893" s="6"/>
      <c r="F893" s="6"/>
      <c r="G893" s="6"/>
    </row>
    <row r="894" spans="1:7" x14ac:dyDescent="0.25">
      <c r="A894" s="6"/>
      <c r="B894" s="6"/>
      <c r="C894" s="6"/>
      <c r="D894" s="6"/>
      <c r="E894" s="6"/>
      <c r="F894" s="6"/>
      <c r="G894" s="6"/>
    </row>
    <row r="895" spans="1:7" x14ac:dyDescent="0.25">
      <c r="A895" s="6"/>
      <c r="B895" s="6"/>
      <c r="C895" s="6"/>
      <c r="D895" s="6"/>
      <c r="E895" s="6"/>
      <c r="F895" s="6"/>
      <c r="G895" s="6"/>
    </row>
    <row r="896" spans="1:7" x14ac:dyDescent="0.25">
      <c r="A896" s="6"/>
      <c r="B896" s="6"/>
      <c r="C896" s="6"/>
      <c r="D896" s="6"/>
      <c r="E896" s="6"/>
      <c r="F896" s="6"/>
      <c r="G896" s="6"/>
    </row>
    <row r="897" spans="1:7" x14ac:dyDescent="0.25">
      <c r="A897" s="6"/>
      <c r="B897" s="6"/>
      <c r="C897" s="6"/>
      <c r="D897" s="6"/>
      <c r="E897" s="6"/>
      <c r="F897" s="6"/>
      <c r="G897" s="6"/>
    </row>
    <row r="898" spans="1:7" x14ac:dyDescent="0.25">
      <c r="A898" s="6"/>
      <c r="B898" s="6"/>
      <c r="C898" s="6"/>
      <c r="D898" s="6"/>
      <c r="E898" s="6"/>
      <c r="F898" s="6"/>
      <c r="G898" s="6"/>
    </row>
    <row r="899" spans="1:7" x14ac:dyDescent="0.25">
      <c r="A899" s="6"/>
      <c r="B899" s="6"/>
      <c r="C899" s="6"/>
      <c r="D899" s="6"/>
      <c r="E899" s="6"/>
      <c r="F899" s="6"/>
      <c r="G899" s="6"/>
    </row>
    <row r="900" spans="1:7" x14ac:dyDescent="0.25">
      <c r="A900" s="6"/>
      <c r="B900" s="6"/>
      <c r="C900" s="6"/>
      <c r="D900" s="6"/>
      <c r="E900" s="6"/>
      <c r="F900" s="6"/>
      <c r="G900" s="6"/>
    </row>
    <row r="901" spans="1:7" x14ac:dyDescent="0.25">
      <c r="A901" s="6"/>
      <c r="B901" s="6"/>
      <c r="C901" s="6"/>
      <c r="D901" s="6"/>
      <c r="E901" s="6"/>
      <c r="F901" s="6"/>
      <c r="G901" s="6"/>
    </row>
    <row r="902" spans="1:7" x14ac:dyDescent="0.25">
      <c r="A902" s="6"/>
      <c r="B902" s="6"/>
      <c r="C902" s="6"/>
      <c r="D902" s="6"/>
      <c r="E902" s="6"/>
      <c r="F902" s="6"/>
      <c r="G902" s="6"/>
    </row>
    <row r="903" spans="1:7" x14ac:dyDescent="0.25">
      <c r="A903" s="6"/>
      <c r="B903" s="6"/>
      <c r="C903" s="6"/>
      <c r="D903" s="6"/>
      <c r="E903" s="6"/>
      <c r="F903" s="6"/>
      <c r="G903" s="6"/>
    </row>
    <row r="904" spans="1:7" x14ac:dyDescent="0.25">
      <c r="A904" s="6"/>
      <c r="B904" s="6"/>
      <c r="C904" s="6"/>
      <c r="D904" s="6"/>
      <c r="E904" s="6"/>
      <c r="F904" s="6"/>
      <c r="G904" s="6"/>
    </row>
    <row r="905" spans="1:7" x14ac:dyDescent="0.25">
      <c r="A905" s="6"/>
      <c r="B905" s="6"/>
      <c r="C905" s="6"/>
      <c r="D905" s="6"/>
      <c r="E905" s="6"/>
      <c r="F905" s="6"/>
      <c r="G905" s="6"/>
    </row>
    <row r="906" spans="1:7" x14ac:dyDescent="0.25">
      <c r="A906" s="6"/>
      <c r="B906" s="6"/>
      <c r="C906" s="6"/>
      <c r="D906" s="6"/>
      <c r="E906" s="6"/>
      <c r="F906" s="6"/>
      <c r="G906" s="6"/>
    </row>
    <row r="907" spans="1:7" x14ac:dyDescent="0.25">
      <c r="A907" s="6"/>
      <c r="B907" s="6"/>
      <c r="C907" s="6"/>
      <c r="D907" s="6"/>
      <c r="E907" s="6"/>
      <c r="F907" s="6"/>
      <c r="G907" s="6"/>
    </row>
    <row r="908" spans="1:7" x14ac:dyDescent="0.25">
      <c r="A908" s="6"/>
      <c r="B908" s="6"/>
      <c r="C908" s="6"/>
      <c r="D908" s="6"/>
      <c r="E908" s="6"/>
      <c r="F908" s="6"/>
      <c r="G908" s="6"/>
    </row>
    <row r="909" spans="1:7" x14ac:dyDescent="0.25">
      <c r="A909" s="6"/>
      <c r="B909" s="6"/>
      <c r="C909" s="6"/>
      <c r="D909" s="6"/>
      <c r="E909" s="6"/>
      <c r="F909" s="6"/>
      <c r="G909" s="6"/>
    </row>
    <row r="910" spans="1:7" x14ac:dyDescent="0.25">
      <c r="A910" s="6"/>
      <c r="B910" s="6"/>
      <c r="C910" s="6"/>
      <c r="D910" s="6"/>
      <c r="E910" s="6"/>
      <c r="F910" s="6"/>
      <c r="G910" s="6"/>
    </row>
    <row r="911" spans="1:7" x14ac:dyDescent="0.25">
      <c r="A911" s="6"/>
      <c r="B911" s="6"/>
      <c r="C911" s="6"/>
      <c r="D911" s="6"/>
      <c r="E911" s="6"/>
      <c r="F911" s="6"/>
      <c r="G911" s="6"/>
    </row>
    <row r="912" spans="1:7" x14ac:dyDescent="0.25">
      <c r="A912" s="6"/>
      <c r="B912" s="6"/>
      <c r="C912" s="6"/>
      <c r="D912" s="6"/>
      <c r="E912" s="6"/>
      <c r="F912" s="6"/>
      <c r="G912" s="6"/>
    </row>
    <row r="913" spans="1:7" x14ac:dyDescent="0.25">
      <c r="A913" s="6"/>
      <c r="B913" s="6"/>
      <c r="C913" s="6"/>
      <c r="D913" s="6"/>
      <c r="E913" s="6"/>
      <c r="F913" s="6"/>
      <c r="G913" s="6"/>
    </row>
    <row r="914" spans="1:7" x14ac:dyDescent="0.25">
      <c r="A914" s="6"/>
      <c r="B914" s="6"/>
      <c r="C914" s="6"/>
      <c r="D914" s="6"/>
      <c r="E914" s="6"/>
      <c r="F914" s="6"/>
      <c r="G914" s="6"/>
    </row>
    <row r="915" spans="1:7" x14ac:dyDescent="0.25">
      <c r="A915" s="6"/>
      <c r="B915" s="6"/>
      <c r="C915" s="6"/>
      <c r="D915" s="6"/>
      <c r="E915" s="6"/>
      <c r="F915" s="6"/>
      <c r="G915" s="6"/>
    </row>
    <row r="916" spans="1:7" x14ac:dyDescent="0.25">
      <c r="A916" s="6"/>
      <c r="B916" s="6"/>
      <c r="C916" s="6"/>
      <c r="D916" s="6"/>
      <c r="E916" s="6"/>
      <c r="F916" s="6"/>
      <c r="G916" s="6"/>
    </row>
    <row r="917" spans="1:7" x14ac:dyDescent="0.25">
      <c r="A917" s="6"/>
      <c r="B917" s="6"/>
      <c r="C917" s="6"/>
      <c r="D917" s="6"/>
      <c r="E917" s="6"/>
      <c r="F917" s="6"/>
      <c r="G917" s="6"/>
    </row>
    <row r="918" spans="1:7" x14ac:dyDescent="0.25">
      <c r="A918" s="6"/>
      <c r="B918" s="6"/>
      <c r="C918" s="6"/>
      <c r="D918" s="6"/>
      <c r="E918" s="6"/>
      <c r="F918" s="6"/>
      <c r="G918" s="6"/>
    </row>
    <row r="919" spans="1:7" x14ac:dyDescent="0.25">
      <c r="A919" s="6"/>
      <c r="B919" s="6"/>
      <c r="C919" s="6"/>
      <c r="D919" s="6"/>
      <c r="E919" s="6"/>
      <c r="F919" s="6"/>
      <c r="G919" s="6"/>
    </row>
    <row r="920" spans="1:7" x14ac:dyDescent="0.25">
      <c r="A920" s="6"/>
      <c r="B920" s="6"/>
      <c r="C920" s="6"/>
      <c r="D920" s="6"/>
      <c r="E920" s="6"/>
      <c r="F920" s="6"/>
      <c r="G920" s="6"/>
    </row>
    <row r="921" spans="1:7" x14ac:dyDescent="0.25">
      <c r="A921" s="6"/>
      <c r="B921" s="6"/>
      <c r="C921" s="6"/>
      <c r="D921" s="6"/>
      <c r="E921" s="6"/>
      <c r="F921" s="6"/>
      <c r="G921" s="6"/>
    </row>
    <row r="922" spans="1:7" x14ac:dyDescent="0.25">
      <c r="A922" s="6"/>
      <c r="B922" s="6"/>
      <c r="C922" s="6"/>
      <c r="D922" s="6"/>
      <c r="E922" s="6"/>
      <c r="F922" s="6"/>
      <c r="G922" s="6"/>
    </row>
    <row r="923" spans="1:7" x14ac:dyDescent="0.25">
      <c r="A923" s="6"/>
      <c r="B923" s="6"/>
      <c r="C923" s="6"/>
      <c r="D923" s="6"/>
      <c r="E923" s="6"/>
      <c r="F923" s="6"/>
      <c r="G923" s="6"/>
    </row>
    <row r="924" spans="1:7" x14ac:dyDescent="0.25">
      <c r="A924" s="6"/>
      <c r="B924" s="6"/>
      <c r="C924" s="6"/>
      <c r="D924" s="6"/>
      <c r="E924" s="6"/>
      <c r="F924" s="6"/>
      <c r="G924" s="6"/>
    </row>
    <row r="925" spans="1:7" x14ac:dyDescent="0.25">
      <c r="A925" s="6"/>
      <c r="B925" s="6"/>
      <c r="C925" s="6"/>
      <c r="D925" s="6"/>
      <c r="E925" s="6"/>
      <c r="F925" s="6"/>
      <c r="G925" s="6"/>
    </row>
    <row r="926" spans="1:7" x14ac:dyDescent="0.25">
      <c r="A926" s="6"/>
      <c r="B926" s="6"/>
      <c r="C926" s="6"/>
      <c r="D926" s="6"/>
      <c r="E926" s="6"/>
      <c r="F926" s="6"/>
      <c r="G926" s="6"/>
    </row>
    <row r="927" spans="1:7" x14ac:dyDescent="0.25">
      <c r="A927" s="6"/>
      <c r="B927" s="6"/>
      <c r="C927" s="6"/>
      <c r="D927" s="6"/>
      <c r="E927" s="6"/>
      <c r="F927" s="6"/>
      <c r="G927" s="6"/>
    </row>
    <row r="928" spans="1:7" x14ac:dyDescent="0.25">
      <c r="A928" s="6"/>
      <c r="B928" s="6"/>
      <c r="C928" s="6"/>
      <c r="D928" s="6"/>
      <c r="E928" s="6"/>
      <c r="F928" s="6"/>
      <c r="G928" s="6"/>
    </row>
    <row r="929" spans="1:7" x14ac:dyDescent="0.25">
      <c r="A929" s="6"/>
      <c r="B929" s="6"/>
      <c r="C929" s="6"/>
      <c r="D929" s="6"/>
      <c r="E929" s="6"/>
      <c r="F929" s="6"/>
      <c r="G929" s="6"/>
    </row>
    <row r="930" spans="1:7" x14ac:dyDescent="0.25">
      <c r="A930" s="6"/>
      <c r="B930" s="6"/>
      <c r="C930" s="6"/>
      <c r="D930" s="6"/>
      <c r="E930" s="6"/>
      <c r="F930" s="6"/>
      <c r="G930" s="6"/>
    </row>
    <row r="931" spans="1:7" x14ac:dyDescent="0.25">
      <c r="A931" s="6"/>
      <c r="B931" s="6"/>
      <c r="C931" s="6"/>
      <c r="D931" s="6"/>
      <c r="E931" s="6"/>
      <c r="F931" s="6"/>
      <c r="G931" s="6"/>
    </row>
    <row r="932" spans="1:7" x14ac:dyDescent="0.25">
      <c r="A932" s="6"/>
      <c r="B932" s="6"/>
      <c r="C932" s="6"/>
      <c r="D932" s="6"/>
      <c r="E932" s="6"/>
      <c r="F932" s="6"/>
      <c r="G932" s="6"/>
    </row>
    <row r="933" spans="1:7" x14ac:dyDescent="0.25">
      <c r="A933" s="6"/>
      <c r="B933" s="6"/>
      <c r="C933" s="6"/>
      <c r="D933" s="6"/>
      <c r="E933" s="6"/>
      <c r="F933" s="6"/>
      <c r="G933" s="6"/>
    </row>
    <row r="934" spans="1:7" x14ac:dyDescent="0.25">
      <c r="A934" s="6"/>
      <c r="B934" s="6"/>
      <c r="C934" s="6"/>
      <c r="D934" s="6"/>
      <c r="E934" s="6"/>
      <c r="F934" s="6"/>
      <c r="G934" s="6"/>
    </row>
    <row r="935" spans="1:7" x14ac:dyDescent="0.25">
      <c r="A935" s="6"/>
      <c r="B935" s="6"/>
      <c r="C935" s="6"/>
      <c r="D935" s="6"/>
      <c r="E935" s="6"/>
      <c r="F935" s="6"/>
      <c r="G935" s="6"/>
    </row>
    <row r="936" spans="1:7" x14ac:dyDescent="0.25">
      <c r="A936" s="6"/>
      <c r="B936" s="6"/>
      <c r="C936" s="6"/>
      <c r="D936" s="6"/>
      <c r="E936" s="6"/>
      <c r="F936" s="6"/>
      <c r="G936" s="6"/>
    </row>
    <row r="937" spans="1:7" x14ac:dyDescent="0.25">
      <c r="A937" s="6"/>
      <c r="B937" s="6"/>
      <c r="C937" s="6"/>
      <c r="D937" s="6"/>
      <c r="E937" s="6"/>
      <c r="F937" s="6"/>
      <c r="G937" s="6"/>
    </row>
    <row r="938" spans="1:7" x14ac:dyDescent="0.25">
      <c r="A938" s="6"/>
      <c r="B938" s="6"/>
      <c r="C938" s="6"/>
      <c r="D938" s="6"/>
      <c r="E938" s="6"/>
      <c r="F938" s="6"/>
      <c r="G938" s="6"/>
    </row>
    <row r="939" spans="1:7" x14ac:dyDescent="0.25">
      <c r="A939" s="6"/>
      <c r="B939" s="6"/>
      <c r="C939" s="6"/>
      <c r="D939" s="6"/>
      <c r="E939" s="6"/>
      <c r="F939" s="6"/>
      <c r="G939" s="6"/>
    </row>
    <row r="940" spans="1:7" x14ac:dyDescent="0.25">
      <c r="A940" s="6"/>
      <c r="B940" s="6"/>
      <c r="C940" s="6"/>
      <c r="D940" s="6"/>
      <c r="E940" s="6"/>
      <c r="F940" s="6"/>
      <c r="G940" s="6"/>
    </row>
    <row r="941" spans="1:7" x14ac:dyDescent="0.25">
      <c r="A941" s="6"/>
      <c r="B941" s="6"/>
      <c r="C941" s="6"/>
      <c r="D941" s="6"/>
      <c r="E941" s="6"/>
      <c r="F941" s="6"/>
      <c r="G941" s="6"/>
    </row>
    <row r="942" spans="1:7" x14ac:dyDescent="0.25">
      <c r="A942" s="6"/>
      <c r="B942" s="6"/>
      <c r="C942" s="6"/>
      <c r="D942" s="6"/>
      <c r="E942" s="6"/>
      <c r="F942" s="6"/>
      <c r="G942" s="6"/>
    </row>
    <row r="943" spans="1:7" x14ac:dyDescent="0.25">
      <c r="A943" s="6"/>
      <c r="B943" s="6"/>
      <c r="C943" s="6"/>
      <c r="D943" s="6"/>
      <c r="E943" s="6"/>
      <c r="F943" s="6"/>
      <c r="G943" s="6"/>
    </row>
    <row r="944" spans="1:7" x14ac:dyDescent="0.25">
      <c r="A944" s="6"/>
      <c r="B944" s="6"/>
      <c r="C944" s="6"/>
      <c r="D944" s="6"/>
      <c r="E944" s="6"/>
      <c r="F944" s="6"/>
      <c r="G944" s="6"/>
    </row>
    <row r="945" spans="1:7" x14ac:dyDescent="0.25">
      <c r="A945" s="6"/>
      <c r="B945" s="6"/>
      <c r="C945" s="6"/>
      <c r="D945" s="6"/>
      <c r="E945" s="6"/>
      <c r="F945" s="6"/>
      <c r="G945" s="6"/>
    </row>
    <row r="946" spans="1:7" x14ac:dyDescent="0.25">
      <c r="A946" s="6"/>
      <c r="B946" s="6"/>
      <c r="C946" s="6"/>
      <c r="D946" s="6"/>
      <c r="E946" s="6"/>
      <c r="F946" s="6"/>
      <c r="G946" s="6"/>
    </row>
    <row r="947" spans="1:7" x14ac:dyDescent="0.25">
      <c r="A947" s="6"/>
      <c r="B947" s="6"/>
      <c r="C947" s="6"/>
      <c r="D947" s="6"/>
      <c r="E947" s="6"/>
      <c r="F947" s="6"/>
      <c r="G947" s="6"/>
    </row>
    <row r="948" spans="1:7" x14ac:dyDescent="0.25">
      <c r="A948" s="6"/>
      <c r="B948" s="6"/>
      <c r="C948" s="6"/>
      <c r="D948" s="6"/>
      <c r="E948" s="6"/>
      <c r="F948" s="6"/>
      <c r="G948" s="6"/>
    </row>
    <row r="949" spans="1:7" x14ac:dyDescent="0.25">
      <c r="A949" s="6"/>
      <c r="B949" s="6"/>
      <c r="C949" s="6"/>
      <c r="D949" s="6"/>
      <c r="E949" s="6"/>
      <c r="F949" s="6"/>
      <c r="G949" s="6"/>
    </row>
    <row r="950" spans="1:7" x14ac:dyDescent="0.25">
      <c r="A950" s="6"/>
      <c r="B950" s="6"/>
      <c r="C950" s="6"/>
      <c r="D950" s="6"/>
      <c r="E950" s="6"/>
      <c r="F950" s="6"/>
      <c r="G950" s="6"/>
    </row>
    <row r="951" spans="1:7" x14ac:dyDescent="0.25">
      <c r="A951" s="6"/>
      <c r="B951" s="6"/>
      <c r="C951" s="6"/>
      <c r="D951" s="6"/>
      <c r="E951" s="6"/>
      <c r="F951" s="6"/>
      <c r="G951" s="6"/>
    </row>
    <row r="952" spans="1:7" x14ac:dyDescent="0.25">
      <c r="A952" s="6"/>
      <c r="B952" s="6"/>
      <c r="C952" s="6"/>
      <c r="D952" s="6"/>
      <c r="E952" s="6"/>
      <c r="F952" s="6"/>
      <c r="G952" s="6"/>
    </row>
    <row r="953" spans="1:7" x14ac:dyDescent="0.25">
      <c r="A953" s="6"/>
      <c r="B953" s="6"/>
      <c r="C953" s="6"/>
      <c r="D953" s="6"/>
      <c r="E953" s="6"/>
      <c r="F953" s="6"/>
      <c r="G953" s="6"/>
    </row>
    <row r="954" spans="1:7" x14ac:dyDescent="0.25">
      <c r="A954" s="6"/>
      <c r="B954" s="6"/>
      <c r="C954" s="6"/>
      <c r="D954" s="6"/>
      <c r="E954" s="6"/>
      <c r="F954" s="6"/>
      <c r="G954" s="6"/>
    </row>
    <row r="955" spans="1:7" x14ac:dyDescent="0.25">
      <c r="A955" s="6"/>
      <c r="B955" s="6"/>
      <c r="C955" s="6"/>
      <c r="D955" s="6"/>
      <c r="E955" s="6"/>
      <c r="F955" s="6"/>
      <c r="G955" s="6"/>
    </row>
    <row r="956" spans="1:7" x14ac:dyDescent="0.25">
      <c r="A956" s="6"/>
      <c r="B956" s="6"/>
      <c r="C956" s="6"/>
      <c r="D956" s="6"/>
      <c r="E956" s="6"/>
      <c r="F956" s="6"/>
      <c r="G956" s="6"/>
    </row>
    <row r="957" spans="1:7" x14ac:dyDescent="0.25">
      <c r="A957" s="6"/>
      <c r="B957" s="6"/>
      <c r="C957" s="6"/>
      <c r="D957" s="6"/>
      <c r="E957" s="6"/>
      <c r="F957" s="6"/>
      <c r="G957" s="6"/>
    </row>
    <row r="958" spans="1:7" x14ac:dyDescent="0.25">
      <c r="A958" s="6"/>
      <c r="B958" s="6"/>
      <c r="C958" s="6"/>
      <c r="D958" s="6"/>
      <c r="E958" s="6"/>
      <c r="F958" s="6"/>
      <c r="G958" s="6"/>
    </row>
    <row r="959" spans="1:7" x14ac:dyDescent="0.25">
      <c r="A959" s="6"/>
      <c r="B959" s="6"/>
      <c r="C959" s="6"/>
      <c r="D959" s="6"/>
      <c r="E959" s="6"/>
      <c r="F959" s="6"/>
      <c r="G959" s="6"/>
    </row>
    <row r="960" spans="1:7" x14ac:dyDescent="0.25">
      <c r="A960" s="6"/>
      <c r="B960" s="6"/>
      <c r="C960" s="6"/>
      <c r="D960" s="6"/>
      <c r="E960" s="6"/>
      <c r="F960" s="6"/>
      <c r="G960" s="6"/>
    </row>
    <row r="961" spans="1:7" x14ac:dyDescent="0.25">
      <c r="A961" s="6"/>
      <c r="B961" s="6"/>
      <c r="C961" s="6"/>
      <c r="D961" s="6"/>
      <c r="E961" s="6"/>
      <c r="F961" s="6"/>
      <c r="G961" s="6"/>
    </row>
    <row r="962" spans="1:7" x14ac:dyDescent="0.25">
      <c r="A962" s="6"/>
      <c r="B962" s="6"/>
      <c r="C962" s="6"/>
      <c r="D962" s="6"/>
      <c r="E962" s="6"/>
      <c r="F962" s="6"/>
      <c r="G962" s="6"/>
    </row>
    <row r="963" spans="1:7" x14ac:dyDescent="0.25">
      <c r="A963" s="6"/>
      <c r="B963" s="6"/>
      <c r="C963" s="6"/>
      <c r="D963" s="6"/>
      <c r="E963" s="6"/>
      <c r="F963" s="6"/>
      <c r="G963" s="6"/>
    </row>
    <row r="964" spans="1:7" x14ac:dyDescent="0.25">
      <c r="A964" s="6"/>
      <c r="B964" s="6"/>
      <c r="C964" s="6"/>
      <c r="D964" s="6"/>
      <c r="E964" s="6"/>
      <c r="F964" s="6"/>
      <c r="G964" s="6"/>
    </row>
    <row r="965" spans="1:7" x14ac:dyDescent="0.25">
      <c r="A965" s="6"/>
      <c r="B965" s="6"/>
      <c r="C965" s="6"/>
      <c r="D965" s="6"/>
      <c r="E965" s="6"/>
      <c r="F965" s="6"/>
      <c r="G965" s="6"/>
    </row>
    <row r="966" spans="1:7" x14ac:dyDescent="0.25">
      <c r="A966" s="6"/>
      <c r="B966" s="6"/>
      <c r="C966" s="6"/>
      <c r="D966" s="6"/>
      <c r="E966" s="6"/>
      <c r="F966" s="6"/>
      <c r="G966" s="6"/>
    </row>
    <row r="967" spans="1:7" x14ac:dyDescent="0.25">
      <c r="A967" s="6"/>
      <c r="B967" s="6"/>
      <c r="C967" s="6"/>
      <c r="D967" s="6"/>
      <c r="E967" s="6"/>
      <c r="F967" s="6"/>
      <c r="G967" s="6"/>
    </row>
    <row r="968" spans="1:7" x14ac:dyDescent="0.25">
      <c r="A968" s="6"/>
      <c r="B968" s="6"/>
      <c r="C968" s="6"/>
      <c r="D968" s="6"/>
      <c r="E968" s="6"/>
      <c r="F968" s="6"/>
      <c r="G968" s="6"/>
    </row>
    <row r="969" spans="1:7" x14ac:dyDescent="0.25">
      <c r="A969" s="6"/>
      <c r="B969" s="6"/>
      <c r="C969" s="6"/>
      <c r="D969" s="6"/>
      <c r="E969" s="6"/>
      <c r="F969" s="6"/>
      <c r="G969" s="6"/>
    </row>
    <row r="970" spans="1:7" x14ac:dyDescent="0.25">
      <c r="A970" s="6"/>
      <c r="B970" s="6"/>
      <c r="C970" s="6"/>
      <c r="D970" s="6"/>
      <c r="E970" s="6"/>
      <c r="F970" s="6"/>
      <c r="G970" s="6"/>
    </row>
    <row r="971" spans="1:7" x14ac:dyDescent="0.25">
      <c r="A971" s="6"/>
      <c r="B971" s="6"/>
      <c r="C971" s="6"/>
      <c r="D971" s="6"/>
      <c r="E971" s="6"/>
      <c r="F971" s="6"/>
      <c r="G971" s="6"/>
    </row>
    <row r="972" spans="1:7" x14ac:dyDescent="0.25">
      <c r="A972" s="6"/>
      <c r="B972" s="6"/>
      <c r="C972" s="6"/>
      <c r="D972" s="6"/>
      <c r="E972" s="6"/>
      <c r="F972" s="6"/>
      <c r="G972" s="6"/>
    </row>
    <row r="973" spans="1:7" x14ac:dyDescent="0.25">
      <c r="A973" s="6"/>
      <c r="B973" s="6"/>
      <c r="C973" s="6"/>
      <c r="D973" s="6"/>
      <c r="E973" s="6"/>
      <c r="F973" s="6"/>
      <c r="G973" s="6"/>
    </row>
    <row r="974" spans="1:7" x14ac:dyDescent="0.25">
      <c r="A974" s="6"/>
      <c r="B974" s="6"/>
      <c r="C974" s="6"/>
      <c r="D974" s="6"/>
      <c r="E974" s="6"/>
      <c r="F974" s="6"/>
      <c r="G974" s="6"/>
    </row>
    <row r="975" spans="1:7" x14ac:dyDescent="0.25">
      <c r="A975" s="6"/>
      <c r="B975" s="6"/>
      <c r="C975" s="6"/>
      <c r="D975" s="6"/>
      <c r="E975" s="6"/>
      <c r="F975" s="6"/>
      <c r="G975" s="6"/>
    </row>
    <row r="976" spans="1:7" x14ac:dyDescent="0.25">
      <c r="A976" s="6"/>
      <c r="B976" s="6"/>
      <c r="C976" s="6"/>
      <c r="D976" s="6"/>
      <c r="E976" s="6"/>
      <c r="F976" s="6"/>
      <c r="G976" s="6"/>
    </row>
    <row r="977" spans="1:7" x14ac:dyDescent="0.25">
      <c r="A977" s="6"/>
      <c r="B977" s="6"/>
      <c r="C977" s="6"/>
      <c r="D977" s="6"/>
      <c r="E977" s="6"/>
      <c r="F977" s="6"/>
      <c r="G977" s="6"/>
    </row>
    <row r="978" spans="1:7" x14ac:dyDescent="0.25">
      <c r="A978" s="6"/>
      <c r="B978" s="6"/>
      <c r="C978" s="6"/>
      <c r="D978" s="6"/>
      <c r="E978" s="6"/>
      <c r="F978" s="6"/>
      <c r="G978" s="6"/>
    </row>
    <row r="979" spans="1:7" x14ac:dyDescent="0.25">
      <c r="A979" s="6"/>
      <c r="B979" s="6"/>
      <c r="C979" s="6"/>
      <c r="D979" s="6"/>
      <c r="E979" s="6"/>
      <c r="F979" s="6"/>
      <c r="G979" s="6"/>
    </row>
    <row r="980" spans="1:7" x14ac:dyDescent="0.25">
      <c r="A980" s="6"/>
      <c r="B980" s="6"/>
      <c r="C980" s="6"/>
      <c r="D980" s="6"/>
      <c r="E980" s="6"/>
      <c r="F980" s="6"/>
      <c r="G980" s="6"/>
    </row>
    <row r="981" spans="1:7" x14ac:dyDescent="0.25">
      <c r="A981" s="6"/>
      <c r="B981" s="6"/>
      <c r="C981" s="6"/>
      <c r="D981" s="6"/>
      <c r="E981" s="6"/>
      <c r="F981" s="6"/>
      <c r="G981" s="6"/>
    </row>
    <row r="982" spans="1:7" x14ac:dyDescent="0.25">
      <c r="A982" s="6"/>
      <c r="B982" s="6"/>
      <c r="C982" s="6"/>
      <c r="D982" s="6"/>
      <c r="E982" s="6"/>
      <c r="F982" s="6"/>
      <c r="G982" s="6"/>
    </row>
    <row r="983" spans="1:7" x14ac:dyDescent="0.25">
      <c r="A983" s="6"/>
      <c r="B983" s="6"/>
      <c r="C983" s="6"/>
      <c r="D983" s="6"/>
      <c r="E983" s="6"/>
      <c r="F983" s="6"/>
      <c r="G983" s="6"/>
    </row>
    <row r="984" spans="1:7" x14ac:dyDescent="0.25">
      <c r="A984" s="6"/>
      <c r="B984" s="6"/>
      <c r="C984" s="6"/>
      <c r="D984" s="6"/>
      <c r="E984" s="6"/>
      <c r="F984" s="6"/>
      <c r="G984" s="6"/>
    </row>
    <row r="985" spans="1:7" x14ac:dyDescent="0.25">
      <c r="A985" s="6"/>
      <c r="B985" s="6"/>
      <c r="C985" s="6"/>
      <c r="D985" s="6"/>
      <c r="E985" s="6"/>
      <c r="F985" s="6"/>
      <c r="G985" s="6"/>
    </row>
    <row r="986" spans="1:7" x14ac:dyDescent="0.25">
      <c r="A986" s="6"/>
      <c r="B986" s="6"/>
      <c r="C986" s="6"/>
      <c r="D986" s="6"/>
      <c r="E986" s="6"/>
      <c r="F986" s="6"/>
      <c r="G986" s="6"/>
    </row>
    <row r="987" spans="1:7" x14ac:dyDescent="0.25">
      <c r="A987" s="6"/>
      <c r="B987" s="6"/>
      <c r="C987" s="6"/>
      <c r="D987" s="6"/>
      <c r="E987" s="6"/>
      <c r="F987" s="6"/>
      <c r="G987" s="6"/>
    </row>
    <row r="988" spans="1:7" x14ac:dyDescent="0.25">
      <c r="A988" s="6"/>
      <c r="B988" s="6"/>
      <c r="C988" s="6"/>
      <c r="D988" s="6"/>
      <c r="E988" s="6"/>
      <c r="F988" s="6"/>
      <c r="G988" s="6"/>
    </row>
    <row r="989" spans="1:7" x14ac:dyDescent="0.25">
      <c r="A989" s="6"/>
      <c r="B989" s="6"/>
      <c r="C989" s="6"/>
      <c r="D989" s="6"/>
      <c r="E989" s="6"/>
      <c r="F989" s="6"/>
      <c r="G989" s="6"/>
    </row>
    <row r="990" spans="1:7" x14ac:dyDescent="0.25">
      <c r="A990" s="6"/>
      <c r="B990" s="6"/>
      <c r="C990" s="6"/>
      <c r="D990" s="6"/>
      <c r="E990" s="6"/>
      <c r="F990" s="6"/>
      <c r="G990" s="6"/>
    </row>
    <row r="991" spans="1:7" x14ac:dyDescent="0.25">
      <c r="A991" s="6"/>
      <c r="B991" s="6"/>
      <c r="C991" s="6"/>
      <c r="D991" s="6"/>
      <c r="E991" s="6"/>
      <c r="F991" s="6"/>
      <c r="G991" s="6"/>
    </row>
    <row r="992" spans="1:7" x14ac:dyDescent="0.25">
      <c r="A992" s="6"/>
      <c r="B992" s="6"/>
      <c r="C992" s="6"/>
      <c r="D992" s="6"/>
      <c r="E992" s="6"/>
      <c r="F992" s="6"/>
      <c r="G992" s="6"/>
    </row>
    <row r="993" spans="1:7" x14ac:dyDescent="0.25">
      <c r="A993" s="6"/>
      <c r="B993" s="6"/>
      <c r="C993" s="6"/>
      <c r="D993" s="6"/>
      <c r="E993" s="6"/>
      <c r="F993" s="6"/>
      <c r="G993" s="6"/>
    </row>
    <row r="994" spans="1:7" x14ac:dyDescent="0.25">
      <c r="A994" s="6"/>
      <c r="B994" s="6"/>
      <c r="C994" s="6"/>
      <c r="D994" s="6"/>
      <c r="E994" s="6"/>
      <c r="F994" s="6"/>
      <c r="G994" s="6"/>
    </row>
    <row r="995" spans="1:7" x14ac:dyDescent="0.25">
      <c r="A995" s="6"/>
      <c r="B995" s="6"/>
      <c r="C995" s="6"/>
      <c r="D995" s="6"/>
      <c r="E995" s="6"/>
      <c r="F995" s="6"/>
      <c r="G995" s="6"/>
    </row>
    <row r="996" spans="1:7" x14ac:dyDescent="0.25">
      <c r="A996" s="6"/>
      <c r="B996" s="6"/>
      <c r="C996" s="6"/>
      <c r="D996" s="6"/>
      <c r="E996" s="6"/>
      <c r="F996" s="6"/>
      <c r="G996" s="6"/>
    </row>
    <row r="997" spans="1:7" x14ac:dyDescent="0.25">
      <c r="A997" s="6"/>
      <c r="B997" s="6"/>
      <c r="C997" s="6"/>
      <c r="D997" s="6"/>
      <c r="E997" s="6"/>
      <c r="F997" s="6"/>
      <c r="G997" s="6"/>
    </row>
    <row r="998" spans="1:7" x14ac:dyDescent="0.25">
      <c r="A998" s="6"/>
      <c r="B998" s="6"/>
      <c r="C998" s="6"/>
      <c r="D998" s="6"/>
      <c r="E998" s="6"/>
      <c r="F998" s="6"/>
      <c r="G998" s="6"/>
    </row>
    <row r="999" spans="1:7" x14ac:dyDescent="0.25">
      <c r="A999" s="6"/>
      <c r="B999" s="6"/>
      <c r="C999" s="6"/>
      <c r="D999" s="6"/>
      <c r="E999" s="6"/>
      <c r="F999" s="6"/>
      <c r="G999" s="6"/>
    </row>
    <row r="1000" spans="1:7" x14ac:dyDescent="0.25">
      <c r="A1000" s="6"/>
      <c r="B1000" s="6"/>
      <c r="C1000" s="6"/>
      <c r="D1000" s="6"/>
      <c r="E1000" s="6"/>
      <c r="F1000" s="6"/>
      <c r="G1000" s="6"/>
    </row>
    <row r="1001" spans="1:7" x14ac:dyDescent="0.25">
      <c r="A1001" s="6"/>
      <c r="B1001" s="6"/>
      <c r="C1001" s="6"/>
      <c r="D1001" s="6"/>
      <c r="E1001" s="6"/>
      <c r="F1001" s="6"/>
      <c r="G1001" s="6"/>
    </row>
  </sheetData>
  <mergeCells count="1">
    <mergeCell ref="A1:G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1B780-54E4-4785-A9B5-2B01313A256D}">
  <dimension ref="A1:P392"/>
  <sheetViews>
    <sheetView workbookViewId="0">
      <selection activeCell="F18" sqref="F18"/>
    </sheetView>
  </sheetViews>
  <sheetFormatPr defaultRowHeight="15" x14ac:dyDescent="0.25"/>
  <cols>
    <col min="1" max="3" width="11.7109375" style="6" bestFit="1" customWidth="1"/>
    <col min="4" max="4" width="7.28515625" style="6" bestFit="1" customWidth="1"/>
    <col min="5" max="5" width="10.28515625" style="6" bestFit="1" customWidth="1"/>
    <col min="6" max="6" width="7.42578125" style="6" bestFit="1" customWidth="1"/>
    <col min="7" max="7" width="12.140625" style="6" bestFit="1" customWidth="1"/>
    <col min="8" max="8" width="13.5703125" style="6" bestFit="1" customWidth="1"/>
    <col min="9" max="9" width="15.140625" style="6" bestFit="1" customWidth="1"/>
    <col min="10" max="10" width="10.28515625" style="6" bestFit="1" customWidth="1"/>
    <col min="11" max="11" width="11.28515625" style="6" bestFit="1" customWidth="1"/>
    <col min="12" max="12" width="9.5703125" style="6" bestFit="1" customWidth="1"/>
    <col min="13" max="13" width="15.42578125" style="6" bestFit="1" customWidth="1"/>
    <col min="14" max="14" width="11" style="6" bestFit="1" customWidth="1"/>
    <col min="15" max="15" width="14.7109375" style="6" bestFit="1" customWidth="1"/>
    <col min="16" max="16" width="8.28515625" style="6" bestFit="1" customWidth="1"/>
    <col min="17" max="16384" width="9.140625" style="6"/>
  </cols>
  <sheetData>
    <row r="1" spans="1:16" ht="30" x14ac:dyDescent="0.45">
      <c r="A1" s="52" t="s">
        <v>23</v>
      </c>
      <c r="B1" s="53"/>
      <c r="C1" s="53"/>
      <c r="D1" s="53"/>
      <c r="E1" s="53"/>
      <c r="F1" s="53"/>
      <c r="G1" s="53"/>
      <c r="H1" s="53"/>
      <c r="I1" s="53"/>
      <c r="J1" s="53"/>
      <c r="K1" s="54"/>
    </row>
    <row r="2" spans="1:16" x14ac:dyDescent="0.25">
      <c r="A2" s="6" t="s">
        <v>1</v>
      </c>
      <c r="B2" s="6" t="s">
        <v>2</v>
      </c>
      <c r="C2" s="6" t="s">
        <v>3</v>
      </c>
      <c r="D2" s="6" t="s">
        <v>4</v>
      </c>
      <c r="E2" s="6" t="s">
        <v>5</v>
      </c>
      <c r="F2" s="6" t="s">
        <v>6</v>
      </c>
      <c r="G2" s="6" t="s">
        <v>7</v>
      </c>
      <c r="H2" s="6" t="s">
        <v>8</v>
      </c>
      <c r="I2" s="6" t="s">
        <v>9</v>
      </c>
      <c r="J2" s="6" t="s">
        <v>10</v>
      </c>
      <c r="K2" s="6" t="s">
        <v>17</v>
      </c>
      <c r="L2" s="6" t="s">
        <v>18</v>
      </c>
      <c r="M2" s="6" t="s">
        <v>19</v>
      </c>
      <c r="N2" s="6" t="s">
        <v>20</v>
      </c>
      <c r="O2" s="6" t="s">
        <v>21</v>
      </c>
      <c r="P2" s="6" t="s">
        <v>22</v>
      </c>
    </row>
    <row r="3" spans="1:16" x14ac:dyDescent="0.25">
      <c r="A3" s="6">
        <v>620</v>
      </c>
      <c r="B3" s="9">
        <v>40572</v>
      </c>
      <c r="C3" s="6">
        <v>1</v>
      </c>
      <c r="D3" s="6">
        <v>0</v>
      </c>
      <c r="E3" s="6">
        <v>1</v>
      </c>
      <c r="F3" s="6">
        <v>1</v>
      </c>
      <c r="G3" s="6" t="b">
        <v>0</v>
      </c>
      <c r="H3" s="6">
        <v>6</v>
      </c>
      <c r="I3" s="6">
        <v>1</v>
      </c>
      <c r="J3" s="6">
        <v>0.22</v>
      </c>
      <c r="K3" s="6">
        <v>0.2273</v>
      </c>
      <c r="L3" s="6">
        <v>0.64</v>
      </c>
      <c r="M3" s="6">
        <v>0.19400000000000001</v>
      </c>
      <c r="N3" s="6">
        <v>0</v>
      </c>
      <c r="O3" s="6">
        <v>20</v>
      </c>
      <c r="P3" s="6">
        <v>20</v>
      </c>
    </row>
    <row r="4" spans="1:16" x14ac:dyDescent="0.25">
      <c r="A4" s="6">
        <v>621</v>
      </c>
      <c r="B4" s="9">
        <v>40572</v>
      </c>
      <c r="C4" s="6">
        <v>1</v>
      </c>
      <c r="D4" s="6">
        <v>0</v>
      </c>
      <c r="E4" s="6">
        <v>1</v>
      </c>
      <c r="F4" s="6">
        <v>2</v>
      </c>
      <c r="G4" s="6" t="b">
        <v>0</v>
      </c>
      <c r="H4" s="6">
        <v>6</v>
      </c>
      <c r="I4" s="6">
        <v>1</v>
      </c>
      <c r="J4" s="6">
        <v>0.22</v>
      </c>
      <c r="K4" s="6">
        <v>0.2273</v>
      </c>
      <c r="L4" s="6">
        <v>0.64</v>
      </c>
      <c r="M4" s="6">
        <v>0.16420000000000001</v>
      </c>
      <c r="N4" s="6">
        <v>0</v>
      </c>
      <c r="O4" s="6">
        <v>15</v>
      </c>
      <c r="P4" s="6">
        <v>15</v>
      </c>
    </row>
    <row r="5" spans="1:16" x14ac:dyDescent="0.25">
      <c r="A5" s="6">
        <v>622</v>
      </c>
      <c r="B5" s="9">
        <v>40572</v>
      </c>
      <c r="C5" s="6">
        <v>1</v>
      </c>
      <c r="D5" s="6">
        <v>0</v>
      </c>
      <c r="E5" s="6">
        <v>1</v>
      </c>
      <c r="F5" s="6">
        <v>3</v>
      </c>
      <c r="G5" s="6" t="b">
        <v>0</v>
      </c>
      <c r="H5" s="6">
        <v>6</v>
      </c>
      <c r="I5" s="6">
        <v>1</v>
      </c>
      <c r="J5" s="6">
        <v>0.2</v>
      </c>
      <c r="K5" s="6">
        <v>0.21210000000000001</v>
      </c>
      <c r="L5" s="6">
        <v>0.64</v>
      </c>
      <c r="M5" s="6">
        <v>0.1343</v>
      </c>
      <c r="N5" s="6">
        <v>3</v>
      </c>
      <c r="O5" s="6">
        <v>5</v>
      </c>
      <c r="P5" s="6">
        <v>8</v>
      </c>
    </row>
    <row r="6" spans="1:16" x14ac:dyDescent="0.25">
      <c r="A6" s="6">
        <v>623</v>
      </c>
      <c r="B6" s="9">
        <v>40572</v>
      </c>
      <c r="C6" s="6">
        <v>1</v>
      </c>
      <c r="D6" s="6">
        <v>0</v>
      </c>
      <c r="E6" s="6">
        <v>1</v>
      </c>
      <c r="F6" s="6">
        <v>4</v>
      </c>
      <c r="G6" s="6" t="b">
        <v>0</v>
      </c>
      <c r="H6" s="6">
        <v>6</v>
      </c>
      <c r="I6" s="6">
        <v>1</v>
      </c>
      <c r="J6" s="6">
        <v>0.16</v>
      </c>
      <c r="K6" s="6">
        <v>0.18179999999999999</v>
      </c>
      <c r="L6" s="6">
        <v>0.69</v>
      </c>
      <c r="M6" s="6">
        <v>0.1045</v>
      </c>
      <c r="N6" s="6">
        <v>1</v>
      </c>
      <c r="O6" s="6">
        <v>2</v>
      </c>
      <c r="P6" s="6">
        <v>3</v>
      </c>
    </row>
    <row r="7" spans="1:16" x14ac:dyDescent="0.25">
      <c r="A7" s="6">
        <v>624</v>
      </c>
      <c r="B7" s="9">
        <v>40572</v>
      </c>
      <c r="C7" s="6">
        <v>1</v>
      </c>
      <c r="D7" s="6">
        <v>0</v>
      </c>
      <c r="E7" s="6">
        <v>1</v>
      </c>
      <c r="F7" s="6">
        <v>6</v>
      </c>
      <c r="G7" s="6" t="b">
        <v>0</v>
      </c>
      <c r="H7" s="6">
        <v>6</v>
      </c>
      <c r="I7" s="6">
        <v>1</v>
      </c>
      <c r="J7" s="6">
        <v>0.16</v>
      </c>
      <c r="K7" s="6">
        <v>0.18179999999999999</v>
      </c>
      <c r="L7" s="6">
        <v>0.64</v>
      </c>
      <c r="M7" s="6">
        <v>0.1343</v>
      </c>
      <c r="N7" s="6">
        <v>0</v>
      </c>
      <c r="O7" s="6">
        <v>2</v>
      </c>
      <c r="P7" s="6">
        <v>2</v>
      </c>
    </row>
    <row r="8" spans="1:16" x14ac:dyDescent="0.25">
      <c r="A8" s="6">
        <v>625</v>
      </c>
      <c r="B8" s="9">
        <v>40572</v>
      </c>
      <c r="C8" s="6">
        <v>1</v>
      </c>
      <c r="D8" s="6">
        <v>0</v>
      </c>
      <c r="E8" s="6">
        <v>1</v>
      </c>
      <c r="F8" s="6">
        <v>7</v>
      </c>
      <c r="G8" s="6" t="b">
        <v>0</v>
      </c>
      <c r="H8" s="6">
        <v>6</v>
      </c>
      <c r="I8" s="6">
        <v>1</v>
      </c>
      <c r="J8" s="6">
        <v>0.16</v>
      </c>
      <c r="K8" s="6">
        <v>0.18179999999999999</v>
      </c>
      <c r="L8" s="6">
        <v>0.59</v>
      </c>
      <c r="M8" s="6">
        <v>0.1045</v>
      </c>
      <c r="N8" s="6">
        <v>1</v>
      </c>
      <c r="O8" s="6">
        <v>4</v>
      </c>
      <c r="P8" s="6">
        <v>5</v>
      </c>
    </row>
    <row r="9" spans="1:16" x14ac:dyDescent="0.25">
      <c r="A9" s="6">
        <v>626</v>
      </c>
      <c r="B9" s="9">
        <v>40572</v>
      </c>
      <c r="C9" s="6">
        <v>1</v>
      </c>
      <c r="D9" s="6">
        <v>0</v>
      </c>
      <c r="E9" s="6">
        <v>1</v>
      </c>
      <c r="F9" s="6">
        <v>8</v>
      </c>
      <c r="G9" s="6" t="b">
        <v>0</v>
      </c>
      <c r="H9" s="6">
        <v>6</v>
      </c>
      <c r="I9" s="6">
        <v>1</v>
      </c>
      <c r="J9" s="6">
        <v>0.18</v>
      </c>
      <c r="K9" s="6">
        <v>0.19700000000000001</v>
      </c>
      <c r="L9" s="6">
        <v>0.55000000000000004</v>
      </c>
      <c r="M9" s="6">
        <v>0.16420000000000001</v>
      </c>
      <c r="N9" s="6">
        <v>3</v>
      </c>
      <c r="O9" s="6">
        <v>31</v>
      </c>
      <c r="P9" s="6">
        <v>34</v>
      </c>
    </row>
    <row r="10" spans="1:16" x14ac:dyDescent="0.25">
      <c r="A10" s="6">
        <v>627</v>
      </c>
      <c r="B10" s="9">
        <v>40572</v>
      </c>
      <c r="C10" s="6">
        <v>1</v>
      </c>
      <c r="D10" s="6">
        <v>0</v>
      </c>
      <c r="E10" s="6">
        <v>1</v>
      </c>
      <c r="F10" s="6">
        <v>9</v>
      </c>
      <c r="G10" s="6" t="b">
        <v>0</v>
      </c>
      <c r="H10" s="6">
        <v>6</v>
      </c>
      <c r="I10" s="6">
        <v>1</v>
      </c>
      <c r="J10" s="6">
        <v>0.18</v>
      </c>
      <c r="K10" s="6">
        <v>0.21210000000000001</v>
      </c>
      <c r="L10" s="6">
        <v>0.59</v>
      </c>
      <c r="M10" s="6">
        <v>8.9599999999999999E-2</v>
      </c>
      <c r="N10" s="6">
        <v>0</v>
      </c>
      <c r="O10" s="6">
        <v>34</v>
      </c>
      <c r="P10" s="6">
        <v>34</v>
      </c>
    </row>
    <row r="11" spans="1:16" x14ac:dyDescent="0.25">
      <c r="A11" s="6">
        <v>628</v>
      </c>
      <c r="B11" s="9">
        <v>40572</v>
      </c>
      <c r="C11" s="6">
        <v>1</v>
      </c>
      <c r="D11" s="6">
        <v>0</v>
      </c>
      <c r="E11" s="6">
        <v>1</v>
      </c>
      <c r="F11" s="6">
        <v>10</v>
      </c>
      <c r="G11" s="6" t="b">
        <v>0</v>
      </c>
      <c r="H11" s="6">
        <v>6</v>
      </c>
      <c r="I11" s="6">
        <v>2</v>
      </c>
      <c r="J11" s="6">
        <v>0.18</v>
      </c>
      <c r="K11" s="6">
        <v>0.21210000000000001</v>
      </c>
      <c r="L11" s="6">
        <v>0.64</v>
      </c>
      <c r="M11" s="6">
        <v>0.1045</v>
      </c>
      <c r="N11" s="6">
        <v>4</v>
      </c>
      <c r="O11" s="6">
        <v>51</v>
      </c>
      <c r="P11" s="6">
        <v>55</v>
      </c>
    </row>
    <row r="12" spans="1:16" x14ac:dyDescent="0.25">
      <c r="A12" s="6">
        <v>629</v>
      </c>
      <c r="B12" s="9">
        <v>40572</v>
      </c>
      <c r="C12" s="6">
        <v>1</v>
      </c>
      <c r="D12" s="6">
        <v>0</v>
      </c>
      <c r="E12" s="6">
        <v>1</v>
      </c>
      <c r="F12" s="6">
        <v>11</v>
      </c>
      <c r="G12" s="6" t="b">
        <v>0</v>
      </c>
      <c r="H12" s="6">
        <v>6</v>
      </c>
      <c r="I12" s="6">
        <v>2</v>
      </c>
      <c r="J12" s="6">
        <v>0.18</v>
      </c>
      <c r="K12" s="6">
        <v>0.19700000000000001</v>
      </c>
      <c r="L12" s="6">
        <v>0.64</v>
      </c>
      <c r="M12" s="6">
        <v>0.1343</v>
      </c>
      <c r="N12" s="6">
        <v>4</v>
      </c>
      <c r="O12" s="6">
        <v>60</v>
      </c>
      <c r="P12" s="6">
        <v>64</v>
      </c>
    </row>
    <row r="13" spans="1:16" x14ac:dyDescent="0.25">
      <c r="A13" s="6">
        <v>630</v>
      </c>
      <c r="B13" s="9">
        <v>40572</v>
      </c>
      <c r="C13" s="6">
        <v>1</v>
      </c>
      <c r="D13" s="6">
        <v>0</v>
      </c>
      <c r="E13" s="6">
        <v>1</v>
      </c>
      <c r="F13" s="6">
        <v>12</v>
      </c>
      <c r="G13" s="6" t="b">
        <v>0</v>
      </c>
      <c r="H13" s="6">
        <v>6</v>
      </c>
      <c r="I13" s="6">
        <v>2</v>
      </c>
      <c r="J13" s="6">
        <v>0.2</v>
      </c>
      <c r="K13" s="6">
        <v>0.19700000000000001</v>
      </c>
      <c r="L13" s="6">
        <v>0.59</v>
      </c>
      <c r="M13" s="6">
        <v>0.19400000000000001</v>
      </c>
      <c r="N13" s="6">
        <v>12</v>
      </c>
      <c r="O13" s="6">
        <v>66</v>
      </c>
      <c r="P13" s="6">
        <v>78</v>
      </c>
    </row>
    <row r="14" spans="1:16" x14ac:dyDescent="0.25">
      <c r="A14" s="6">
        <v>631</v>
      </c>
      <c r="B14" s="9">
        <v>40572</v>
      </c>
      <c r="C14" s="6">
        <v>1</v>
      </c>
      <c r="D14" s="6">
        <v>0</v>
      </c>
      <c r="E14" s="6">
        <v>1</v>
      </c>
      <c r="F14" s="6">
        <v>13</v>
      </c>
      <c r="G14" s="6" t="b">
        <v>0</v>
      </c>
      <c r="H14" s="6">
        <v>6</v>
      </c>
      <c r="I14" s="6">
        <v>2</v>
      </c>
      <c r="J14" s="6">
        <v>0.22</v>
      </c>
      <c r="K14" s="6">
        <v>0.2273</v>
      </c>
      <c r="L14" s="6">
        <v>0.55000000000000004</v>
      </c>
      <c r="M14" s="6">
        <v>0.16420000000000001</v>
      </c>
      <c r="N14" s="6">
        <v>9</v>
      </c>
      <c r="O14" s="6">
        <v>56</v>
      </c>
      <c r="P14" s="6">
        <v>65</v>
      </c>
    </row>
    <row r="15" spans="1:16" x14ac:dyDescent="0.25">
      <c r="A15" s="6">
        <v>632</v>
      </c>
      <c r="B15" s="9">
        <v>40572</v>
      </c>
      <c r="C15" s="6">
        <v>1</v>
      </c>
      <c r="D15" s="6">
        <v>0</v>
      </c>
      <c r="E15" s="6">
        <v>1</v>
      </c>
      <c r="F15" s="6">
        <v>14</v>
      </c>
      <c r="G15" s="6" t="b">
        <v>0</v>
      </c>
      <c r="H15" s="6">
        <v>6</v>
      </c>
      <c r="I15" s="6">
        <v>2</v>
      </c>
      <c r="J15" s="6">
        <v>0.22</v>
      </c>
      <c r="K15" s="6">
        <v>0.2273</v>
      </c>
      <c r="L15" s="6">
        <v>0.6</v>
      </c>
      <c r="M15" s="6">
        <v>0.1343</v>
      </c>
      <c r="N15" s="6">
        <v>10</v>
      </c>
      <c r="O15" s="6">
        <v>89</v>
      </c>
      <c r="P15" s="6">
        <v>99</v>
      </c>
    </row>
    <row r="16" spans="1:16" x14ac:dyDescent="0.25">
      <c r="A16" s="6">
        <v>633</v>
      </c>
      <c r="B16" s="9">
        <v>40572</v>
      </c>
      <c r="C16" s="6">
        <v>1</v>
      </c>
      <c r="D16" s="6">
        <v>0</v>
      </c>
      <c r="E16" s="6">
        <v>1</v>
      </c>
      <c r="F16" s="6">
        <v>15</v>
      </c>
      <c r="G16" s="6" t="b">
        <v>0</v>
      </c>
      <c r="H16" s="6">
        <v>6</v>
      </c>
      <c r="I16" s="6">
        <v>1</v>
      </c>
      <c r="J16" s="6">
        <v>0.22</v>
      </c>
      <c r="K16" s="6">
        <v>0.21210000000000001</v>
      </c>
      <c r="L16" s="6">
        <v>0.69</v>
      </c>
      <c r="M16" s="6">
        <v>0.25369999999999998</v>
      </c>
      <c r="N16" s="6">
        <v>22</v>
      </c>
      <c r="O16" s="6">
        <v>98</v>
      </c>
      <c r="P16" s="6">
        <v>120</v>
      </c>
    </row>
    <row r="17" spans="1:16" x14ac:dyDescent="0.25">
      <c r="A17" s="6">
        <v>634</v>
      </c>
      <c r="B17" s="9">
        <v>40572</v>
      </c>
      <c r="C17" s="6">
        <v>1</v>
      </c>
      <c r="D17" s="6">
        <v>0</v>
      </c>
      <c r="E17" s="6">
        <v>1</v>
      </c>
      <c r="F17" s="6">
        <v>16</v>
      </c>
      <c r="G17" s="6" t="b">
        <v>0</v>
      </c>
      <c r="H17" s="6">
        <v>6</v>
      </c>
      <c r="I17" s="6">
        <v>1</v>
      </c>
      <c r="J17" s="6">
        <v>0.24</v>
      </c>
      <c r="K17" s="6">
        <v>0.2424</v>
      </c>
      <c r="L17" s="6">
        <v>0.6</v>
      </c>
      <c r="M17" s="6">
        <v>0.16420000000000001</v>
      </c>
      <c r="N17" s="6">
        <v>19</v>
      </c>
      <c r="O17" s="6">
        <v>88</v>
      </c>
      <c r="P17" s="6">
        <v>107</v>
      </c>
    </row>
    <row r="18" spans="1:16" x14ac:dyDescent="0.25">
      <c r="A18" s="6">
        <v>635</v>
      </c>
      <c r="B18" s="9">
        <v>40572</v>
      </c>
      <c r="C18" s="6">
        <v>1</v>
      </c>
      <c r="D18" s="6">
        <v>0</v>
      </c>
      <c r="E18" s="6">
        <v>1</v>
      </c>
      <c r="F18" s="6">
        <v>17</v>
      </c>
      <c r="G18" s="6" t="b">
        <v>0</v>
      </c>
      <c r="H18" s="6">
        <v>6</v>
      </c>
      <c r="I18" s="6">
        <v>1</v>
      </c>
      <c r="J18" s="6">
        <v>0.24</v>
      </c>
      <c r="K18" s="6">
        <v>0.28789999999999999</v>
      </c>
      <c r="L18" s="6">
        <v>0.6</v>
      </c>
      <c r="M18" s="6">
        <v>0</v>
      </c>
      <c r="N18" s="6">
        <v>9</v>
      </c>
      <c r="O18" s="6">
        <v>82</v>
      </c>
      <c r="P18" s="6">
        <v>91</v>
      </c>
    </row>
    <row r="19" spans="1:16" x14ac:dyDescent="0.25">
      <c r="A19" s="6">
        <v>636</v>
      </c>
      <c r="B19" s="9">
        <v>40572</v>
      </c>
      <c r="C19" s="6">
        <v>1</v>
      </c>
      <c r="D19" s="6">
        <v>0</v>
      </c>
      <c r="E19" s="6">
        <v>1</v>
      </c>
      <c r="F19" s="6">
        <v>18</v>
      </c>
      <c r="G19" s="6" t="b">
        <v>0</v>
      </c>
      <c r="H19" s="6">
        <v>6</v>
      </c>
      <c r="I19" s="6">
        <v>1</v>
      </c>
      <c r="J19" s="6">
        <v>0.22</v>
      </c>
      <c r="K19" s="6">
        <v>0.2273</v>
      </c>
      <c r="L19" s="6">
        <v>0.69</v>
      </c>
      <c r="M19" s="6">
        <v>0.1343</v>
      </c>
      <c r="N19" s="6">
        <v>9</v>
      </c>
      <c r="O19" s="6">
        <v>59</v>
      </c>
      <c r="P19" s="6">
        <v>68</v>
      </c>
    </row>
    <row r="20" spans="1:16" x14ac:dyDescent="0.25">
      <c r="A20" s="6">
        <v>637</v>
      </c>
      <c r="B20" s="9">
        <v>40572</v>
      </c>
      <c r="C20" s="6">
        <v>1</v>
      </c>
      <c r="D20" s="6">
        <v>0</v>
      </c>
      <c r="E20" s="6">
        <v>1</v>
      </c>
      <c r="F20" s="6">
        <v>19</v>
      </c>
      <c r="G20" s="6" t="b">
        <v>0</v>
      </c>
      <c r="H20" s="6">
        <v>6</v>
      </c>
      <c r="I20" s="6">
        <v>2</v>
      </c>
      <c r="J20" s="6">
        <v>0.22</v>
      </c>
      <c r="K20" s="6">
        <v>0.21210000000000001</v>
      </c>
      <c r="L20" s="6">
        <v>0.69</v>
      </c>
      <c r="M20" s="6">
        <v>0.25369999999999998</v>
      </c>
      <c r="N20" s="6">
        <v>6</v>
      </c>
      <c r="O20" s="6">
        <v>52</v>
      </c>
      <c r="P20" s="6">
        <v>58</v>
      </c>
    </row>
    <row r="21" spans="1:16" x14ac:dyDescent="0.25">
      <c r="A21" s="6">
        <v>638</v>
      </c>
      <c r="B21" s="9">
        <v>40572</v>
      </c>
      <c r="C21" s="6">
        <v>1</v>
      </c>
      <c r="D21" s="6">
        <v>0</v>
      </c>
      <c r="E21" s="6">
        <v>1</v>
      </c>
      <c r="F21" s="6">
        <v>20</v>
      </c>
      <c r="G21" s="6" t="b">
        <v>0</v>
      </c>
      <c r="H21" s="6">
        <v>6</v>
      </c>
      <c r="I21" s="6">
        <v>1</v>
      </c>
      <c r="J21" s="6">
        <v>0.18</v>
      </c>
      <c r="K21" s="6">
        <v>0.21210000000000001</v>
      </c>
      <c r="L21" s="6">
        <v>0.74</v>
      </c>
      <c r="M21" s="6">
        <v>8.9599999999999999E-2</v>
      </c>
      <c r="N21" s="6">
        <v>1</v>
      </c>
      <c r="O21" s="6">
        <v>42</v>
      </c>
      <c r="P21" s="6">
        <v>43</v>
      </c>
    </row>
    <row r="22" spans="1:16" x14ac:dyDescent="0.25">
      <c r="A22" s="6">
        <v>639</v>
      </c>
      <c r="B22" s="9">
        <v>40572</v>
      </c>
      <c r="C22" s="6">
        <v>1</v>
      </c>
      <c r="D22" s="6">
        <v>0</v>
      </c>
      <c r="E22" s="6">
        <v>1</v>
      </c>
      <c r="F22" s="6">
        <v>21</v>
      </c>
      <c r="G22" s="6" t="b">
        <v>0</v>
      </c>
      <c r="H22" s="6">
        <v>6</v>
      </c>
      <c r="I22" s="6">
        <v>1</v>
      </c>
      <c r="J22" s="6">
        <v>0.18</v>
      </c>
      <c r="K22" s="6">
        <v>0.21210000000000001</v>
      </c>
      <c r="L22" s="6">
        <v>0.74</v>
      </c>
      <c r="M22" s="6">
        <v>8.9599999999999999E-2</v>
      </c>
      <c r="N22" s="6">
        <v>1</v>
      </c>
      <c r="O22" s="6">
        <v>35</v>
      </c>
      <c r="P22" s="6">
        <v>36</v>
      </c>
    </row>
    <row r="23" spans="1:16" x14ac:dyDescent="0.25">
      <c r="A23" s="6">
        <v>640</v>
      </c>
      <c r="B23" s="9">
        <v>40572</v>
      </c>
      <c r="C23" s="6">
        <v>1</v>
      </c>
      <c r="D23" s="6">
        <v>0</v>
      </c>
      <c r="E23" s="6">
        <v>1</v>
      </c>
      <c r="F23" s="6">
        <v>22</v>
      </c>
      <c r="G23" s="6" t="b">
        <v>0</v>
      </c>
      <c r="H23" s="6">
        <v>6</v>
      </c>
      <c r="I23" s="6">
        <v>1</v>
      </c>
      <c r="J23" s="6">
        <v>0.16</v>
      </c>
      <c r="K23" s="6">
        <v>0.19700000000000001</v>
      </c>
      <c r="L23" s="6">
        <v>0.8</v>
      </c>
      <c r="M23" s="6">
        <v>8.9599999999999999E-2</v>
      </c>
      <c r="N23" s="6">
        <v>4</v>
      </c>
      <c r="O23" s="6">
        <v>28</v>
      </c>
      <c r="P23" s="6">
        <v>32</v>
      </c>
    </row>
    <row r="24" spans="1:16" x14ac:dyDescent="0.25">
      <c r="A24" s="6">
        <v>641</v>
      </c>
      <c r="B24" s="9">
        <v>40572</v>
      </c>
      <c r="C24" s="6">
        <v>1</v>
      </c>
      <c r="D24" s="6">
        <v>0</v>
      </c>
      <c r="E24" s="6">
        <v>1</v>
      </c>
      <c r="F24" s="6">
        <v>23</v>
      </c>
      <c r="G24" s="6" t="b">
        <v>0</v>
      </c>
      <c r="H24" s="6">
        <v>6</v>
      </c>
      <c r="I24" s="6">
        <v>1</v>
      </c>
      <c r="J24" s="6">
        <v>0.16</v>
      </c>
      <c r="K24" s="6">
        <v>0.19700000000000001</v>
      </c>
      <c r="L24" s="6">
        <v>0.8</v>
      </c>
      <c r="M24" s="6">
        <v>8.9599999999999999E-2</v>
      </c>
      <c r="N24" s="6">
        <v>3</v>
      </c>
      <c r="O24" s="6">
        <v>30</v>
      </c>
      <c r="P24" s="6">
        <v>33</v>
      </c>
    </row>
    <row r="25" spans="1:16" x14ac:dyDescent="0.25">
      <c r="A25" s="6">
        <v>642</v>
      </c>
      <c r="B25" s="9">
        <v>40573</v>
      </c>
      <c r="C25" s="6">
        <v>1</v>
      </c>
      <c r="D25" s="6">
        <v>0</v>
      </c>
      <c r="E25" s="6">
        <v>1</v>
      </c>
      <c r="F25" s="6">
        <v>0</v>
      </c>
      <c r="G25" s="6" t="b">
        <v>0</v>
      </c>
      <c r="H25" s="6">
        <v>0</v>
      </c>
      <c r="I25" s="6">
        <v>1</v>
      </c>
      <c r="J25" s="6">
        <v>0.16</v>
      </c>
      <c r="K25" s="6">
        <v>0.18179999999999999</v>
      </c>
      <c r="L25" s="6">
        <v>0.8</v>
      </c>
      <c r="M25" s="6">
        <v>0.1045</v>
      </c>
      <c r="N25" s="6">
        <v>0</v>
      </c>
      <c r="O25" s="6">
        <v>33</v>
      </c>
      <c r="P25" s="6">
        <v>33</v>
      </c>
    </row>
    <row r="26" spans="1:16" x14ac:dyDescent="0.25">
      <c r="A26" s="6">
        <v>643</v>
      </c>
      <c r="B26" s="9">
        <v>40573</v>
      </c>
      <c r="C26" s="6">
        <v>1</v>
      </c>
      <c r="D26" s="6">
        <v>0</v>
      </c>
      <c r="E26" s="6">
        <v>1</v>
      </c>
      <c r="F26" s="6">
        <v>1</v>
      </c>
      <c r="G26" s="6" t="b">
        <v>0</v>
      </c>
      <c r="H26" s="6">
        <v>0</v>
      </c>
      <c r="I26" s="6">
        <v>1</v>
      </c>
      <c r="J26" s="6">
        <v>0.14000000000000001</v>
      </c>
      <c r="K26" s="6">
        <v>0.21210000000000001</v>
      </c>
      <c r="L26" s="6">
        <v>0.8</v>
      </c>
      <c r="M26" s="6">
        <v>0</v>
      </c>
      <c r="N26" s="6">
        <v>7</v>
      </c>
      <c r="O26" s="6">
        <v>22</v>
      </c>
      <c r="P26" s="6">
        <v>29</v>
      </c>
    </row>
    <row r="27" spans="1:16" x14ac:dyDescent="0.25">
      <c r="A27" s="6">
        <v>644</v>
      </c>
      <c r="B27" s="9">
        <v>40573</v>
      </c>
      <c r="C27" s="6">
        <v>1</v>
      </c>
      <c r="D27" s="6">
        <v>0</v>
      </c>
      <c r="E27" s="6">
        <v>1</v>
      </c>
      <c r="F27" s="6">
        <v>2</v>
      </c>
      <c r="G27" s="6" t="b">
        <v>0</v>
      </c>
      <c r="H27" s="6">
        <v>0</v>
      </c>
      <c r="I27" s="6">
        <v>1</v>
      </c>
      <c r="J27" s="6">
        <v>0.16</v>
      </c>
      <c r="K27" s="6">
        <v>0.2273</v>
      </c>
      <c r="L27" s="6">
        <v>0.8</v>
      </c>
      <c r="M27" s="6">
        <v>0</v>
      </c>
      <c r="N27" s="6">
        <v>1</v>
      </c>
      <c r="O27" s="6">
        <v>10</v>
      </c>
      <c r="P27" s="6">
        <v>11</v>
      </c>
    </row>
    <row r="28" spans="1:16" x14ac:dyDescent="0.25">
      <c r="A28" s="6">
        <v>645</v>
      </c>
      <c r="B28" s="9">
        <v>40573</v>
      </c>
      <c r="C28" s="6">
        <v>1</v>
      </c>
      <c r="D28" s="6">
        <v>0</v>
      </c>
      <c r="E28" s="6">
        <v>1</v>
      </c>
      <c r="F28" s="6">
        <v>3</v>
      </c>
      <c r="G28" s="6" t="b">
        <v>0</v>
      </c>
      <c r="H28" s="6">
        <v>0</v>
      </c>
      <c r="I28" s="6">
        <v>1</v>
      </c>
      <c r="J28" s="6">
        <v>0.14000000000000001</v>
      </c>
      <c r="K28" s="6">
        <v>0.21210000000000001</v>
      </c>
      <c r="L28" s="6">
        <v>0.93</v>
      </c>
      <c r="M28" s="6">
        <v>0</v>
      </c>
      <c r="N28" s="6">
        <v>1</v>
      </c>
      <c r="O28" s="6">
        <v>7</v>
      </c>
      <c r="P28" s="6">
        <v>8</v>
      </c>
    </row>
    <row r="29" spans="1:16" x14ac:dyDescent="0.25">
      <c r="A29" s="6">
        <v>646</v>
      </c>
      <c r="B29" s="9">
        <v>40573</v>
      </c>
      <c r="C29" s="6">
        <v>1</v>
      </c>
      <c r="D29" s="6">
        <v>0</v>
      </c>
      <c r="E29" s="6">
        <v>1</v>
      </c>
      <c r="F29" s="6">
        <v>4</v>
      </c>
      <c r="G29" s="6" t="b">
        <v>0</v>
      </c>
      <c r="H29" s="6">
        <v>0</v>
      </c>
      <c r="I29" s="6">
        <v>1</v>
      </c>
      <c r="J29" s="6">
        <v>0.14000000000000001</v>
      </c>
      <c r="K29" s="6">
        <v>0.21210000000000001</v>
      </c>
      <c r="L29" s="6">
        <v>0.93</v>
      </c>
      <c r="M29" s="6">
        <v>0</v>
      </c>
      <c r="N29" s="6">
        <v>0</v>
      </c>
      <c r="O29" s="6">
        <v>1</v>
      </c>
      <c r="P29" s="6">
        <v>1</v>
      </c>
    </row>
    <row r="30" spans="1:16" x14ac:dyDescent="0.25">
      <c r="A30" s="6">
        <v>647</v>
      </c>
      <c r="B30" s="9">
        <v>40573</v>
      </c>
      <c r="C30" s="6">
        <v>1</v>
      </c>
      <c r="D30" s="6">
        <v>0</v>
      </c>
      <c r="E30" s="6">
        <v>1</v>
      </c>
      <c r="F30" s="6">
        <v>5</v>
      </c>
      <c r="G30" s="6" t="b">
        <v>0</v>
      </c>
      <c r="H30" s="6">
        <v>0</v>
      </c>
      <c r="I30" s="6">
        <v>1</v>
      </c>
      <c r="J30" s="6">
        <v>0.14000000000000001</v>
      </c>
      <c r="K30" s="6">
        <v>0.21210000000000001</v>
      </c>
      <c r="L30" s="6">
        <v>0.86</v>
      </c>
      <c r="M30" s="6">
        <v>0</v>
      </c>
      <c r="N30" s="6">
        <v>0</v>
      </c>
      <c r="O30" s="6">
        <v>3</v>
      </c>
      <c r="P30" s="6">
        <v>3</v>
      </c>
    </row>
    <row r="31" spans="1:16" x14ac:dyDescent="0.25">
      <c r="A31" s="6">
        <v>648</v>
      </c>
      <c r="B31" s="9">
        <v>40573</v>
      </c>
      <c r="C31" s="6">
        <v>1</v>
      </c>
      <c r="D31" s="6">
        <v>0</v>
      </c>
      <c r="E31" s="6">
        <v>1</v>
      </c>
      <c r="F31" s="6">
        <v>7</v>
      </c>
      <c r="G31" s="6" t="b">
        <v>0</v>
      </c>
      <c r="H31" s="6">
        <v>0</v>
      </c>
      <c r="I31" s="6">
        <v>1</v>
      </c>
      <c r="J31" s="6">
        <v>0.14000000000000001</v>
      </c>
      <c r="K31" s="6">
        <v>0.21210000000000001</v>
      </c>
      <c r="L31" s="6">
        <v>0.86</v>
      </c>
      <c r="M31" s="6">
        <v>0</v>
      </c>
      <c r="N31" s="6">
        <v>0</v>
      </c>
      <c r="O31" s="6">
        <v>3</v>
      </c>
      <c r="P31" s="6">
        <v>3</v>
      </c>
    </row>
    <row r="32" spans="1:16" x14ac:dyDescent="0.25">
      <c r="A32" s="6">
        <v>649</v>
      </c>
      <c r="B32" s="9">
        <v>40573</v>
      </c>
      <c r="C32" s="6">
        <v>1</v>
      </c>
      <c r="D32" s="6">
        <v>0</v>
      </c>
      <c r="E32" s="6">
        <v>1</v>
      </c>
      <c r="F32" s="6">
        <v>8</v>
      </c>
      <c r="G32" s="6" t="b">
        <v>0</v>
      </c>
      <c r="H32" s="6">
        <v>0</v>
      </c>
      <c r="I32" s="6">
        <v>2</v>
      </c>
      <c r="J32" s="6">
        <v>0.14000000000000001</v>
      </c>
      <c r="K32" s="6">
        <v>0.21210000000000001</v>
      </c>
      <c r="L32" s="6">
        <v>0.86</v>
      </c>
      <c r="M32" s="6">
        <v>0</v>
      </c>
      <c r="N32" s="6">
        <v>1</v>
      </c>
      <c r="O32" s="6">
        <v>11</v>
      </c>
      <c r="P32" s="6">
        <v>12</v>
      </c>
    </row>
    <row r="33" spans="1:16" x14ac:dyDescent="0.25">
      <c r="A33" s="6">
        <v>650</v>
      </c>
      <c r="B33" s="9">
        <v>40573</v>
      </c>
      <c r="C33" s="6">
        <v>1</v>
      </c>
      <c r="D33" s="6">
        <v>0</v>
      </c>
      <c r="E33" s="6">
        <v>1</v>
      </c>
      <c r="F33" s="6">
        <v>9</v>
      </c>
      <c r="G33" s="6" t="b">
        <v>0</v>
      </c>
      <c r="H33" s="6">
        <v>0</v>
      </c>
      <c r="I33" s="6">
        <v>2</v>
      </c>
      <c r="J33" s="6">
        <v>0.16</v>
      </c>
      <c r="K33" s="6">
        <v>0.2273</v>
      </c>
      <c r="L33" s="6">
        <v>0.8</v>
      </c>
      <c r="M33" s="6">
        <v>0</v>
      </c>
      <c r="N33" s="6">
        <v>4</v>
      </c>
      <c r="O33" s="6">
        <v>34</v>
      </c>
      <c r="P33" s="6">
        <v>38</v>
      </c>
    </row>
    <row r="34" spans="1:16" x14ac:dyDescent="0.25">
      <c r="A34" s="6">
        <v>651</v>
      </c>
      <c r="B34" s="9">
        <v>40573</v>
      </c>
      <c r="C34" s="6">
        <v>1</v>
      </c>
      <c r="D34" s="6">
        <v>0</v>
      </c>
      <c r="E34" s="6">
        <v>1</v>
      </c>
      <c r="F34" s="6">
        <v>10</v>
      </c>
      <c r="G34" s="6" t="b">
        <v>0</v>
      </c>
      <c r="H34" s="6">
        <v>0</v>
      </c>
      <c r="I34" s="6">
        <v>2</v>
      </c>
      <c r="J34" s="6">
        <v>0.18</v>
      </c>
      <c r="K34" s="6">
        <v>0.2424</v>
      </c>
      <c r="L34" s="6">
        <v>0.8</v>
      </c>
      <c r="M34" s="6">
        <v>0</v>
      </c>
      <c r="N34" s="6">
        <v>7</v>
      </c>
      <c r="O34" s="6">
        <v>57</v>
      </c>
      <c r="P34" s="6">
        <v>64</v>
      </c>
    </row>
    <row r="35" spans="1:16" x14ac:dyDescent="0.25">
      <c r="A35" s="6">
        <v>652</v>
      </c>
      <c r="B35" s="9">
        <v>40573</v>
      </c>
      <c r="C35" s="6">
        <v>1</v>
      </c>
      <c r="D35" s="6">
        <v>0</v>
      </c>
      <c r="E35" s="6">
        <v>1</v>
      </c>
      <c r="F35" s="6">
        <v>11</v>
      </c>
      <c r="G35" s="6" t="b">
        <v>0</v>
      </c>
      <c r="H35" s="6">
        <v>0</v>
      </c>
      <c r="I35" s="6">
        <v>1</v>
      </c>
      <c r="J35" s="6">
        <v>0.22</v>
      </c>
      <c r="K35" s="6">
        <v>0.2727</v>
      </c>
      <c r="L35" s="6">
        <v>0.75</v>
      </c>
      <c r="M35" s="6">
        <v>0</v>
      </c>
      <c r="N35" s="6">
        <v>9</v>
      </c>
      <c r="O35" s="6">
        <v>50</v>
      </c>
      <c r="P35" s="6">
        <v>59</v>
      </c>
    </row>
    <row r="36" spans="1:16" x14ac:dyDescent="0.25">
      <c r="A36" s="6">
        <v>653</v>
      </c>
      <c r="B36" s="9">
        <v>40573</v>
      </c>
      <c r="C36" s="6">
        <v>1</v>
      </c>
      <c r="D36" s="6">
        <v>0</v>
      </c>
      <c r="E36" s="6">
        <v>1</v>
      </c>
      <c r="F36" s="6">
        <v>12</v>
      </c>
      <c r="G36" s="6" t="b">
        <v>0</v>
      </c>
      <c r="H36" s="6">
        <v>0</v>
      </c>
      <c r="I36" s="6">
        <v>1</v>
      </c>
      <c r="J36" s="6">
        <v>0.3</v>
      </c>
      <c r="K36" s="6">
        <v>0.31819999999999998</v>
      </c>
      <c r="L36" s="6">
        <v>0.52</v>
      </c>
      <c r="M36" s="6">
        <v>0.1045</v>
      </c>
      <c r="N36" s="6">
        <v>10</v>
      </c>
      <c r="O36" s="6">
        <v>87</v>
      </c>
      <c r="P36" s="6">
        <v>97</v>
      </c>
    </row>
    <row r="37" spans="1:16" x14ac:dyDescent="0.25">
      <c r="A37" s="6">
        <v>654</v>
      </c>
      <c r="B37" s="9">
        <v>40573</v>
      </c>
      <c r="C37" s="6">
        <v>1</v>
      </c>
      <c r="D37" s="6">
        <v>0</v>
      </c>
      <c r="E37" s="6">
        <v>1</v>
      </c>
      <c r="F37" s="6">
        <v>13</v>
      </c>
      <c r="G37" s="6" t="b">
        <v>0</v>
      </c>
      <c r="H37" s="6">
        <v>0</v>
      </c>
      <c r="I37" s="6">
        <v>1</v>
      </c>
      <c r="J37" s="6">
        <v>0.28000000000000003</v>
      </c>
      <c r="K37" s="6">
        <v>0.28789999999999999</v>
      </c>
      <c r="L37" s="6">
        <v>0.61</v>
      </c>
      <c r="M37" s="6">
        <v>0.1045</v>
      </c>
      <c r="N37" s="6">
        <v>13</v>
      </c>
      <c r="O37" s="6">
        <v>71</v>
      </c>
      <c r="P37" s="6">
        <v>84</v>
      </c>
    </row>
    <row r="38" spans="1:16" x14ac:dyDescent="0.25">
      <c r="A38" s="6">
        <v>655</v>
      </c>
      <c r="B38" s="9">
        <v>40573</v>
      </c>
      <c r="C38" s="6">
        <v>1</v>
      </c>
      <c r="D38" s="6">
        <v>0</v>
      </c>
      <c r="E38" s="6">
        <v>1</v>
      </c>
      <c r="F38" s="6">
        <v>14</v>
      </c>
      <c r="G38" s="6" t="b">
        <v>0</v>
      </c>
      <c r="H38" s="6">
        <v>0</v>
      </c>
      <c r="I38" s="6">
        <v>1</v>
      </c>
      <c r="J38" s="6">
        <v>0.28000000000000003</v>
      </c>
      <c r="K38" s="6">
        <v>0.30299999999999999</v>
      </c>
      <c r="L38" s="6">
        <v>0.61</v>
      </c>
      <c r="M38" s="6">
        <v>8.9599999999999999E-2</v>
      </c>
      <c r="N38" s="6">
        <v>18</v>
      </c>
      <c r="O38" s="6">
        <v>104</v>
      </c>
      <c r="P38" s="6">
        <v>122</v>
      </c>
    </row>
    <row r="39" spans="1:16" x14ac:dyDescent="0.25">
      <c r="A39" s="6">
        <v>656</v>
      </c>
      <c r="B39" s="9">
        <v>40573</v>
      </c>
      <c r="C39" s="6">
        <v>1</v>
      </c>
      <c r="D39" s="6">
        <v>0</v>
      </c>
      <c r="E39" s="6">
        <v>1</v>
      </c>
      <c r="F39" s="6">
        <v>15</v>
      </c>
      <c r="G39" s="6" t="b">
        <v>0</v>
      </c>
      <c r="H39" s="6">
        <v>0</v>
      </c>
      <c r="I39" s="6">
        <v>1</v>
      </c>
      <c r="J39" s="6">
        <v>0.3</v>
      </c>
      <c r="K39" s="6">
        <v>0.33329999999999999</v>
      </c>
      <c r="L39" s="6">
        <v>0.56000000000000005</v>
      </c>
      <c r="M39" s="6">
        <v>0</v>
      </c>
      <c r="N39" s="6">
        <v>14</v>
      </c>
      <c r="O39" s="6">
        <v>95</v>
      </c>
      <c r="P39" s="6">
        <v>109</v>
      </c>
    </row>
    <row r="40" spans="1:16" x14ac:dyDescent="0.25">
      <c r="A40" s="6">
        <v>657</v>
      </c>
      <c r="B40" s="9">
        <v>40573</v>
      </c>
      <c r="C40" s="6">
        <v>1</v>
      </c>
      <c r="D40" s="6">
        <v>0</v>
      </c>
      <c r="E40" s="6">
        <v>1</v>
      </c>
      <c r="F40" s="6">
        <v>16</v>
      </c>
      <c r="G40" s="6" t="b">
        <v>0</v>
      </c>
      <c r="H40" s="6">
        <v>0</v>
      </c>
      <c r="I40" s="6">
        <v>1</v>
      </c>
      <c r="J40" s="6">
        <v>0.3</v>
      </c>
      <c r="K40" s="6">
        <v>0.33329999999999999</v>
      </c>
      <c r="L40" s="6">
        <v>0.56000000000000005</v>
      </c>
      <c r="M40" s="6">
        <v>0</v>
      </c>
      <c r="N40" s="6">
        <v>19</v>
      </c>
      <c r="O40" s="6">
        <v>104</v>
      </c>
      <c r="P40" s="6">
        <v>123</v>
      </c>
    </row>
    <row r="41" spans="1:16" x14ac:dyDescent="0.25">
      <c r="A41" s="6">
        <v>658</v>
      </c>
      <c r="B41" s="9">
        <v>40573</v>
      </c>
      <c r="C41" s="6">
        <v>1</v>
      </c>
      <c r="D41" s="6">
        <v>0</v>
      </c>
      <c r="E41" s="6">
        <v>1</v>
      </c>
      <c r="F41" s="6">
        <v>17</v>
      </c>
      <c r="G41" s="6" t="b">
        <v>0</v>
      </c>
      <c r="H41" s="6">
        <v>0</v>
      </c>
      <c r="I41" s="6">
        <v>1</v>
      </c>
      <c r="J41" s="6">
        <v>0.3</v>
      </c>
      <c r="K41" s="6">
        <v>0.28789999999999999</v>
      </c>
      <c r="L41" s="6">
        <v>0.56000000000000005</v>
      </c>
      <c r="M41" s="6">
        <v>0.19400000000000001</v>
      </c>
      <c r="N41" s="6">
        <v>6</v>
      </c>
      <c r="O41" s="6">
        <v>71</v>
      </c>
      <c r="P41" s="6">
        <v>77</v>
      </c>
    </row>
    <row r="42" spans="1:16" x14ac:dyDescent="0.25">
      <c r="A42" s="6">
        <v>659</v>
      </c>
      <c r="B42" s="9">
        <v>40573</v>
      </c>
      <c r="C42" s="6">
        <v>1</v>
      </c>
      <c r="D42" s="6">
        <v>0</v>
      </c>
      <c r="E42" s="6">
        <v>1</v>
      </c>
      <c r="F42" s="6">
        <v>18</v>
      </c>
      <c r="G42" s="6" t="b">
        <v>0</v>
      </c>
      <c r="H42" s="6">
        <v>0</v>
      </c>
      <c r="I42" s="6">
        <v>1</v>
      </c>
      <c r="J42" s="6">
        <v>0.26</v>
      </c>
      <c r="K42" s="6">
        <v>0.2576</v>
      </c>
      <c r="L42" s="6">
        <v>0.65</v>
      </c>
      <c r="M42" s="6">
        <v>0.16420000000000001</v>
      </c>
      <c r="N42" s="6">
        <v>8</v>
      </c>
      <c r="O42" s="6">
        <v>57</v>
      </c>
      <c r="P42" s="6">
        <v>65</v>
      </c>
    </row>
    <row r="43" spans="1:16" x14ac:dyDescent="0.25">
      <c r="A43" s="6">
        <v>660</v>
      </c>
      <c r="B43" s="9">
        <v>40573</v>
      </c>
      <c r="C43" s="6">
        <v>1</v>
      </c>
      <c r="D43" s="6">
        <v>0</v>
      </c>
      <c r="E43" s="6">
        <v>1</v>
      </c>
      <c r="F43" s="6">
        <v>19</v>
      </c>
      <c r="G43" s="6" t="b">
        <v>0</v>
      </c>
      <c r="H43" s="6">
        <v>0</v>
      </c>
      <c r="I43" s="6">
        <v>1</v>
      </c>
      <c r="J43" s="6">
        <v>0.26</v>
      </c>
      <c r="K43" s="6">
        <v>0.2576</v>
      </c>
      <c r="L43" s="6">
        <v>0.65</v>
      </c>
      <c r="M43" s="6">
        <v>0.19400000000000001</v>
      </c>
      <c r="N43" s="6">
        <v>9</v>
      </c>
      <c r="O43" s="6">
        <v>46</v>
      </c>
      <c r="P43" s="6">
        <v>55</v>
      </c>
    </row>
    <row r="44" spans="1:16" x14ac:dyDescent="0.25">
      <c r="A44" s="6">
        <v>661</v>
      </c>
      <c r="B44" s="9">
        <v>40573</v>
      </c>
      <c r="C44" s="6">
        <v>1</v>
      </c>
      <c r="D44" s="6">
        <v>0</v>
      </c>
      <c r="E44" s="6">
        <v>1</v>
      </c>
      <c r="F44" s="6">
        <v>20</v>
      </c>
      <c r="G44" s="6" t="b">
        <v>0</v>
      </c>
      <c r="H44" s="6">
        <v>0</v>
      </c>
      <c r="I44" s="6">
        <v>2</v>
      </c>
      <c r="J44" s="6">
        <v>0.26</v>
      </c>
      <c r="K44" s="6">
        <v>0.2727</v>
      </c>
      <c r="L44" s="6">
        <v>0.65</v>
      </c>
      <c r="M44" s="6">
        <v>0.1045</v>
      </c>
      <c r="N44" s="6">
        <v>3</v>
      </c>
      <c r="O44" s="6">
        <v>30</v>
      </c>
      <c r="P44" s="6">
        <v>33</v>
      </c>
    </row>
    <row r="45" spans="1:16" x14ac:dyDescent="0.25">
      <c r="A45" s="6">
        <v>662</v>
      </c>
      <c r="B45" s="9">
        <v>40573</v>
      </c>
      <c r="C45" s="6">
        <v>1</v>
      </c>
      <c r="D45" s="6">
        <v>0</v>
      </c>
      <c r="E45" s="6">
        <v>1</v>
      </c>
      <c r="F45" s="6">
        <v>21</v>
      </c>
      <c r="G45" s="6" t="b">
        <v>0</v>
      </c>
      <c r="H45" s="6">
        <v>0</v>
      </c>
      <c r="I45" s="6">
        <v>2</v>
      </c>
      <c r="J45" s="6">
        <v>0.24</v>
      </c>
      <c r="K45" s="6">
        <v>0.2424</v>
      </c>
      <c r="L45" s="6">
        <v>0.7</v>
      </c>
      <c r="M45" s="6">
        <v>0.16420000000000001</v>
      </c>
      <c r="N45" s="6">
        <v>3</v>
      </c>
      <c r="O45" s="6">
        <v>25</v>
      </c>
      <c r="P45" s="6">
        <v>28</v>
      </c>
    </row>
    <row r="46" spans="1:16" x14ac:dyDescent="0.25">
      <c r="A46" s="6">
        <v>663</v>
      </c>
      <c r="B46" s="9">
        <v>40573</v>
      </c>
      <c r="C46" s="6">
        <v>1</v>
      </c>
      <c r="D46" s="6">
        <v>0</v>
      </c>
      <c r="E46" s="6">
        <v>1</v>
      </c>
      <c r="F46" s="6">
        <v>22</v>
      </c>
      <c r="G46" s="6" t="b">
        <v>0</v>
      </c>
      <c r="H46" s="6">
        <v>0</v>
      </c>
      <c r="I46" s="6">
        <v>2</v>
      </c>
      <c r="J46" s="6">
        <v>0.24</v>
      </c>
      <c r="K46" s="6">
        <v>0.2273</v>
      </c>
      <c r="L46" s="6">
        <v>0.7</v>
      </c>
      <c r="M46" s="6">
        <v>0.19400000000000001</v>
      </c>
      <c r="N46" s="6">
        <v>2</v>
      </c>
      <c r="O46" s="6">
        <v>19</v>
      </c>
      <c r="P46" s="6">
        <v>21</v>
      </c>
    </row>
    <row r="47" spans="1:16" x14ac:dyDescent="0.25">
      <c r="A47" s="6">
        <v>664</v>
      </c>
      <c r="B47" s="9">
        <v>40573</v>
      </c>
      <c r="C47" s="6">
        <v>1</v>
      </c>
      <c r="D47" s="6">
        <v>0</v>
      </c>
      <c r="E47" s="6">
        <v>1</v>
      </c>
      <c r="F47" s="6">
        <v>23</v>
      </c>
      <c r="G47" s="6" t="b">
        <v>0</v>
      </c>
      <c r="H47" s="6">
        <v>0</v>
      </c>
      <c r="I47" s="6">
        <v>2</v>
      </c>
      <c r="J47" s="6">
        <v>0.24</v>
      </c>
      <c r="K47" s="6">
        <v>0.21210000000000001</v>
      </c>
      <c r="L47" s="6">
        <v>0.65</v>
      </c>
      <c r="M47" s="6">
        <v>0.28360000000000002</v>
      </c>
      <c r="N47" s="6">
        <v>5</v>
      </c>
      <c r="O47" s="6">
        <v>16</v>
      </c>
      <c r="P47" s="6">
        <v>21</v>
      </c>
    </row>
    <row r="48" spans="1:16" x14ac:dyDescent="0.25">
      <c r="A48" s="6">
        <v>665</v>
      </c>
      <c r="B48" s="9">
        <v>40574</v>
      </c>
      <c r="C48" s="6">
        <v>1</v>
      </c>
      <c r="D48" s="6">
        <v>0</v>
      </c>
      <c r="E48" s="6">
        <v>1</v>
      </c>
      <c r="F48" s="6">
        <v>0</v>
      </c>
      <c r="G48" s="6" t="b">
        <v>0</v>
      </c>
      <c r="H48" s="6">
        <v>1</v>
      </c>
      <c r="I48" s="6">
        <v>2</v>
      </c>
      <c r="J48" s="6">
        <v>0.24</v>
      </c>
      <c r="K48" s="6">
        <v>0.2273</v>
      </c>
      <c r="L48" s="6">
        <v>0.65</v>
      </c>
      <c r="M48" s="6">
        <v>0.22389999999999999</v>
      </c>
      <c r="N48" s="6">
        <v>1</v>
      </c>
      <c r="O48" s="6">
        <v>6</v>
      </c>
      <c r="P48" s="6">
        <v>7</v>
      </c>
    </row>
    <row r="49" spans="1:16" x14ac:dyDescent="0.25">
      <c r="A49" s="6">
        <v>666</v>
      </c>
      <c r="B49" s="9">
        <v>40574</v>
      </c>
      <c r="C49" s="6">
        <v>1</v>
      </c>
      <c r="D49" s="6">
        <v>0</v>
      </c>
      <c r="E49" s="6">
        <v>1</v>
      </c>
      <c r="F49" s="6">
        <v>1</v>
      </c>
      <c r="G49" s="6" t="b">
        <v>0</v>
      </c>
      <c r="H49" s="6">
        <v>1</v>
      </c>
      <c r="I49" s="6">
        <v>1</v>
      </c>
      <c r="J49" s="6">
        <v>0.22</v>
      </c>
      <c r="K49" s="6">
        <v>0.21210000000000001</v>
      </c>
      <c r="L49" s="6">
        <v>0.64</v>
      </c>
      <c r="M49" s="6">
        <v>0.25369999999999998</v>
      </c>
      <c r="N49" s="6">
        <v>2</v>
      </c>
      <c r="O49" s="6">
        <v>5</v>
      </c>
      <c r="P49" s="6">
        <v>7</v>
      </c>
    </row>
    <row r="50" spans="1:16" x14ac:dyDescent="0.25">
      <c r="A50" s="6">
        <v>667</v>
      </c>
      <c r="B50" s="9">
        <v>40574</v>
      </c>
      <c r="C50" s="6">
        <v>1</v>
      </c>
      <c r="D50" s="6">
        <v>0</v>
      </c>
      <c r="E50" s="6">
        <v>1</v>
      </c>
      <c r="F50" s="6">
        <v>2</v>
      </c>
      <c r="G50" s="6" t="b">
        <v>0</v>
      </c>
      <c r="H50" s="6">
        <v>1</v>
      </c>
      <c r="I50" s="6">
        <v>1</v>
      </c>
      <c r="J50" s="6">
        <v>0.22</v>
      </c>
      <c r="K50" s="6">
        <v>0.2273</v>
      </c>
      <c r="L50" s="6">
        <v>0.64</v>
      </c>
      <c r="M50" s="6">
        <v>0.19400000000000001</v>
      </c>
      <c r="N50" s="6">
        <v>0</v>
      </c>
      <c r="O50" s="6">
        <v>1</v>
      </c>
      <c r="P50" s="6">
        <v>1</v>
      </c>
    </row>
    <row r="51" spans="1:16" x14ac:dyDescent="0.25">
      <c r="A51" s="6">
        <v>668</v>
      </c>
      <c r="B51" s="9">
        <v>40574</v>
      </c>
      <c r="C51" s="6">
        <v>1</v>
      </c>
      <c r="D51" s="6">
        <v>0</v>
      </c>
      <c r="E51" s="6">
        <v>1</v>
      </c>
      <c r="F51" s="6">
        <v>3</v>
      </c>
      <c r="G51" s="6" t="b">
        <v>0</v>
      </c>
      <c r="H51" s="6">
        <v>1</v>
      </c>
      <c r="I51" s="6">
        <v>1</v>
      </c>
      <c r="J51" s="6">
        <v>0.22</v>
      </c>
      <c r="K51" s="6">
        <v>0.2273</v>
      </c>
      <c r="L51" s="6">
        <v>0.64</v>
      </c>
      <c r="M51" s="6">
        <v>0.19400000000000001</v>
      </c>
      <c r="N51" s="6">
        <v>0</v>
      </c>
      <c r="O51" s="6">
        <v>2</v>
      </c>
      <c r="P51" s="6">
        <v>2</v>
      </c>
    </row>
    <row r="52" spans="1:16" x14ac:dyDescent="0.25">
      <c r="A52" s="6">
        <v>669</v>
      </c>
      <c r="B52" s="9">
        <v>40574</v>
      </c>
      <c r="C52" s="6">
        <v>1</v>
      </c>
      <c r="D52" s="6">
        <v>0</v>
      </c>
      <c r="E52" s="6">
        <v>1</v>
      </c>
      <c r="F52" s="6">
        <v>4</v>
      </c>
      <c r="G52" s="6" t="b">
        <v>0</v>
      </c>
      <c r="H52" s="6">
        <v>1</v>
      </c>
      <c r="I52" s="6">
        <v>1</v>
      </c>
      <c r="J52" s="6">
        <v>0.2</v>
      </c>
      <c r="K52" s="6">
        <v>0.19700000000000001</v>
      </c>
      <c r="L52" s="6">
        <v>0.59</v>
      </c>
      <c r="M52" s="6">
        <v>0.22389999999999999</v>
      </c>
      <c r="N52" s="6">
        <v>0</v>
      </c>
      <c r="O52" s="6">
        <v>2</v>
      </c>
      <c r="P52" s="6">
        <v>2</v>
      </c>
    </row>
    <row r="53" spans="1:16" x14ac:dyDescent="0.25">
      <c r="A53" s="6">
        <v>670</v>
      </c>
      <c r="B53" s="9">
        <v>40574</v>
      </c>
      <c r="C53" s="6">
        <v>1</v>
      </c>
      <c r="D53" s="6">
        <v>0</v>
      </c>
      <c r="E53" s="6">
        <v>1</v>
      </c>
      <c r="F53" s="6">
        <v>5</v>
      </c>
      <c r="G53" s="6" t="b">
        <v>0</v>
      </c>
      <c r="H53" s="6">
        <v>1</v>
      </c>
      <c r="I53" s="6">
        <v>1</v>
      </c>
      <c r="J53" s="6">
        <v>0.18</v>
      </c>
      <c r="K53" s="6">
        <v>0.16669999999999999</v>
      </c>
      <c r="L53" s="6">
        <v>0.64</v>
      </c>
      <c r="M53" s="6">
        <v>0.28360000000000002</v>
      </c>
      <c r="N53" s="6">
        <v>0</v>
      </c>
      <c r="O53" s="6">
        <v>8</v>
      </c>
      <c r="P53" s="6">
        <v>8</v>
      </c>
    </row>
    <row r="54" spans="1:16" x14ac:dyDescent="0.25">
      <c r="A54" s="6">
        <v>671</v>
      </c>
      <c r="B54" s="9">
        <v>40574</v>
      </c>
      <c r="C54" s="6">
        <v>1</v>
      </c>
      <c r="D54" s="6">
        <v>0</v>
      </c>
      <c r="E54" s="6">
        <v>1</v>
      </c>
      <c r="F54" s="6">
        <v>6</v>
      </c>
      <c r="G54" s="6" t="b">
        <v>0</v>
      </c>
      <c r="H54" s="6">
        <v>1</v>
      </c>
      <c r="I54" s="6">
        <v>1</v>
      </c>
      <c r="J54" s="6">
        <v>0.16</v>
      </c>
      <c r="K54" s="6">
        <v>0.13639999999999999</v>
      </c>
      <c r="L54" s="6">
        <v>0.69</v>
      </c>
      <c r="M54" s="6">
        <v>0.32840000000000003</v>
      </c>
      <c r="N54" s="6">
        <v>0</v>
      </c>
      <c r="O54" s="6">
        <v>37</v>
      </c>
      <c r="P54" s="6">
        <v>37</v>
      </c>
    </row>
    <row r="55" spans="1:16" x14ac:dyDescent="0.25">
      <c r="A55" s="6">
        <v>672</v>
      </c>
      <c r="B55" s="9">
        <v>40574</v>
      </c>
      <c r="C55" s="6">
        <v>1</v>
      </c>
      <c r="D55" s="6">
        <v>0</v>
      </c>
      <c r="E55" s="6">
        <v>1</v>
      </c>
      <c r="F55" s="6">
        <v>7</v>
      </c>
      <c r="G55" s="6" t="b">
        <v>0</v>
      </c>
      <c r="H55" s="6">
        <v>1</v>
      </c>
      <c r="I55" s="6">
        <v>2</v>
      </c>
      <c r="J55" s="6">
        <v>0.16</v>
      </c>
      <c r="K55" s="6">
        <v>0.13639999999999999</v>
      </c>
      <c r="L55" s="6">
        <v>0.64</v>
      </c>
      <c r="M55" s="6">
        <v>0.28360000000000002</v>
      </c>
      <c r="N55" s="6">
        <v>1</v>
      </c>
      <c r="O55" s="6">
        <v>71</v>
      </c>
      <c r="P55" s="6">
        <v>72</v>
      </c>
    </row>
    <row r="56" spans="1:16" x14ac:dyDescent="0.25">
      <c r="A56" s="6">
        <v>673</v>
      </c>
      <c r="B56" s="9">
        <v>40574</v>
      </c>
      <c r="C56" s="6">
        <v>1</v>
      </c>
      <c r="D56" s="6">
        <v>0</v>
      </c>
      <c r="E56" s="6">
        <v>1</v>
      </c>
      <c r="F56" s="6">
        <v>8</v>
      </c>
      <c r="G56" s="6" t="b">
        <v>0</v>
      </c>
      <c r="H56" s="6">
        <v>1</v>
      </c>
      <c r="I56" s="6">
        <v>2</v>
      </c>
      <c r="J56" s="6">
        <v>0.16</v>
      </c>
      <c r="K56" s="6">
        <v>0.13639999999999999</v>
      </c>
      <c r="L56" s="6">
        <v>0.59</v>
      </c>
      <c r="M56" s="6">
        <v>0.28360000000000002</v>
      </c>
      <c r="N56" s="6">
        <v>3</v>
      </c>
      <c r="O56" s="6">
        <v>182</v>
      </c>
      <c r="P56" s="6">
        <v>185</v>
      </c>
    </row>
    <row r="57" spans="1:16" x14ac:dyDescent="0.25">
      <c r="A57" s="6">
        <v>674</v>
      </c>
      <c r="B57" s="9">
        <v>40574</v>
      </c>
      <c r="C57" s="6">
        <v>1</v>
      </c>
      <c r="D57" s="6">
        <v>0</v>
      </c>
      <c r="E57" s="6">
        <v>1</v>
      </c>
      <c r="F57" s="6">
        <v>9</v>
      </c>
      <c r="G57" s="6" t="b">
        <v>0</v>
      </c>
      <c r="H57" s="6">
        <v>1</v>
      </c>
      <c r="I57" s="6">
        <v>2</v>
      </c>
      <c r="J57" s="6">
        <v>0.16</v>
      </c>
      <c r="K57" s="6">
        <v>0.13639999999999999</v>
      </c>
      <c r="L57" s="6">
        <v>0.59</v>
      </c>
      <c r="M57" s="6">
        <v>0.29849999999999999</v>
      </c>
      <c r="N57" s="6">
        <v>0</v>
      </c>
      <c r="O57" s="6">
        <v>112</v>
      </c>
      <c r="P57" s="6">
        <v>112</v>
      </c>
    </row>
    <row r="58" spans="1:16" x14ac:dyDescent="0.25">
      <c r="A58" s="6">
        <v>675</v>
      </c>
      <c r="B58" s="9">
        <v>40574</v>
      </c>
      <c r="C58" s="6">
        <v>1</v>
      </c>
      <c r="D58" s="6">
        <v>0</v>
      </c>
      <c r="E58" s="6">
        <v>1</v>
      </c>
      <c r="F58" s="6">
        <v>10</v>
      </c>
      <c r="G58" s="6" t="b">
        <v>0</v>
      </c>
      <c r="H58" s="6">
        <v>1</v>
      </c>
      <c r="I58" s="6">
        <v>2</v>
      </c>
      <c r="J58" s="6">
        <v>0.16</v>
      </c>
      <c r="K58" s="6">
        <v>0.1515</v>
      </c>
      <c r="L58" s="6">
        <v>0.59</v>
      </c>
      <c r="M58" s="6">
        <v>0.19400000000000001</v>
      </c>
      <c r="N58" s="6">
        <v>1</v>
      </c>
      <c r="O58" s="6">
        <v>68</v>
      </c>
      <c r="P58" s="6">
        <v>69</v>
      </c>
    </row>
    <row r="59" spans="1:16" x14ac:dyDescent="0.25">
      <c r="A59" s="6">
        <v>676</v>
      </c>
      <c r="B59" s="9">
        <v>40574</v>
      </c>
      <c r="C59" s="6">
        <v>1</v>
      </c>
      <c r="D59" s="6">
        <v>0</v>
      </c>
      <c r="E59" s="6">
        <v>1</v>
      </c>
      <c r="F59" s="6">
        <v>11</v>
      </c>
      <c r="G59" s="6" t="b">
        <v>0</v>
      </c>
      <c r="H59" s="6">
        <v>1</v>
      </c>
      <c r="I59" s="6">
        <v>2</v>
      </c>
      <c r="J59" s="6">
        <v>0.16</v>
      </c>
      <c r="K59" s="6">
        <v>0.1515</v>
      </c>
      <c r="L59" s="6">
        <v>0.59</v>
      </c>
      <c r="M59" s="6">
        <v>0.19400000000000001</v>
      </c>
      <c r="N59" s="6">
        <v>2</v>
      </c>
      <c r="O59" s="6">
        <v>46</v>
      </c>
      <c r="P59" s="6">
        <v>48</v>
      </c>
    </row>
    <row r="60" spans="1:16" x14ac:dyDescent="0.25">
      <c r="A60" s="6">
        <v>677</v>
      </c>
      <c r="B60" s="9">
        <v>40574</v>
      </c>
      <c r="C60" s="6">
        <v>1</v>
      </c>
      <c r="D60" s="6">
        <v>0</v>
      </c>
      <c r="E60" s="6">
        <v>1</v>
      </c>
      <c r="F60" s="6">
        <v>12</v>
      </c>
      <c r="G60" s="6" t="b">
        <v>0</v>
      </c>
      <c r="H60" s="6">
        <v>1</v>
      </c>
      <c r="I60" s="6">
        <v>2</v>
      </c>
      <c r="J60" s="6">
        <v>0.18</v>
      </c>
      <c r="K60" s="6">
        <v>0.21210000000000001</v>
      </c>
      <c r="L60" s="6">
        <v>0.55000000000000004</v>
      </c>
      <c r="M60" s="6">
        <v>0.1045</v>
      </c>
      <c r="N60" s="6">
        <v>6</v>
      </c>
      <c r="O60" s="6">
        <v>62</v>
      </c>
      <c r="P60" s="6">
        <v>68</v>
      </c>
    </row>
    <row r="61" spans="1:16" x14ac:dyDescent="0.25">
      <c r="A61" s="6">
        <v>678</v>
      </c>
      <c r="B61" s="9">
        <v>40574</v>
      </c>
      <c r="C61" s="6">
        <v>1</v>
      </c>
      <c r="D61" s="6">
        <v>0</v>
      </c>
      <c r="E61" s="6">
        <v>1</v>
      </c>
      <c r="F61" s="6">
        <v>13</v>
      </c>
      <c r="G61" s="6" t="b">
        <v>0</v>
      </c>
      <c r="H61" s="6">
        <v>1</v>
      </c>
      <c r="I61" s="6">
        <v>2</v>
      </c>
      <c r="J61" s="6">
        <v>0.16</v>
      </c>
      <c r="K61" s="6">
        <v>0.2273</v>
      </c>
      <c r="L61" s="6">
        <v>0.59</v>
      </c>
      <c r="M61" s="6">
        <v>0</v>
      </c>
      <c r="N61" s="6">
        <v>2</v>
      </c>
      <c r="O61" s="6">
        <v>52</v>
      </c>
      <c r="P61" s="6">
        <v>54</v>
      </c>
    </row>
    <row r="62" spans="1:16" x14ac:dyDescent="0.25">
      <c r="A62" s="6">
        <v>679</v>
      </c>
      <c r="B62" s="9">
        <v>40574</v>
      </c>
      <c r="C62" s="6">
        <v>1</v>
      </c>
      <c r="D62" s="6">
        <v>0</v>
      </c>
      <c r="E62" s="6">
        <v>1</v>
      </c>
      <c r="F62" s="6">
        <v>14</v>
      </c>
      <c r="G62" s="6" t="b">
        <v>0</v>
      </c>
      <c r="H62" s="6">
        <v>1</v>
      </c>
      <c r="I62" s="6">
        <v>2</v>
      </c>
      <c r="J62" s="6">
        <v>0.18</v>
      </c>
      <c r="K62" s="6">
        <v>0.19700000000000001</v>
      </c>
      <c r="L62" s="6">
        <v>0.55000000000000004</v>
      </c>
      <c r="M62" s="6">
        <v>0.1343</v>
      </c>
      <c r="N62" s="6">
        <v>1</v>
      </c>
      <c r="O62" s="6">
        <v>85</v>
      </c>
      <c r="P62" s="6">
        <v>86</v>
      </c>
    </row>
    <row r="63" spans="1:16" x14ac:dyDescent="0.25">
      <c r="A63" s="6">
        <v>680</v>
      </c>
      <c r="B63" s="9">
        <v>40574</v>
      </c>
      <c r="C63" s="6">
        <v>1</v>
      </c>
      <c r="D63" s="6">
        <v>0</v>
      </c>
      <c r="E63" s="6">
        <v>1</v>
      </c>
      <c r="F63" s="6">
        <v>15</v>
      </c>
      <c r="G63" s="6" t="b">
        <v>0</v>
      </c>
      <c r="H63" s="6">
        <v>1</v>
      </c>
      <c r="I63" s="6">
        <v>2</v>
      </c>
      <c r="J63" s="6">
        <v>0.16</v>
      </c>
      <c r="K63" s="6">
        <v>0.18179999999999999</v>
      </c>
      <c r="L63" s="6">
        <v>0.59</v>
      </c>
      <c r="M63" s="6">
        <v>0.1343</v>
      </c>
      <c r="N63" s="6">
        <v>3</v>
      </c>
      <c r="O63" s="6">
        <v>41</v>
      </c>
      <c r="P63" s="6">
        <v>44</v>
      </c>
    </row>
    <row r="64" spans="1:16" x14ac:dyDescent="0.25">
      <c r="A64" s="6">
        <v>681</v>
      </c>
      <c r="B64" s="9">
        <v>40574</v>
      </c>
      <c r="C64" s="6">
        <v>1</v>
      </c>
      <c r="D64" s="6">
        <v>0</v>
      </c>
      <c r="E64" s="6">
        <v>1</v>
      </c>
      <c r="F64" s="6">
        <v>16</v>
      </c>
      <c r="G64" s="6" t="b">
        <v>0</v>
      </c>
      <c r="H64" s="6">
        <v>1</v>
      </c>
      <c r="I64" s="6">
        <v>2</v>
      </c>
      <c r="J64" s="6">
        <v>0.16</v>
      </c>
      <c r="K64" s="6">
        <v>0.18179999999999999</v>
      </c>
      <c r="L64" s="6">
        <v>0.56000000000000005</v>
      </c>
      <c r="M64" s="6">
        <v>0.19400000000000001</v>
      </c>
      <c r="N64" s="6">
        <v>3</v>
      </c>
      <c r="O64" s="6">
        <v>83</v>
      </c>
      <c r="P64" s="6">
        <v>86</v>
      </c>
    </row>
    <row r="65" spans="1:16" x14ac:dyDescent="0.25">
      <c r="A65" s="6">
        <v>682</v>
      </c>
      <c r="B65" s="9">
        <v>40574</v>
      </c>
      <c r="C65" s="6">
        <v>1</v>
      </c>
      <c r="D65" s="6">
        <v>0</v>
      </c>
      <c r="E65" s="6">
        <v>1</v>
      </c>
      <c r="F65" s="6">
        <v>17</v>
      </c>
      <c r="G65" s="6" t="b">
        <v>0</v>
      </c>
      <c r="H65" s="6">
        <v>1</v>
      </c>
      <c r="I65" s="6">
        <v>2</v>
      </c>
      <c r="J65" s="6">
        <v>0.16</v>
      </c>
      <c r="K65" s="6">
        <v>0.1515</v>
      </c>
      <c r="L65" s="6">
        <v>0.59</v>
      </c>
      <c r="M65" s="6">
        <v>0.19400000000000001</v>
      </c>
      <c r="N65" s="6">
        <v>6</v>
      </c>
      <c r="O65" s="6">
        <v>155</v>
      </c>
      <c r="P65" s="6">
        <v>161</v>
      </c>
    </row>
    <row r="66" spans="1:16" x14ac:dyDescent="0.25">
      <c r="A66" s="6">
        <v>683</v>
      </c>
      <c r="B66" s="9">
        <v>40574</v>
      </c>
      <c r="C66" s="6">
        <v>1</v>
      </c>
      <c r="D66" s="6">
        <v>0</v>
      </c>
      <c r="E66" s="6">
        <v>1</v>
      </c>
      <c r="F66" s="6">
        <v>18</v>
      </c>
      <c r="G66" s="6" t="b">
        <v>0</v>
      </c>
      <c r="H66" s="6">
        <v>1</v>
      </c>
      <c r="I66" s="6">
        <v>2</v>
      </c>
      <c r="J66" s="6">
        <v>0.16</v>
      </c>
      <c r="K66" s="6">
        <v>0.1515</v>
      </c>
      <c r="L66" s="6">
        <v>0.55000000000000004</v>
      </c>
      <c r="M66" s="6">
        <v>0.22389999999999999</v>
      </c>
      <c r="N66" s="6">
        <v>3</v>
      </c>
      <c r="O66" s="6">
        <v>153</v>
      </c>
      <c r="P66" s="6">
        <v>156</v>
      </c>
    </row>
    <row r="67" spans="1:16" x14ac:dyDescent="0.25">
      <c r="A67" s="6">
        <v>684</v>
      </c>
      <c r="B67" s="9">
        <v>40574</v>
      </c>
      <c r="C67" s="6">
        <v>1</v>
      </c>
      <c r="D67" s="6">
        <v>0</v>
      </c>
      <c r="E67" s="6">
        <v>1</v>
      </c>
      <c r="F67" s="6">
        <v>19</v>
      </c>
      <c r="G67" s="6" t="b">
        <v>0</v>
      </c>
      <c r="H67" s="6">
        <v>1</v>
      </c>
      <c r="I67" s="6">
        <v>1</v>
      </c>
      <c r="J67" s="6">
        <v>0.3</v>
      </c>
      <c r="K67" s="6">
        <v>0.31819999999999998</v>
      </c>
      <c r="L67" s="6">
        <v>0.61</v>
      </c>
      <c r="M67" s="6">
        <v>0.1045</v>
      </c>
      <c r="N67" s="6">
        <v>3</v>
      </c>
      <c r="O67" s="6">
        <v>108</v>
      </c>
      <c r="P67" s="6">
        <v>111</v>
      </c>
    </row>
    <row r="68" spans="1:16" x14ac:dyDescent="0.25">
      <c r="A68" s="6">
        <v>685</v>
      </c>
      <c r="B68" s="9">
        <v>40574</v>
      </c>
      <c r="C68" s="6">
        <v>1</v>
      </c>
      <c r="D68" s="6">
        <v>0</v>
      </c>
      <c r="E68" s="6">
        <v>1</v>
      </c>
      <c r="F68" s="6">
        <v>20</v>
      </c>
      <c r="G68" s="6" t="b">
        <v>0</v>
      </c>
      <c r="H68" s="6">
        <v>1</v>
      </c>
      <c r="I68" s="6">
        <v>3</v>
      </c>
      <c r="J68" s="6">
        <v>0.16</v>
      </c>
      <c r="K68" s="6">
        <v>0.16669999999999999</v>
      </c>
      <c r="L68" s="6">
        <v>0.59</v>
      </c>
      <c r="M68" s="6">
        <v>0.16420000000000001</v>
      </c>
      <c r="N68" s="6">
        <v>0</v>
      </c>
      <c r="O68" s="6">
        <v>78</v>
      </c>
      <c r="P68" s="6">
        <v>78</v>
      </c>
    </row>
    <row r="69" spans="1:16" x14ac:dyDescent="0.25">
      <c r="A69" s="6">
        <v>686</v>
      </c>
      <c r="B69" s="9">
        <v>40574</v>
      </c>
      <c r="C69" s="6">
        <v>1</v>
      </c>
      <c r="D69" s="6">
        <v>0</v>
      </c>
      <c r="E69" s="6">
        <v>1</v>
      </c>
      <c r="F69" s="6">
        <v>21</v>
      </c>
      <c r="G69" s="6" t="b">
        <v>0</v>
      </c>
      <c r="H69" s="6">
        <v>1</v>
      </c>
      <c r="I69" s="6">
        <v>3</v>
      </c>
      <c r="J69" s="6">
        <v>0.16</v>
      </c>
      <c r="K69" s="6">
        <v>0.19700000000000001</v>
      </c>
      <c r="L69" s="6">
        <v>0.59</v>
      </c>
      <c r="M69" s="6">
        <v>8.9599999999999999E-2</v>
      </c>
      <c r="N69" s="6">
        <v>3</v>
      </c>
      <c r="O69" s="6">
        <v>53</v>
      </c>
      <c r="P69" s="6">
        <v>56</v>
      </c>
    </row>
    <row r="70" spans="1:16" x14ac:dyDescent="0.25">
      <c r="A70" s="6">
        <v>687</v>
      </c>
      <c r="B70" s="9">
        <v>40574</v>
      </c>
      <c r="C70" s="6">
        <v>1</v>
      </c>
      <c r="D70" s="6">
        <v>0</v>
      </c>
      <c r="E70" s="6">
        <v>1</v>
      </c>
      <c r="F70" s="6">
        <v>22</v>
      </c>
      <c r="G70" s="6" t="b">
        <v>0</v>
      </c>
      <c r="H70" s="6">
        <v>1</v>
      </c>
      <c r="I70" s="6">
        <v>2</v>
      </c>
      <c r="J70" s="6">
        <v>0.16</v>
      </c>
      <c r="K70" s="6">
        <v>0.18179999999999999</v>
      </c>
      <c r="L70" s="6">
        <v>0.59</v>
      </c>
      <c r="M70" s="6">
        <v>0.1045</v>
      </c>
      <c r="N70" s="6">
        <v>0</v>
      </c>
      <c r="O70" s="6">
        <v>34</v>
      </c>
      <c r="P70" s="6">
        <v>34</v>
      </c>
    </row>
    <row r="71" spans="1:16" x14ac:dyDescent="0.25">
      <c r="A71" s="6">
        <v>688</v>
      </c>
      <c r="B71" s="9">
        <v>40574</v>
      </c>
      <c r="C71" s="6">
        <v>1</v>
      </c>
      <c r="D71" s="6">
        <v>0</v>
      </c>
      <c r="E71" s="6">
        <v>1</v>
      </c>
      <c r="F71" s="6">
        <v>23</v>
      </c>
      <c r="G71" s="6" t="b">
        <v>0</v>
      </c>
      <c r="H71" s="6">
        <v>1</v>
      </c>
      <c r="I71" s="6">
        <v>2</v>
      </c>
      <c r="J71" s="6">
        <v>0.16</v>
      </c>
      <c r="K71" s="6">
        <v>0.19700000000000001</v>
      </c>
      <c r="L71" s="6">
        <v>0.64</v>
      </c>
      <c r="M71" s="6">
        <v>8.9599999999999999E-2</v>
      </c>
      <c r="N71" s="6">
        <v>2</v>
      </c>
      <c r="O71" s="6">
        <v>15</v>
      </c>
      <c r="P71" s="6">
        <v>17</v>
      </c>
    </row>
    <row r="72" spans="1:16" x14ac:dyDescent="0.25">
      <c r="A72" s="6">
        <v>689</v>
      </c>
      <c r="B72" s="9">
        <v>40575</v>
      </c>
      <c r="C72" s="6">
        <v>1</v>
      </c>
      <c r="D72" s="6">
        <v>0</v>
      </c>
      <c r="E72" s="6">
        <v>2</v>
      </c>
      <c r="F72" s="6">
        <v>0</v>
      </c>
      <c r="G72" s="6" t="b">
        <v>0</v>
      </c>
      <c r="H72" s="6">
        <v>2</v>
      </c>
      <c r="I72" s="6">
        <v>2</v>
      </c>
      <c r="J72" s="6">
        <v>0.16</v>
      </c>
      <c r="K72" s="6">
        <v>0.18179999999999999</v>
      </c>
      <c r="L72" s="6">
        <v>0.64</v>
      </c>
      <c r="M72" s="6">
        <v>0.1045</v>
      </c>
      <c r="N72" s="6">
        <v>2</v>
      </c>
      <c r="O72" s="6">
        <v>6</v>
      </c>
      <c r="P72" s="6">
        <v>8</v>
      </c>
    </row>
    <row r="73" spans="1:16" x14ac:dyDescent="0.25">
      <c r="A73" s="6">
        <v>690</v>
      </c>
      <c r="B73" s="9">
        <v>40575</v>
      </c>
      <c r="C73" s="6">
        <v>1</v>
      </c>
      <c r="D73" s="6">
        <v>0</v>
      </c>
      <c r="E73" s="6">
        <v>2</v>
      </c>
      <c r="F73" s="6">
        <v>1</v>
      </c>
      <c r="G73" s="6" t="b">
        <v>0</v>
      </c>
      <c r="H73" s="6">
        <v>2</v>
      </c>
      <c r="I73" s="6">
        <v>2</v>
      </c>
      <c r="J73" s="6">
        <v>0.16</v>
      </c>
      <c r="K73" s="6">
        <v>0.18179999999999999</v>
      </c>
      <c r="L73" s="6">
        <v>0.69</v>
      </c>
      <c r="M73" s="6">
        <v>0.1045</v>
      </c>
      <c r="N73" s="6">
        <v>0</v>
      </c>
      <c r="O73" s="6">
        <v>3</v>
      </c>
      <c r="P73" s="6">
        <v>3</v>
      </c>
    </row>
    <row r="74" spans="1:16" x14ac:dyDescent="0.25">
      <c r="A74" s="6">
        <v>691</v>
      </c>
      <c r="B74" s="9">
        <v>40575</v>
      </c>
      <c r="C74" s="6">
        <v>1</v>
      </c>
      <c r="D74" s="6">
        <v>0</v>
      </c>
      <c r="E74" s="6">
        <v>2</v>
      </c>
      <c r="F74" s="6">
        <v>2</v>
      </c>
      <c r="G74" s="6" t="b">
        <v>0</v>
      </c>
      <c r="H74" s="6">
        <v>2</v>
      </c>
      <c r="I74" s="6">
        <v>2</v>
      </c>
      <c r="J74" s="6">
        <v>0.16</v>
      </c>
      <c r="K74" s="6">
        <v>0.2273</v>
      </c>
      <c r="L74" s="6">
        <v>0.69</v>
      </c>
      <c r="M74" s="6">
        <v>0</v>
      </c>
      <c r="N74" s="6">
        <v>0</v>
      </c>
      <c r="O74" s="6">
        <v>2</v>
      </c>
      <c r="P74" s="6">
        <v>2</v>
      </c>
    </row>
    <row r="75" spans="1:16" x14ac:dyDescent="0.25">
      <c r="A75" s="6">
        <v>692</v>
      </c>
      <c r="B75" s="9">
        <v>40575</v>
      </c>
      <c r="C75" s="6">
        <v>1</v>
      </c>
      <c r="D75" s="6">
        <v>0</v>
      </c>
      <c r="E75" s="6">
        <v>2</v>
      </c>
      <c r="F75" s="6">
        <v>3</v>
      </c>
      <c r="G75" s="6" t="b">
        <v>0</v>
      </c>
      <c r="H75" s="6">
        <v>2</v>
      </c>
      <c r="I75" s="6">
        <v>2</v>
      </c>
      <c r="J75" s="6">
        <v>0.16</v>
      </c>
      <c r="K75" s="6">
        <v>0.2273</v>
      </c>
      <c r="L75" s="6">
        <v>0.69</v>
      </c>
      <c r="M75" s="6">
        <v>0</v>
      </c>
      <c r="N75" s="6">
        <v>0</v>
      </c>
      <c r="O75" s="6">
        <v>2</v>
      </c>
      <c r="P75" s="6">
        <v>2</v>
      </c>
    </row>
    <row r="76" spans="1:16" x14ac:dyDescent="0.25">
      <c r="A76" s="6">
        <v>693</v>
      </c>
      <c r="B76" s="9">
        <v>40575</v>
      </c>
      <c r="C76" s="6">
        <v>1</v>
      </c>
      <c r="D76" s="6">
        <v>0</v>
      </c>
      <c r="E76" s="6">
        <v>2</v>
      </c>
      <c r="F76" s="6">
        <v>5</v>
      </c>
      <c r="G76" s="6" t="b">
        <v>0</v>
      </c>
      <c r="H76" s="6">
        <v>2</v>
      </c>
      <c r="I76" s="6">
        <v>3</v>
      </c>
      <c r="J76" s="6">
        <v>0.14000000000000001</v>
      </c>
      <c r="K76" s="6">
        <v>0.21210000000000001</v>
      </c>
      <c r="L76" s="6">
        <v>0.93</v>
      </c>
      <c r="M76" s="6">
        <v>0</v>
      </c>
      <c r="N76" s="6">
        <v>0</v>
      </c>
      <c r="O76" s="6">
        <v>3</v>
      </c>
      <c r="P76" s="6">
        <v>3</v>
      </c>
    </row>
    <row r="77" spans="1:16" x14ac:dyDescent="0.25">
      <c r="A77" s="6">
        <v>694</v>
      </c>
      <c r="B77" s="9">
        <v>40575</v>
      </c>
      <c r="C77" s="6">
        <v>1</v>
      </c>
      <c r="D77" s="6">
        <v>0</v>
      </c>
      <c r="E77" s="6">
        <v>2</v>
      </c>
      <c r="F77" s="6">
        <v>6</v>
      </c>
      <c r="G77" s="6" t="b">
        <v>0</v>
      </c>
      <c r="H77" s="6">
        <v>2</v>
      </c>
      <c r="I77" s="6">
        <v>3</v>
      </c>
      <c r="J77" s="6">
        <v>0.14000000000000001</v>
      </c>
      <c r="K77" s="6">
        <v>0.21210000000000001</v>
      </c>
      <c r="L77" s="6">
        <v>0.93</v>
      </c>
      <c r="M77" s="6">
        <v>0</v>
      </c>
      <c r="N77" s="6">
        <v>0</v>
      </c>
      <c r="O77" s="6">
        <v>22</v>
      </c>
      <c r="P77" s="6">
        <v>22</v>
      </c>
    </row>
    <row r="78" spans="1:16" x14ac:dyDescent="0.25">
      <c r="A78" s="6">
        <v>695</v>
      </c>
      <c r="B78" s="9">
        <v>40575</v>
      </c>
      <c r="C78" s="6">
        <v>1</v>
      </c>
      <c r="D78" s="6">
        <v>0</v>
      </c>
      <c r="E78" s="6">
        <v>2</v>
      </c>
      <c r="F78" s="6">
        <v>7</v>
      </c>
      <c r="G78" s="6" t="b">
        <v>0</v>
      </c>
      <c r="H78" s="6">
        <v>2</v>
      </c>
      <c r="I78" s="6">
        <v>3</v>
      </c>
      <c r="J78" s="6">
        <v>0.16</v>
      </c>
      <c r="K78" s="6">
        <v>0.2273</v>
      </c>
      <c r="L78" s="6">
        <v>0.93</v>
      </c>
      <c r="M78" s="6">
        <v>0</v>
      </c>
      <c r="N78" s="6">
        <v>0</v>
      </c>
      <c r="O78" s="6">
        <v>52</v>
      </c>
      <c r="P78" s="6">
        <v>52</v>
      </c>
    </row>
    <row r="79" spans="1:16" x14ac:dyDescent="0.25">
      <c r="A79" s="6">
        <v>696</v>
      </c>
      <c r="B79" s="9">
        <v>40575</v>
      </c>
      <c r="C79" s="6">
        <v>1</v>
      </c>
      <c r="D79" s="6">
        <v>0</v>
      </c>
      <c r="E79" s="6">
        <v>2</v>
      </c>
      <c r="F79" s="6">
        <v>8</v>
      </c>
      <c r="G79" s="6" t="b">
        <v>0</v>
      </c>
      <c r="H79" s="6">
        <v>2</v>
      </c>
      <c r="I79" s="6">
        <v>3</v>
      </c>
      <c r="J79" s="6">
        <v>0.16</v>
      </c>
      <c r="K79" s="6">
        <v>0.2273</v>
      </c>
      <c r="L79" s="6">
        <v>0.93</v>
      </c>
      <c r="M79" s="6">
        <v>0</v>
      </c>
      <c r="N79" s="6">
        <v>3</v>
      </c>
      <c r="O79" s="6">
        <v>132</v>
      </c>
      <c r="P79" s="6">
        <v>135</v>
      </c>
    </row>
    <row r="80" spans="1:16" x14ac:dyDescent="0.25">
      <c r="A80" s="6">
        <v>697</v>
      </c>
      <c r="B80" s="9">
        <v>40575</v>
      </c>
      <c r="C80" s="6">
        <v>1</v>
      </c>
      <c r="D80" s="6">
        <v>0</v>
      </c>
      <c r="E80" s="6">
        <v>2</v>
      </c>
      <c r="F80" s="6">
        <v>9</v>
      </c>
      <c r="G80" s="6" t="b">
        <v>0</v>
      </c>
      <c r="H80" s="6">
        <v>2</v>
      </c>
      <c r="I80" s="6">
        <v>2</v>
      </c>
      <c r="J80" s="6">
        <v>0.16</v>
      </c>
      <c r="K80" s="6">
        <v>0.2273</v>
      </c>
      <c r="L80" s="6">
        <v>0.93</v>
      </c>
      <c r="M80" s="6">
        <v>0</v>
      </c>
      <c r="N80" s="6">
        <v>2</v>
      </c>
      <c r="O80" s="6">
        <v>114</v>
      </c>
      <c r="P80" s="6">
        <v>116</v>
      </c>
    </row>
    <row r="81" spans="1:16" x14ac:dyDescent="0.25">
      <c r="A81" s="6">
        <v>698</v>
      </c>
      <c r="B81" s="9">
        <v>40575</v>
      </c>
      <c r="C81" s="6">
        <v>1</v>
      </c>
      <c r="D81" s="6">
        <v>0</v>
      </c>
      <c r="E81" s="6">
        <v>2</v>
      </c>
      <c r="F81" s="6">
        <v>10</v>
      </c>
      <c r="G81" s="6" t="b">
        <v>0</v>
      </c>
      <c r="H81" s="6">
        <v>2</v>
      </c>
      <c r="I81" s="6">
        <v>2</v>
      </c>
      <c r="J81" s="6">
        <v>0.16</v>
      </c>
      <c r="K81" s="6">
        <v>0.2273</v>
      </c>
      <c r="L81" s="6">
        <v>0.93</v>
      </c>
      <c r="M81" s="6">
        <v>0</v>
      </c>
      <c r="N81" s="6">
        <v>0</v>
      </c>
      <c r="O81" s="6">
        <v>47</v>
      </c>
      <c r="P81" s="6">
        <v>47</v>
      </c>
    </row>
    <row r="82" spans="1:16" x14ac:dyDescent="0.25">
      <c r="A82" s="6">
        <v>699</v>
      </c>
      <c r="B82" s="9">
        <v>40575</v>
      </c>
      <c r="C82" s="6">
        <v>1</v>
      </c>
      <c r="D82" s="6">
        <v>0</v>
      </c>
      <c r="E82" s="6">
        <v>2</v>
      </c>
      <c r="F82" s="6">
        <v>11</v>
      </c>
      <c r="G82" s="6" t="b">
        <v>0</v>
      </c>
      <c r="H82" s="6">
        <v>2</v>
      </c>
      <c r="I82" s="6">
        <v>2</v>
      </c>
      <c r="J82" s="6">
        <v>0.18</v>
      </c>
      <c r="K82" s="6">
        <v>0.2424</v>
      </c>
      <c r="L82" s="6">
        <v>0.86</v>
      </c>
      <c r="M82" s="6">
        <v>0</v>
      </c>
      <c r="N82" s="6">
        <v>2</v>
      </c>
      <c r="O82" s="6">
        <v>49</v>
      </c>
      <c r="P82" s="6">
        <v>51</v>
      </c>
    </row>
    <row r="83" spans="1:16" x14ac:dyDescent="0.25">
      <c r="A83" s="6">
        <v>700</v>
      </c>
      <c r="B83" s="9">
        <v>40575</v>
      </c>
      <c r="C83" s="6">
        <v>1</v>
      </c>
      <c r="D83" s="6">
        <v>0</v>
      </c>
      <c r="E83" s="6">
        <v>2</v>
      </c>
      <c r="F83" s="6">
        <v>12</v>
      </c>
      <c r="G83" s="6" t="b">
        <v>0</v>
      </c>
      <c r="H83" s="6">
        <v>2</v>
      </c>
      <c r="I83" s="6">
        <v>2</v>
      </c>
      <c r="J83" s="6">
        <v>0.2</v>
      </c>
      <c r="K83" s="6">
        <v>0.2576</v>
      </c>
      <c r="L83" s="6">
        <v>0.86</v>
      </c>
      <c r="M83" s="6">
        <v>0</v>
      </c>
      <c r="N83" s="6">
        <v>2</v>
      </c>
      <c r="O83" s="6">
        <v>53</v>
      </c>
      <c r="P83" s="6">
        <v>55</v>
      </c>
    </row>
    <row r="84" spans="1:16" x14ac:dyDescent="0.25">
      <c r="A84" s="6">
        <v>701</v>
      </c>
      <c r="B84" s="9">
        <v>40575</v>
      </c>
      <c r="C84" s="6">
        <v>1</v>
      </c>
      <c r="D84" s="6">
        <v>0</v>
      </c>
      <c r="E84" s="6">
        <v>2</v>
      </c>
      <c r="F84" s="6">
        <v>13</v>
      </c>
      <c r="G84" s="6" t="b">
        <v>0</v>
      </c>
      <c r="H84" s="6">
        <v>2</v>
      </c>
      <c r="I84" s="6">
        <v>2</v>
      </c>
      <c r="J84" s="6">
        <v>0.2</v>
      </c>
      <c r="K84" s="6">
        <v>0.2576</v>
      </c>
      <c r="L84" s="6">
        <v>0.86</v>
      </c>
      <c r="M84" s="6">
        <v>0</v>
      </c>
      <c r="N84" s="6">
        <v>3</v>
      </c>
      <c r="O84" s="6">
        <v>49</v>
      </c>
      <c r="P84" s="6">
        <v>52</v>
      </c>
    </row>
    <row r="85" spans="1:16" x14ac:dyDescent="0.25">
      <c r="A85" s="6">
        <v>702</v>
      </c>
      <c r="B85" s="9">
        <v>40575</v>
      </c>
      <c r="C85" s="6">
        <v>1</v>
      </c>
      <c r="D85" s="6">
        <v>0</v>
      </c>
      <c r="E85" s="6">
        <v>2</v>
      </c>
      <c r="F85" s="6">
        <v>14</v>
      </c>
      <c r="G85" s="6" t="b">
        <v>0</v>
      </c>
      <c r="H85" s="6">
        <v>2</v>
      </c>
      <c r="I85" s="6">
        <v>2</v>
      </c>
      <c r="J85" s="6">
        <v>0.22</v>
      </c>
      <c r="K85" s="6">
        <v>0.2576</v>
      </c>
      <c r="L85" s="6">
        <v>0.8</v>
      </c>
      <c r="M85" s="6">
        <v>8.9599999999999999E-2</v>
      </c>
      <c r="N85" s="6">
        <v>5</v>
      </c>
      <c r="O85" s="6">
        <v>49</v>
      </c>
      <c r="P85" s="6">
        <v>54</v>
      </c>
    </row>
    <row r="86" spans="1:16" x14ac:dyDescent="0.25">
      <c r="A86" s="6">
        <v>703</v>
      </c>
      <c r="B86" s="9">
        <v>40575</v>
      </c>
      <c r="C86" s="6">
        <v>1</v>
      </c>
      <c r="D86" s="6">
        <v>0</v>
      </c>
      <c r="E86" s="6">
        <v>2</v>
      </c>
      <c r="F86" s="6">
        <v>15</v>
      </c>
      <c r="G86" s="6" t="b">
        <v>0</v>
      </c>
      <c r="H86" s="6">
        <v>2</v>
      </c>
      <c r="I86" s="6">
        <v>2</v>
      </c>
      <c r="J86" s="6">
        <v>0.24</v>
      </c>
      <c r="K86" s="6">
        <v>0.28789999999999999</v>
      </c>
      <c r="L86" s="6">
        <v>0.75</v>
      </c>
      <c r="M86" s="6">
        <v>0</v>
      </c>
      <c r="N86" s="6">
        <v>7</v>
      </c>
      <c r="O86" s="6">
        <v>45</v>
      </c>
      <c r="P86" s="6">
        <v>52</v>
      </c>
    </row>
    <row r="87" spans="1:16" x14ac:dyDescent="0.25">
      <c r="A87" s="6">
        <v>704</v>
      </c>
      <c r="B87" s="9">
        <v>40575</v>
      </c>
      <c r="C87" s="6">
        <v>1</v>
      </c>
      <c r="D87" s="6">
        <v>0</v>
      </c>
      <c r="E87" s="6">
        <v>2</v>
      </c>
      <c r="F87" s="6">
        <v>16</v>
      </c>
      <c r="G87" s="6" t="b">
        <v>0</v>
      </c>
      <c r="H87" s="6">
        <v>2</v>
      </c>
      <c r="I87" s="6">
        <v>2</v>
      </c>
      <c r="J87" s="6">
        <v>0.24</v>
      </c>
      <c r="K87" s="6">
        <v>0.2424</v>
      </c>
      <c r="L87" s="6">
        <v>0.75</v>
      </c>
      <c r="M87" s="6">
        <v>0.1343</v>
      </c>
      <c r="N87" s="6">
        <v>3</v>
      </c>
      <c r="O87" s="6">
        <v>61</v>
      </c>
      <c r="P87" s="6">
        <v>64</v>
      </c>
    </row>
    <row r="88" spans="1:16" x14ac:dyDescent="0.25">
      <c r="A88" s="6">
        <v>705</v>
      </c>
      <c r="B88" s="9">
        <v>40575</v>
      </c>
      <c r="C88" s="6">
        <v>1</v>
      </c>
      <c r="D88" s="6">
        <v>0</v>
      </c>
      <c r="E88" s="6">
        <v>2</v>
      </c>
      <c r="F88" s="6">
        <v>17</v>
      </c>
      <c r="G88" s="6" t="b">
        <v>0</v>
      </c>
      <c r="H88" s="6">
        <v>2</v>
      </c>
      <c r="I88" s="6">
        <v>2</v>
      </c>
      <c r="J88" s="6">
        <v>0.24</v>
      </c>
      <c r="K88" s="6">
        <v>0.28789999999999999</v>
      </c>
      <c r="L88" s="6">
        <v>0.75</v>
      </c>
      <c r="M88" s="6">
        <v>0</v>
      </c>
      <c r="N88" s="6">
        <v>4</v>
      </c>
      <c r="O88" s="6">
        <v>172</v>
      </c>
      <c r="P88" s="6">
        <v>176</v>
      </c>
    </row>
    <row r="89" spans="1:16" x14ac:dyDescent="0.25">
      <c r="A89" s="6">
        <v>706</v>
      </c>
      <c r="B89" s="9">
        <v>40575</v>
      </c>
      <c r="C89" s="6">
        <v>1</v>
      </c>
      <c r="D89" s="6">
        <v>0</v>
      </c>
      <c r="E89" s="6">
        <v>2</v>
      </c>
      <c r="F89" s="6">
        <v>18</v>
      </c>
      <c r="G89" s="6" t="b">
        <v>0</v>
      </c>
      <c r="H89" s="6">
        <v>2</v>
      </c>
      <c r="I89" s="6">
        <v>2</v>
      </c>
      <c r="J89" s="6">
        <v>0.24</v>
      </c>
      <c r="K89" s="6">
        <v>0.2576</v>
      </c>
      <c r="L89" s="6">
        <v>0.81</v>
      </c>
      <c r="M89" s="6">
        <v>0.1045</v>
      </c>
      <c r="N89" s="6">
        <v>3</v>
      </c>
      <c r="O89" s="6">
        <v>165</v>
      </c>
      <c r="P89" s="6">
        <v>168</v>
      </c>
    </row>
    <row r="90" spans="1:16" x14ac:dyDescent="0.25">
      <c r="A90" s="6">
        <v>707</v>
      </c>
      <c r="B90" s="9">
        <v>40575</v>
      </c>
      <c r="C90" s="6">
        <v>1</v>
      </c>
      <c r="D90" s="6">
        <v>0</v>
      </c>
      <c r="E90" s="6">
        <v>2</v>
      </c>
      <c r="F90" s="6">
        <v>19</v>
      </c>
      <c r="G90" s="6" t="b">
        <v>0</v>
      </c>
      <c r="H90" s="6">
        <v>2</v>
      </c>
      <c r="I90" s="6">
        <v>2</v>
      </c>
      <c r="J90" s="6">
        <v>0.24</v>
      </c>
      <c r="K90" s="6">
        <v>0.2424</v>
      </c>
      <c r="L90" s="6">
        <v>0.81</v>
      </c>
      <c r="M90" s="6">
        <v>0.1343</v>
      </c>
      <c r="N90" s="6">
        <v>3</v>
      </c>
      <c r="O90" s="6">
        <v>105</v>
      </c>
      <c r="P90" s="6">
        <v>108</v>
      </c>
    </row>
    <row r="91" spans="1:16" x14ac:dyDescent="0.25">
      <c r="A91" s="6">
        <v>708</v>
      </c>
      <c r="B91" s="9">
        <v>40575</v>
      </c>
      <c r="C91" s="6">
        <v>1</v>
      </c>
      <c r="D91" s="6">
        <v>0</v>
      </c>
      <c r="E91" s="6">
        <v>2</v>
      </c>
      <c r="F91" s="6">
        <v>20</v>
      </c>
      <c r="G91" s="6" t="b">
        <v>0</v>
      </c>
      <c r="H91" s="6">
        <v>2</v>
      </c>
      <c r="I91" s="6">
        <v>2</v>
      </c>
      <c r="J91" s="6">
        <v>0.22</v>
      </c>
      <c r="K91" s="6">
        <v>0.2273</v>
      </c>
      <c r="L91" s="6">
        <v>0.87</v>
      </c>
      <c r="M91" s="6">
        <v>0.1343</v>
      </c>
      <c r="N91" s="6">
        <v>5</v>
      </c>
      <c r="O91" s="6">
        <v>69</v>
      </c>
      <c r="P91" s="6">
        <v>74</v>
      </c>
    </row>
    <row r="92" spans="1:16" x14ac:dyDescent="0.25">
      <c r="A92" s="6">
        <v>709</v>
      </c>
      <c r="B92" s="9">
        <v>40575</v>
      </c>
      <c r="C92" s="6">
        <v>1</v>
      </c>
      <c r="D92" s="6">
        <v>0</v>
      </c>
      <c r="E92" s="6">
        <v>2</v>
      </c>
      <c r="F92" s="6">
        <v>21</v>
      </c>
      <c r="G92" s="6" t="b">
        <v>0</v>
      </c>
      <c r="H92" s="6">
        <v>2</v>
      </c>
      <c r="I92" s="6">
        <v>2</v>
      </c>
      <c r="J92" s="6">
        <v>0.22</v>
      </c>
      <c r="K92" s="6">
        <v>0.2273</v>
      </c>
      <c r="L92" s="6">
        <v>0.87</v>
      </c>
      <c r="M92" s="6">
        <v>0.1343</v>
      </c>
      <c r="N92" s="6">
        <v>0</v>
      </c>
      <c r="O92" s="6">
        <v>64</v>
      </c>
      <c r="P92" s="6">
        <v>64</v>
      </c>
    </row>
    <row r="93" spans="1:16" x14ac:dyDescent="0.25">
      <c r="A93" s="6">
        <v>710</v>
      </c>
      <c r="B93" s="9">
        <v>40575</v>
      </c>
      <c r="C93" s="6">
        <v>1</v>
      </c>
      <c r="D93" s="6">
        <v>0</v>
      </c>
      <c r="E93" s="6">
        <v>2</v>
      </c>
      <c r="F93" s="6">
        <v>22</v>
      </c>
      <c r="G93" s="6" t="b">
        <v>0</v>
      </c>
      <c r="H93" s="6">
        <v>2</v>
      </c>
      <c r="I93" s="6">
        <v>2</v>
      </c>
      <c r="J93" s="6">
        <v>0.22</v>
      </c>
      <c r="K93" s="6">
        <v>0.2576</v>
      </c>
      <c r="L93" s="6">
        <v>0.87</v>
      </c>
      <c r="M93" s="6">
        <v>8.9599999999999999E-2</v>
      </c>
      <c r="N93" s="6">
        <v>2</v>
      </c>
      <c r="O93" s="6">
        <v>34</v>
      </c>
      <c r="P93" s="6">
        <v>36</v>
      </c>
    </row>
    <row r="94" spans="1:16" x14ac:dyDescent="0.25">
      <c r="A94" s="6">
        <v>711</v>
      </c>
      <c r="B94" s="9">
        <v>40575</v>
      </c>
      <c r="C94" s="6">
        <v>1</v>
      </c>
      <c r="D94" s="6">
        <v>0</v>
      </c>
      <c r="E94" s="6">
        <v>2</v>
      </c>
      <c r="F94" s="6">
        <v>23</v>
      </c>
      <c r="G94" s="6" t="b">
        <v>0</v>
      </c>
      <c r="H94" s="6">
        <v>2</v>
      </c>
      <c r="I94" s="6">
        <v>3</v>
      </c>
      <c r="J94" s="6">
        <v>0.2</v>
      </c>
      <c r="K94" s="6">
        <v>0.19700000000000001</v>
      </c>
      <c r="L94" s="6">
        <v>0.93</v>
      </c>
      <c r="M94" s="6">
        <v>0.19400000000000001</v>
      </c>
      <c r="N94" s="6">
        <v>1</v>
      </c>
      <c r="O94" s="6">
        <v>15</v>
      </c>
      <c r="P94" s="6">
        <v>16</v>
      </c>
    </row>
    <row r="95" spans="1:16" x14ac:dyDescent="0.25">
      <c r="A95" s="6">
        <v>712</v>
      </c>
      <c r="B95" s="9">
        <v>40576</v>
      </c>
      <c r="C95" s="6">
        <v>1</v>
      </c>
      <c r="D95" s="6">
        <v>0</v>
      </c>
      <c r="E95" s="6">
        <v>2</v>
      </c>
      <c r="F95" s="6">
        <v>0</v>
      </c>
      <c r="G95" s="6" t="b">
        <v>0</v>
      </c>
      <c r="H95" s="6">
        <v>3</v>
      </c>
      <c r="I95" s="6">
        <v>3</v>
      </c>
      <c r="J95" s="6">
        <v>0.22</v>
      </c>
      <c r="K95" s="6">
        <v>0.2424</v>
      </c>
      <c r="L95" s="6">
        <v>0.93</v>
      </c>
      <c r="M95" s="6">
        <v>0.1045</v>
      </c>
      <c r="N95" s="6">
        <v>0</v>
      </c>
      <c r="O95" s="6">
        <v>2</v>
      </c>
      <c r="P95" s="6">
        <v>2</v>
      </c>
    </row>
    <row r="96" spans="1:16" x14ac:dyDescent="0.25">
      <c r="A96" s="6">
        <v>713</v>
      </c>
      <c r="B96" s="9">
        <v>40576</v>
      </c>
      <c r="C96" s="6">
        <v>1</v>
      </c>
      <c r="D96" s="6">
        <v>0</v>
      </c>
      <c r="E96" s="6">
        <v>2</v>
      </c>
      <c r="F96" s="6">
        <v>1</v>
      </c>
      <c r="G96" s="6" t="b">
        <v>0</v>
      </c>
      <c r="H96" s="6">
        <v>3</v>
      </c>
      <c r="I96" s="6">
        <v>3</v>
      </c>
      <c r="J96" s="6">
        <v>0.22</v>
      </c>
      <c r="K96" s="6">
        <v>0.2273</v>
      </c>
      <c r="L96" s="6">
        <v>0.93</v>
      </c>
      <c r="M96" s="6">
        <v>0.19400000000000001</v>
      </c>
      <c r="N96" s="6">
        <v>0</v>
      </c>
      <c r="O96" s="6">
        <v>3</v>
      </c>
      <c r="P96" s="6">
        <v>3</v>
      </c>
    </row>
    <row r="97" spans="1:16" x14ac:dyDescent="0.25">
      <c r="A97" s="6">
        <v>714</v>
      </c>
      <c r="B97" s="9">
        <v>40576</v>
      </c>
      <c r="C97" s="6">
        <v>1</v>
      </c>
      <c r="D97" s="6">
        <v>0</v>
      </c>
      <c r="E97" s="6">
        <v>2</v>
      </c>
      <c r="F97" s="6">
        <v>2</v>
      </c>
      <c r="G97" s="6" t="b">
        <v>0</v>
      </c>
      <c r="H97" s="6">
        <v>3</v>
      </c>
      <c r="I97" s="6">
        <v>3</v>
      </c>
      <c r="J97" s="6">
        <v>0.22</v>
      </c>
      <c r="K97" s="6">
        <v>0.2273</v>
      </c>
      <c r="L97" s="6">
        <v>0.93</v>
      </c>
      <c r="M97" s="6">
        <v>0.1343</v>
      </c>
      <c r="N97" s="6">
        <v>4</v>
      </c>
      <c r="O97" s="6">
        <v>0</v>
      </c>
      <c r="P97" s="6">
        <v>4</v>
      </c>
    </row>
    <row r="98" spans="1:16" x14ac:dyDescent="0.25">
      <c r="A98" s="6">
        <v>715</v>
      </c>
      <c r="B98" s="9">
        <v>40576</v>
      </c>
      <c r="C98" s="6">
        <v>1</v>
      </c>
      <c r="D98" s="6">
        <v>0</v>
      </c>
      <c r="E98" s="6">
        <v>2</v>
      </c>
      <c r="F98" s="6">
        <v>3</v>
      </c>
      <c r="G98" s="6" t="b">
        <v>0</v>
      </c>
      <c r="H98" s="6">
        <v>3</v>
      </c>
      <c r="I98" s="6">
        <v>3</v>
      </c>
      <c r="J98" s="6">
        <v>0.22</v>
      </c>
      <c r="K98" s="6">
        <v>0.2273</v>
      </c>
      <c r="L98" s="6">
        <v>0.93</v>
      </c>
      <c r="M98" s="6">
        <v>0.1343</v>
      </c>
      <c r="N98" s="6">
        <v>0</v>
      </c>
      <c r="O98" s="6">
        <v>1</v>
      </c>
      <c r="P98" s="6">
        <v>1</v>
      </c>
    </row>
    <row r="99" spans="1:16" x14ac:dyDescent="0.25">
      <c r="A99" s="6">
        <v>716</v>
      </c>
      <c r="B99" s="9">
        <v>40576</v>
      </c>
      <c r="C99" s="6">
        <v>1</v>
      </c>
      <c r="D99" s="6">
        <v>0</v>
      </c>
      <c r="E99" s="6">
        <v>2</v>
      </c>
      <c r="F99" s="6">
        <v>4</v>
      </c>
      <c r="G99" s="6" t="b">
        <v>0</v>
      </c>
      <c r="H99" s="6">
        <v>3</v>
      </c>
      <c r="I99" s="6">
        <v>3</v>
      </c>
      <c r="J99" s="6">
        <v>0.22</v>
      </c>
      <c r="K99" s="6">
        <v>0.21210000000000001</v>
      </c>
      <c r="L99" s="6">
        <v>0.93</v>
      </c>
      <c r="M99" s="6">
        <v>0.28360000000000002</v>
      </c>
      <c r="N99" s="6">
        <v>0</v>
      </c>
      <c r="O99" s="6">
        <v>1</v>
      </c>
      <c r="P99" s="6">
        <v>1</v>
      </c>
    </row>
    <row r="100" spans="1:16" x14ac:dyDescent="0.25">
      <c r="A100" s="6">
        <v>717</v>
      </c>
      <c r="B100" s="9">
        <v>40576</v>
      </c>
      <c r="C100" s="6">
        <v>1</v>
      </c>
      <c r="D100" s="6">
        <v>0</v>
      </c>
      <c r="E100" s="6">
        <v>2</v>
      </c>
      <c r="F100" s="6">
        <v>5</v>
      </c>
      <c r="G100" s="6" t="b">
        <v>0</v>
      </c>
      <c r="H100" s="6">
        <v>3</v>
      </c>
      <c r="I100" s="6">
        <v>3</v>
      </c>
      <c r="J100" s="6">
        <v>0.22</v>
      </c>
      <c r="K100" s="6">
        <v>0.2424</v>
      </c>
      <c r="L100" s="6">
        <v>0.93</v>
      </c>
      <c r="M100" s="6">
        <v>0.1045</v>
      </c>
      <c r="N100" s="6">
        <v>0</v>
      </c>
      <c r="O100" s="6">
        <v>3</v>
      </c>
      <c r="P100" s="6">
        <v>3</v>
      </c>
    </row>
    <row r="101" spans="1:16" x14ac:dyDescent="0.25">
      <c r="A101" s="6">
        <v>718</v>
      </c>
      <c r="B101" s="9">
        <v>40576</v>
      </c>
      <c r="C101" s="6">
        <v>1</v>
      </c>
      <c r="D101" s="6">
        <v>0</v>
      </c>
      <c r="E101" s="6">
        <v>2</v>
      </c>
      <c r="F101" s="6">
        <v>6</v>
      </c>
      <c r="G101" s="6" t="b">
        <v>0</v>
      </c>
      <c r="H101" s="6">
        <v>3</v>
      </c>
      <c r="I101" s="6">
        <v>3</v>
      </c>
      <c r="J101" s="6">
        <v>0.22</v>
      </c>
      <c r="K101" s="6">
        <v>0.2424</v>
      </c>
      <c r="L101" s="6">
        <v>0.93</v>
      </c>
      <c r="M101" s="6">
        <v>0.1045</v>
      </c>
      <c r="N101" s="6">
        <v>1</v>
      </c>
      <c r="O101" s="6">
        <v>17</v>
      </c>
      <c r="P101" s="6">
        <v>18</v>
      </c>
    </row>
    <row r="102" spans="1:16" x14ac:dyDescent="0.25">
      <c r="A102" s="6">
        <v>719</v>
      </c>
      <c r="B102" s="9">
        <v>40576</v>
      </c>
      <c r="C102" s="6">
        <v>1</v>
      </c>
      <c r="D102" s="6">
        <v>0</v>
      </c>
      <c r="E102" s="6">
        <v>2</v>
      </c>
      <c r="F102" s="6">
        <v>7</v>
      </c>
      <c r="G102" s="6" t="b">
        <v>0</v>
      </c>
      <c r="H102" s="6">
        <v>3</v>
      </c>
      <c r="I102" s="6">
        <v>3</v>
      </c>
      <c r="J102" s="6">
        <v>0.22</v>
      </c>
      <c r="K102" s="6">
        <v>0.21210000000000001</v>
      </c>
      <c r="L102" s="6">
        <v>0.93</v>
      </c>
      <c r="M102" s="6">
        <v>0.22389999999999999</v>
      </c>
      <c r="N102" s="6">
        <v>1</v>
      </c>
      <c r="O102" s="6">
        <v>48</v>
      </c>
      <c r="P102" s="6">
        <v>49</v>
      </c>
    </row>
    <row r="103" spans="1:16" x14ac:dyDescent="0.25">
      <c r="A103" s="6">
        <v>720</v>
      </c>
      <c r="B103" s="9">
        <v>40576</v>
      </c>
      <c r="C103" s="6">
        <v>1</v>
      </c>
      <c r="D103" s="6">
        <v>0</v>
      </c>
      <c r="E103" s="6">
        <v>2</v>
      </c>
      <c r="F103" s="6">
        <v>8</v>
      </c>
      <c r="G103" s="6" t="b">
        <v>0</v>
      </c>
      <c r="H103" s="6">
        <v>3</v>
      </c>
      <c r="I103" s="6">
        <v>3</v>
      </c>
      <c r="J103" s="6">
        <v>0.22</v>
      </c>
      <c r="K103" s="6">
        <v>0.21210000000000001</v>
      </c>
      <c r="L103" s="6">
        <v>0.93</v>
      </c>
      <c r="M103" s="6">
        <v>0.22389999999999999</v>
      </c>
      <c r="N103" s="6">
        <v>1</v>
      </c>
      <c r="O103" s="6">
        <v>154</v>
      </c>
      <c r="P103" s="6">
        <v>155</v>
      </c>
    </row>
    <row r="104" spans="1:16" x14ac:dyDescent="0.25">
      <c r="A104" s="6">
        <v>721</v>
      </c>
      <c r="B104" s="9">
        <v>40576</v>
      </c>
      <c r="C104" s="6">
        <v>1</v>
      </c>
      <c r="D104" s="6">
        <v>0</v>
      </c>
      <c r="E104" s="6">
        <v>2</v>
      </c>
      <c r="F104" s="6">
        <v>9</v>
      </c>
      <c r="G104" s="6" t="b">
        <v>0</v>
      </c>
      <c r="H104" s="6">
        <v>3</v>
      </c>
      <c r="I104" s="6">
        <v>2</v>
      </c>
      <c r="J104" s="6">
        <v>0.24</v>
      </c>
      <c r="K104" s="6">
        <v>0.2576</v>
      </c>
      <c r="L104" s="6">
        <v>0.93</v>
      </c>
      <c r="M104" s="6">
        <v>8.9599999999999999E-2</v>
      </c>
      <c r="N104" s="6">
        <v>4</v>
      </c>
      <c r="O104" s="6">
        <v>119</v>
      </c>
      <c r="P104" s="6">
        <v>123</v>
      </c>
    </row>
    <row r="105" spans="1:16" x14ac:dyDescent="0.25">
      <c r="A105" s="6">
        <v>722</v>
      </c>
      <c r="B105" s="9">
        <v>40576</v>
      </c>
      <c r="C105" s="6">
        <v>1</v>
      </c>
      <c r="D105" s="6">
        <v>0</v>
      </c>
      <c r="E105" s="6">
        <v>2</v>
      </c>
      <c r="F105" s="6">
        <v>10</v>
      </c>
      <c r="G105" s="6" t="b">
        <v>0</v>
      </c>
      <c r="H105" s="6">
        <v>3</v>
      </c>
      <c r="I105" s="6">
        <v>2</v>
      </c>
      <c r="J105" s="6">
        <v>0.22</v>
      </c>
      <c r="K105" s="6">
        <v>0.2727</v>
      </c>
      <c r="L105" s="6">
        <v>1</v>
      </c>
      <c r="M105" s="6">
        <v>0</v>
      </c>
      <c r="N105" s="6">
        <v>2</v>
      </c>
      <c r="O105" s="6">
        <v>59</v>
      </c>
      <c r="P105" s="6">
        <v>61</v>
      </c>
    </row>
    <row r="106" spans="1:16" x14ac:dyDescent="0.25">
      <c r="A106" s="6">
        <v>723</v>
      </c>
      <c r="B106" s="9">
        <v>40576</v>
      </c>
      <c r="C106" s="6">
        <v>1</v>
      </c>
      <c r="D106" s="6">
        <v>0</v>
      </c>
      <c r="E106" s="6">
        <v>2</v>
      </c>
      <c r="F106" s="6">
        <v>11</v>
      </c>
      <c r="G106" s="6" t="b">
        <v>0</v>
      </c>
      <c r="H106" s="6">
        <v>3</v>
      </c>
      <c r="I106" s="6">
        <v>2</v>
      </c>
      <c r="J106" s="6">
        <v>0.24</v>
      </c>
      <c r="K106" s="6">
        <v>0.2273</v>
      </c>
      <c r="L106" s="6">
        <v>0.93</v>
      </c>
      <c r="M106" s="6">
        <v>0.19400000000000001</v>
      </c>
      <c r="N106" s="6">
        <v>5</v>
      </c>
      <c r="O106" s="6">
        <v>47</v>
      </c>
      <c r="P106" s="6">
        <v>52</v>
      </c>
    </row>
    <row r="107" spans="1:16" x14ac:dyDescent="0.25">
      <c r="A107" s="6">
        <v>724</v>
      </c>
      <c r="B107" s="9">
        <v>40576</v>
      </c>
      <c r="C107" s="6">
        <v>1</v>
      </c>
      <c r="D107" s="6">
        <v>0</v>
      </c>
      <c r="E107" s="6">
        <v>2</v>
      </c>
      <c r="F107" s="6">
        <v>12</v>
      </c>
      <c r="G107" s="6" t="b">
        <v>0</v>
      </c>
      <c r="H107" s="6">
        <v>3</v>
      </c>
      <c r="I107" s="6">
        <v>2</v>
      </c>
      <c r="J107" s="6">
        <v>0.24</v>
      </c>
      <c r="K107" s="6">
        <v>0.2273</v>
      </c>
      <c r="L107" s="6">
        <v>0.93</v>
      </c>
      <c r="M107" s="6">
        <v>0.22389999999999999</v>
      </c>
      <c r="N107" s="6">
        <v>3</v>
      </c>
      <c r="O107" s="6">
        <v>61</v>
      </c>
      <c r="P107" s="6">
        <v>64</v>
      </c>
    </row>
    <row r="108" spans="1:16" x14ac:dyDescent="0.25">
      <c r="A108" s="6">
        <v>725</v>
      </c>
      <c r="B108" s="9">
        <v>40576</v>
      </c>
      <c r="C108" s="6">
        <v>1</v>
      </c>
      <c r="D108" s="6">
        <v>0</v>
      </c>
      <c r="E108" s="6">
        <v>2</v>
      </c>
      <c r="F108" s="6">
        <v>13</v>
      </c>
      <c r="G108" s="6" t="b">
        <v>0</v>
      </c>
      <c r="H108" s="6">
        <v>3</v>
      </c>
      <c r="I108" s="6">
        <v>1</v>
      </c>
      <c r="J108" s="6">
        <v>0.34</v>
      </c>
      <c r="K108" s="6">
        <v>0.33329999999999999</v>
      </c>
      <c r="L108" s="6">
        <v>0.93</v>
      </c>
      <c r="M108" s="6">
        <v>0.16420000000000001</v>
      </c>
      <c r="N108" s="6">
        <v>1</v>
      </c>
      <c r="O108" s="6">
        <v>74</v>
      </c>
      <c r="P108" s="6">
        <v>75</v>
      </c>
    </row>
    <row r="109" spans="1:16" x14ac:dyDescent="0.25">
      <c r="A109" s="6">
        <v>726</v>
      </c>
      <c r="B109" s="9">
        <v>40576</v>
      </c>
      <c r="C109" s="6">
        <v>1</v>
      </c>
      <c r="D109" s="6">
        <v>0</v>
      </c>
      <c r="E109" s="6">
        <v>2</v>
      </c>
      <c r="F109" s="6">
        <v>14</v>
      </c>
      <c r="G109" s="6" t="b">
        <v>0</v>
      </c>
      <c r="H109" s="6">
        <v>3</v>
      </c>
      <c r="I109" s="6">
        <v>1</v>
      </c>
      <c r="J109" s="6">
        <v>0.38</v>
      </c>
      <c r="K109" s="6">
        <v>0.39389999999999997</v>
      </c>
      <c r="L109" s="6">
        <v>0.82</v>
      </c>
      <c r="M109" s="6">
        <v>0.3881</v>
      </c>
      <c r="N109" s="6">
        <v>2</v>
      </c>
      <c r="O109" s="6">
        <v>61</v>
      </c>
      <c r="P109" s="6">
        <v>63</v>
      </c>
    </row>
    <row r="110" spans="1:16" x14ac:dyDescent="0.25">
      <c r="A110" s="6">
        <v>727</v>
      </c>
      <c r="B110" s="9">
        <v>40576</v>
      </c>
      <c r="C110" s="6">
        <v>1</v>
      </c>
      <c r="D110" s="6">
        <v>0</v>
      </c>
      <c r="E110" s="6">
        <v>2</v>
      </c>
      <c r="F110" s="6">
        <v>15</v>
      </c>
      <c r="G110" s="6" t="b">
        <v>0</v>
      </c>
      <c r="H110" s="6">
        <v>3</v>
      </c>
      <c r="I110" s="6">
        <v>1</v>
      </c>
      <c r="J110" s="6">
        <v>0.38</v>
      </c>
      <c r="K110" s="6">
        <v>0.39389999999999997</v>
      </c>
      <c r="L110" s="6">
        <v>0.76</v>
      </c>
      <c r="M110" s="6">
        <v>0.32840000000000003</v>
      </c>
      <c r="N110" s="6">
        <v>10</v>
      </c>
      <c r="O110" s="6">
        <v>66</v>
      </c>
      <c r="P110" s="6">
        <v>76</v>
      </c>
    </row>
    <row r="111" spans="1:16" x14ac:dyDescent="0.25">
      <c r="A111" s="6">
        <v>728</v>
      </c>
      <c r="B111" s="9">
        <v>40576</v>
      </c>
      <c r="C111" s="6">
        <v>1</v>
      </c>
      <c r="D111" s="6">
        <v>0</v>
      </c>
      <c r="E111" s="6">
        <v>2</v>
      </c>
      <c r="F111" s="6">
        <v>16</v>
      </c>
      <c r="G111" s="6" t="b">
        <v>0</v>
      </c>
      <c r="H111" s="6">
        <v>3</v>
      </c>
      <c r="I111" s="6">
        <v>1</v>
      </c>
      <c r="J111" s="6">
        <v>0.36</v>
      </c>
      <c r="K111" s="6">
        <v>0.33329999999999999</v>
      </c>
      <c r="L111" s="6">
        <v>0.71</v>
      </c>
      <c r="M111" s="6">
        <v>0.29849999999999999</v>
      </c>
      <c r="N111" s="6">
        <v>8</v>
      </c>
      <c r="O111" s="6">
        <v>95</v>
      </c>
      <c r="P111" s="6">
        <v>103</v>
      </c>
    </row>
    <row r="112" spans="1:16" x14ac:dyDescent="0.25">
      <c r="A112" s="6">
        <v>729</v>
      </c>
      <c r="B112" s="9">
        <v>40576</v>
      </c>
      <c r="C112" s="6">
        <v>1</v>
      </c>
      <c r="D112" s="6">
        <v>0</v>
      </c>
      <c r="E112" s="6">
        <v>2</v>
      </c>
      <c r="F112" s="6">
        <v>17</v>
      </c>
      <c r="G112" s="6" t="b">
        <v>0</v>
      </c>
      <c r="H112" s="6">
        <v>3</v>
      </c>
      <c r="I112" s="6">
        <v>1</v>
      </c>
      <c r="J112" s="6">
        <v>0.36</v>
      </c>
      <c r="K112" s="6">
        <v>0.31819999999999998</v>
      </c>
      <c r="L112" s="6">
        <v>0.53</v>
      </c>
      <c r="M112" s="6">
        <v>0.52239999999999998</v>
      </c>
      <c r="N112" s="6">
        <v>7</v>
      </c>
      <c r="O112" s="6">
        <v>183</v>
      </c>
      <c r="P112" s="6">
        <v>190</v>
      </c>
    </row>
    <row r="113" spans="1:16" x14ac:dyDescent="0.25">
      <c r="A113" s="6">
        <v>730</v>
      </c>
      <c r="B113" s="9">
        <v>40576</v>
      </c>
      <c r="C113" s="6">
        <v>1</v>
      </c>
      <c r="D113" s="6">
        <v>0</v>
      </c>
      <c r="E113" s="6">
        <v>2</v>
      </c>
      <c r="F113" s="6">
        <v>18</v>
      </c>
      <c r="G113" s="6" t="b">
        <v>0</v>
      </c>
      <c r="H113" s="6">
        <v>3</v>
      </c>
      <c r="I113" s="6">
        <v>1</v>
      </c>
      <c r="J113" s="6">
        <v>0.34</v>
      </c>
      <c r="K113" s="6">
        <v>0.28789999999999999</v>
      </c>
      <c r="L113" s="6">
        <v>0.42</v>
      </c>
      <c r="M113" s="6">
        <v>0.55220000000000002</v>
      </c>
      <c r="N113" s="6">
        <v>7</v>
      </c>
      <c r="O113" s="6">
        <v>175</v>
      </c>
      <c r="P113" s="6">
        <v>182</v>
      </c>
    </row>
    <row r="114" spans="1:16" x14ac:dyDescent="0.25">
      <c r="A114" s="6">
        <v>731</v>
      </c>
      <c r="B114" s="9">
        <v>40576</v>
      </c>
      <c r="C114" s="6">
        <v>1</v>
      </c>
      <c r="D114" s="6">
        <v>0</v>
      </c>
      <c r="E114" s="6">
        <v>2</v>
      </c>
      <c r="F114" s="6">
        <v>19</v>
      </c>
      <c r="G114" s="6" t="b">
        <v>0</v>
      </c>
      <c r="H114" s="6">
        <v>3</v>
      </c>
      <c r="I114" s="6">
        <v>1</v>
      </c>
      <c r="J114" s="6">
        <v>0.28000000000000003</v>
      </c>
      <c r="K114" s="6">
        <v>0.2424</v>
      </c>
      <c r="L114" s="6">
        <v>0.45</v>
      </c>
      <c r="M114" s="6">
        <v>0.49249999999999999</v>
      </c>
      <c r="N114" s="6">
        <v>3</v>
      </c>
      <c r="O114" s="6">
        <v>88</v>
      </c>
      <c r="P114" s="6">
        <v>91</v>
      </c>
    </row>
    <row r="115" spans="1:16" x14ac:dyDescent="0.25">
      <c r="A115" s="6">
        <v>732</v>
      </c>
      <c r="B115" s="9">
        <v>40576</v>
      </c>
      <c r="C115" s="6">
        <v>1</v>
      </c>
      <c r="D115" s="6">
        <v>0</v>
      </c>
      <c r="E115" s="6">
        <v>2</v>
      </c>
      <c r="F115" s="6">
        <v>20</v>
      </c>
      <c r="G115" s="6" t="b">
        <v>0</v>
      </c>
      <c r="H115" s="6">
        <v>3</v>
      </c>
      <c r="I115" s="6">
        <v>1</v>
      </c>
      <c r="J115" s="6">
        <v>0.24</v>
      </c>
      <c r="K115" s="6">
        <v>0.19700000000000001</v>
      </c>
      <c r="L115" s="6">
        <v>0.48</v>
      </c>
      <c r="M115" s="6">
        <v>0.55220000000000002</v>
      </c>
      <c r="N115" s="6">
        <v>4</v>
      </c>
      <c r="O115" s="6">
        <v>71</v>
      </c>
      <c r="P115" s="6">
        <v>75</v>
      </c>
    </row>
    <row r="116" spans="1:16" x14ac:dyDescent="0.25">
      <c r="A116" s="6">
        <v>733</v>
      </c>
      <c r="B116" s="9">
        <v>40576</v>
      </c>
      <c r="C116" s="6">
        <v>1</v>
      </c>
      <c r="D116" s="6">
        <v>0</v>
      </c>
      <c r="E116" s="6">
        <v>2</v>
      </c>
      <c r="F116" s="6">
        <v>21</v>
      </c>
      <c r="G116" s="6" t="b">
        <v>0</v>
      </c>
      <c r="H116" s="6">
        <v>3</v>
      </c>
      <c r="I116" s="6">
        <v>1</v>
      </c>
      <c r="J116" s="6">
        <v>0.22</v>
      </c>
      <c r="K116" s="6">
        <v>0.19700000000000001</v>
      </c>
      <c r="L116" s="6">
        <v>0.47</v>
      </c>
      <c r="M116" s="6">
        <v>0.32840000000000003</v>
      </c>
      <c r="N116" s="6">
        <v>1</v>
      </c>
      <c r="O116" s="6">
        <v>62</v>
      </c>
      <c r="P116" s="6">
        <v>63</v>
      </c>
    </row>
    <row r="117" spans="1:16" x14ac:dyDescent="0.25">
      <c r="A117" s="6">
        <v>734</v>
      </c>
      <c r="B117" s="9">
        <v>40576</v>
      </c>
      <c r="C117" s="6">
        <v>1</v>
      </c>
      <c r="D117" s="6">
        <v>0</v>
      </c>
      <c r="E117" s="6">
        <v>2</v>
      </c>
      <c r="F117" s="6">
        <v>22</v>
      </c>
      <c r="G117" s="6" t="b">
        <v>0</v>
      </c>
      <c r="H117" s="6">
        <v>3</v>
      </c>
      <c r="I117" s="6">
        <v>1</v>
      </c>
      <c r="J117" s="6">
        <v>0.22</v>
      </c>
      <c r="K117" s="6">
        <v>0.21210000000000001</v>
      </c>
      <c r="L117" s="6">
        <v>0.44</v>
      </c>
      <c r="M117" s="6">
        <v>0.25369999999999998</v>
      </c>
      <c r="N117" s="6">
        <v>5</v>
      </c>
      <c r="O117" s="6">
        <v>35</v>
      </c>
      <c r="P117" s="6">
        <v>40</v>
      </c>
    </row>
    <row r="118" spans="1:16" x14ac:dyDescent="0.25">
      <c r="A118" s="6">
        <v>735</v>
      </c>
      <c r="B118" s="9">
        <v>40576</v>
      </c>
      <c r="C118" s="6">
        <v>1</v>
      </c>
      <c r="D118" s="6">
        <v>0</v>
      </c>
      <c r="E118" s="6">
        <v>2</v>
      </c>
      <c r="F118" s="6">
        <v>23</v>
      </c>
      <c r="G118" s="6" t="b">
        <v>0</v>
      </c>
      <c r="H118" s="6">
        <v>3</v>
      </c>
      <c r="I118" s="6">
        <v>1</v>
      </c>
      <c r="J118" s="6">
        <v>0.2</v>
      </c>
      <c r="K118" s="6">
        <v>0.16669999999999999</v>
      </c>
      <c r="L118" s="6">
        <v>0.44</v>
      </c>
      <c r="M118" s="6">
        <v>0.44779999999999998</v>
      </c>
      <c r="N118" s="6">
        <v>3</v>
      </c>
      <c r="O118" s="6">
        <v>29</v>
      </c>
      <c r="P118" s="6">
        <v>32</v>
      </c>
    </row>
    <row r="119" spans="1:16" x14ac:dyDescent="0.25">
      <c r="A119" s="6">
        <v>736</v>
      </c>
      <c r="B119" s="9">
        <v>40577</v>
      </c>
      <c r="C119" s="6">
        <v>1</v>
      </c>
      <c r="D119" s="6">
        <v>0</v>
      </c>
      <c r="E119" s="6">
        <v>2</v>
      </c>
      <c r="F119" s="6">
        <v>0</v>
      </c>
      <c r="G119" s="6" t="b">
        <v>0</v>
      </c>
      <c r="H119" s="6">
        <v>4</v>
      </c>
      <c r="I119" s="6">
        <v>1</v>
      </c>
      <c r="J119" s="6">
        <v>0.2</v>
      </c>
      <c r="K119" s="6">
        <v>0.16669999999999999</v>
      </c>
      <c r="L119" s="6">
        <v>0.4</v>
      </c>
      <c r="M119" s="6">
        <v>0.44779999999999998</v>
      </c>
      <c r="N119" s="6">
        <v>1</v>
      </c>
      <c r="O119" s="6">
        <v>11</v>
      </c>
      <c r="P119" s="6">
        <v>12</v>
      </c>
    </row>
    <row r="120" spans="1:16" x14ac:dyDescent="0.25">
      <c r="A120" s="6">
        <v>737</v>
      </c>
      <c r="B120" s="9">
        <v>40577</v>
      </c>
      <c r="C120" s="6">
        <v>1</v>
      </c>
      <c r="D120" s="6">
        <v>0</v>
      </c>
      <c r="E120" s="6">
        <v>2</v>
      </c>
      <c r="F120" s="6">
        <v>1</v>
      </c>
      <c r="G120" s="6" t="b">
        <v>0</v>
      </c>
      <c r="H120" s="6">
        <v>4</v>
      </c>
      <c r="I120" s="6">
        <v>1</v>
      </c>
      <c r="J120" s="6">
        <v>0.2</v>
      </c>
      <c r="K120" s="6">
        <v>0.1515</v>
      </c>
      <c r="L120" s="6">
        <v>0.44</v>
      </c>
      <c r="M120" s="6">
        <v>0.52239999999999998</v>
      </c>
      <c r="N120" s="6">
        <v>0</v>
      </c>
      <c r="O120" s="6">
        <v>5</v>
      </c>
      <c r="P120" s="6">
        <v>5</v>
      </c>
    </row>
    <row r="121" spans="1:16" x14ac:dyDescent="0.25">
      <c r="A121" s="6">
        <v>738</v>
      </c>
      <c r="B121" s="9">
        <v>40577</v>
      </c>
      <c r="C121" s="6">
        <v>1</v>
      </c>
      <c r="D121" s="6">
        <v>0</v>
      </c>
      <c r="E121" s="6">
        <v>2</v>
      </c>
      <c r="F121" s="6">
        <v>2</v>
      </c>
      <c r="G121" s="6" t="b">
        <v>0</v>
      </c>
      <c r="H121" s="6">
        <v>4</v>
      </c>
      <c r="I121" s="6">
        <v>1</v>
      </c>
      <c r="J121" s="6">
        <v>0.18</v>
      </c>
      <c r="K121" s="6">
        <v>0.16669999999999999</v>
      </c>
      <c r="L121" s="6">
        <v>0.43</v>
      </c>
      <c r="M121" s="6">
        <v>0.25369999999999998</v>
      </c>
      <c r="N121" s="6">
        <v>0</v>
      </c>
      <c r="O121" s="6">
        <v>2</v>
      </c>
      <c r="P121" s="6">
        <v>2</v>
      </c>
    </row>
    <row r="122" spans="1:16" x14ac:dyDescent="0.25">
      <c r="A122" s="6">
        <v>739</v>
      </c>
      <c r="B122" s="9">
        <v>40577</v>
      </c>
      <c r="C122" s="6">
        <v>1</v>
      </c>
      <c r="D122" s="6">
        <v>0</v>
      </c>
      <c r="E122" s="6">
        <v>2</v>
      </c>
      <c r="F122" s="6">
        <v>3</v>
      </c>
      <c r="G122" s="6" t="b">
        <v>0</v>
      </c>
      <c r="H122" s="6">
        <v>4</v>
      </c>
      <c r="I122" s="6">
        <v>1</v>
      </c>
      <c r="J122" s="6">
        <v>0.18</v>
      </c>
      <c r="K122" s="6">
        <v>0.16669999999999999</v>
      </c>
      <c r="L122" s="6">
        <v>0.43</v>
      </c>
      <c r="M122" s="6">
        <v>0.25369999999999998</v>
      </c>
      <c r="N122" s="6">
        <v>0</v>
      </c>
      <c r="O122" s="6">
        <v>1</v>
      </c>
      <c r="P122" s="6">
        <v>1</v>
      </c>
    </row>
    <row r="123" spans="1:16" x14ac:dyDescent="0.25">
      <c r="A123" s="6">
        <v>740</v>
      </c>
      <c r="B123" s="9">
        <v>40577</v>
      </c>
      <c r="C123" s="6">
        <v>1</v>
      </c>
      <c r="D123" s="6">
        <v>0</v>
      </c>
      <c r="E123" s="6">
        <v>2</v>
      </c>
      <c r="F123" s="6">
        <v>5</v>
      </c>
      <c r="G123" s="6" t="b">
        <v>0</v>
      </c>
      <c r="H123" s="6">
        <v>4</v>
      </c>
      <c r="I123" s="6">
        <v>1</v>
      </c>
      <c r="J123" s="6">
        <v>0.16</v>
      </c>
      <c r="K123" s="6">
        <v>0.13639999999999999</v>
      </c>
      <c r="L123" s="6">
        <v>0.5</v>
      </c>
      <c r="M123" s="6">
        <v>0.29849999999999999</v>
      </c>
      <c r="N123" s="6">
        <v>0</v>
      </c>
      <c r="O123" s="6">
        <v>2</v>
      </c>
      <c r="P123" s="6">
        <v>2</v>
      </c>
    </row>
    <row r="124" spans="1:16" x14ac:dyDescent="0.25">
      <c r="A124" s="6">
        <v>741</v>
      </c>
      <c r="B124" s="9">
        <v>40577</v>
      </c>
      <c r="C124" s="6">
        <v>1</v>
      </c>
      <c r="D124" s="6">
        <v>0</v>
      </c>
      <c r="E124" s="6">
        <v>2</v>
      </c>
      <c r="F124" s="6">
        <v>6</v>
      </c>
      <c r="G124" s="6" t="b">
        <v>0</v>
      </c>
      <c r="H124" s="6">
        <v>4</v>
      </c>
      <c r="I124" s="6">
        <v>1</v>
      </c>
      <c r="J124" s="6">
        <v>0.16</v>
      </c>
      <c r="K124" s="6">
        <v>0.13639999999999999</v>
      </c>
      <c r="L124" s="6">
        <v>0.43</v>
      </c>
      <c r="M124" s="6">
        <v>0.35820000000000002</v>
      </c>
      <c r="N124" s="6">
        <v>0</v>
      </c>
      <c r="O124" s="6">
        <v>39</v>
      </c>
      <c r="P124" s="6">
        <v>39</v>
      </c>
    </row>
    <row r="125" spans="1:16" x14ac:dyDescent="0.25">
      <c r="A125" s="6">
        <v>742</v>
      </c>
      <c r="B125" s="9">
        <v>40577</v>
      </c>
      <c r="C125" s="6">
        <v>1</v>
      </c>
      <c r="D125" s="6">
        <v>0</v>
      </c>
      <c r="E125" s="6">
        <v>2</v>
      </c>
      <c r="F125" s="6">
        <v>7</v>
      </c>
      <c r="G125" s="6" t="b">
        <v>0</v>
      </c>
      <c r="H125" s="6">
        <v>4</v>
      </c>
      <c r="I125" s="6">
        <v>1</v>
      </c>
      <c r="J125" s="6">
        <v>0.14000000000000001</v>
      </c>
      <c r="K125" s="6">
        <v>0.1212</v>
      </c>
      <c r="L125" s="6">
        <v>0.5</v>
      </c>
      <c r="M125" s="6">
        <v>0.32840000000000003</v>
      </c>
      <c r="N125" s="6">
        <v>1</v>
      </c>
      <c r="O125" s="6">
        <v>86</v>
      </c>
      <c r="P125" s="6">
        <v>87</v>
      </c>
    </row>
    <row r="126" spans="1:16" x14ac:dyDescent="0.25">
      <c r="A126" s="6">
        <v>743</v>
      </c>
      <c r="B126" s="9">
        <v>40577</v>
      </c>
      <c r="C126" s="6">
        <v>1</v>
      </c>
      <c r="D126" s="6">
        <v>0</v>
      </c>
      <c r="E126" s="6">
        <v>2</v>
      </c>
      <c r="F126" s="6">
        <v>8</v>
      </c>
      <c r="G126" s="6" t="b">
        <v>0</v>
      </c>
      <c r="H126" s="6">
        <v>4</v>
      </c>
      <c r="I126" s="6">
        <v>1</v>
      </c>
      <c r="J126" s="6">
        <v>0.14000000000000001</v>
      </c>
      <c r="K126" s="6">
        <v>0.1212</v>
      </c>
      <c r="L126" s="6">
        <v>0.5</v>
      </c>
      <c r="M126" s="6">
        <v>0.35820000000000002</v>
      </c>
      <c r="N126" s="6">
        <v>4</v>
      </c>
      <c r="O126" s="6">
        <v>184</v>
      </c>
      <c r="P126" s="6">
        <v>188</v>
      </c>
    </row>
    <row r="127" spans="1:16" x14ac:dyDescent="0.25">
      <c r="A127" s="6">
        <v>744</v>
      </c>
      <c r="B127" s="9">
        <v>40577</v>
      </c>
      <c r="C127" s="6">
        <v>1</v>
      </c>
      <c r="D127" s="6">
        <v>0</v>
      </c>
      <c r="E127" s="6">
        <v>2</v>
      </c>
      <c r="F127" s="6">
        <v>9</v>
      </c>
      <c r="G127" s="6" t="b">
        <v>0</v>
      </c>
      <c r="H127" s="6">
        <v>4</v>
      </c>
      <c r="I127" s="6">
        <v>1</v>
      </c>
      <c r="J127" s="6">
        <v>0.16</v>
      </c>
      <c r="K127" s="6">
        <v>0.13639999999999999</v>
      </c>
      <c r="L127" s="6">
        <v>0.47</v>
      </c>
      <c r="M127" s="6">
        <v>0.29849999999999999</v>
      </c>
      <c r="N127" s="6">
        <v>6</v>
      </c>
      <c r="O127" s="6">
        <v>127</v>
      </c>
      <c r="P127" s="6">
        <v>133</v>
      </c>
    </row>
    <row r="128" spans="1:16" x14ac:dyDescent="0.25">
      <c r="A128" s="6">
        <v>745</v>
      </c>
      <c r="B128" s="9">
        <v>40577</v>
      </c>
      <c r="C128" s="6">
        <v>1</v>
      </c>
      <c r="D128" s="6">
        <v>0</v>
      </c>
      <c r="E128" s="6">
        <v>2</v>
      </c>
      <c r="F128" s="6">
        <v>10</v>
      </c>
      <c r="G128" s="6" t="b">
        <v>0</v>
      </c>
      <c r="H128" s="6">
        <v>4</v>
      </c>
      <c r="I128" s="6">
        <v>1</v>
      </c>
      <c r="J128" s="6">
        <v>0.18</v>
      </c>
      <c r="K128" s="6">
        <v>0.1515</v>
      </c>
      <c r="L128" s="6">
        <v>0.43</v>
      </c>
      <c r="M128" s="6">
        <v>0.32840000000000003</v>
      </c>
      <c r="N128" s="6">
        <v>2</v>
      </c>
      <c r="O128" s="6">
        <v>50</v>
      </c>
      <c r="P128" s="6">
        <v>52</v>
      </c>
    </row>
    <row r="129" spans="1:16" x14ac:dyDescent="0.25">
      <c r="A129" s="6">
        <v>746</v>
      </c>
      <c r="B129" s="9">
        <v>40577</v>
      </c>
      <c r="C129" s="6">
        <v>1</v>
      </c>
      <c r="D129" s="6">
        <v>0</v>
      </c>
      <c r="E129" s="6">
        <v>2</v>
      </c>
      <c r="F129" s="6">
        <v>11</v>
      </c>
      <c r="G129" s="6" t="b">
        <v>0</v>
      </c>
      <c r="H129" s="6">
        <v>4</v>
      </c>
      <c r="I129" s="6">
        <v>1</v>
      </c>
      <c r="J129" s="6">
        <v>0.18</v>
      </c>
      <c r="K129" s="6">
        <v>0.13639999999999999</v>
      </c>
      <c r="L129" s="6">
        <v>0.43</v>
      </c>
      <c r="M129" s="6">
        <v>0.44779999999999998</v>
      </c>
      <c r="N129" s="6">
        <v>9</v>
      </c>
      <c r="O129" s="6">
        <v>55</v>
      </c>
      <c r="P129" s="6">
        <v>64</v>
      </c>
    </row>
    <row r="130" spans="1:16" x14ac:dyDescent="0.25">
      <c r="A130" s="6">
        <v>747</v>
      </c>
      <c r="B130" s="9">
        <v>40577</v>
      </c>
      <c r="C130" s="6">
        <v>1</v>
      </c>
      <c r="D130" s="6">
        <v>0</v>
      </c>
      <c r="E130" s="6">
        <v>2</v>
      </c>
      <c r="F130" s="6">
        <v>12</v>
      </c>
      <c r="G130" s="6" t="b">
        <v>0</v>
      </c>
      <c r="H130" s="6">
        <v>4</v>
      </c>
      <c r="I130" s="6">
        <v>1</v>
      </c>
      <c r="J130" s="6">
        <v>0.2</v>
      </c>
      <c r="K130" s="6">
        <v>0.18179999999999999</v>
      </c>
      <c r="L130" s="6">
        <v>0.4</v>
      </c>
      <c r="M130" s="6">
        <v>0.35820000000000002</v>
      </c>
      <c r="N130" s="6">
        <v>2</v>
      </c>
      <c r="O130" s="6">
        <v>67</v>
      </c>
      <c r="P130" s="6">
        <v>69</v>
      </c>
    </row>
    <row r="131" spans="1:16" x14ac:dyDescent="0.25">
      <c r="A131" s="6">
        <v>748</v>
      </c>
      <c r="B131" s="9">
        <v>40577</v>
      </c>
      <c r="C131" s="6">
        <v>1</v>
      </c>
      <c r="D131" s="6">
        <v>0</v>
      </c>
      <c r="E131" s="6">
        <v>2</v>
      </c>
      <c r="F131" s="6">
        <v>13</v>
      </c>
      <c r="G131" s="6" t="b">
        <v>0</v>
      </c>
      <c r="H131" s="6">
        <v>4</v>
      </c>
      <c r="I131" s="6">
        <v>1</v>
      </c>
      <c r="J131" s="6">
        <v>0.2</v>
      </c>
      <c r="K131" s="6">
        <v>0.16669999999999999</v>
      </c>
      <c r="L131" s="6">
        <v>0.4</v>
      </c>
      <c r="M131" s="6">
        <v>0.41789999999999999</v>
      </c>
      <c r="N131" s="6">
        <v>4</v>
      </c>
      <c r="O131" s="6">
        <v>47</v>
      </c>
      <c r="P131" s="6">
        <v>51</v>
      </c>
    </row>
    <row r="132" spans="1:16" x14ac:dyDescent="0.25">
      <c r="A132" s="6">
        <v>749</v>
      </c>
      <c r="B132" s="9">
        <v>40577</v>
      </c>
      <c r="C132" s="6">
        <v>1</v>
      </c>
      <c r="D132" s="6">
        <v>0</v>
      </c>
      <c r="E132" s="6">
        <v>2</v>
      </c>
      <c r="F132" s="6">
        <v>14</v>
      </c>
      <c r="G132" s="6" t="b">
        <v>0</v>
      </c>
      <c r="H132" s="6">
        <v>4</v>
      </c>
      <c r="I132" s="6">
        <v>1</v>
      </c>
      <c r="J132" s="6">
        <v>0.22</v>
      </c>
      <c r="K132" s="6">
        <v>0.19700000000000001</v>
      </c>
      <c r="L132" s="6">
        <v>0.37</v>
      </c>
      <c r="M132" s="6">
        <v>0.3881</v>
      </c>
      <c r="N132" s="6">
        <v>4</v>
      </c>
      <c r="O132" s="6">
        <v>43</v>
      </c>
      <c r="P132" s="6">
        <v>47</v>
      </c>
    </row>
    <row r="133" spans="1:16" x14ac:dyDescent="0.25">
      <c r="A133" s="6">
        <v>750</v>
      </c>
      <c r="B133" s="9">
        <v>40577</v>
      </c>
      <c r="C133" s="6">
        <v>1</v>
      </c>
      <c r="D133" s="6">
        <v>0</v>
      </c>
      <c r="E133" s="6">
        <v>2</v>
      </c>
      <c r="F133" s="6">
        <v>15</v>
      </c>
      <c r="G133" s="6" t="b">
        <v>0</v>
      </c>
      <c r="H133" s="6">
        <v>4</v>
      </c>
      <c r="I133" s="6">
        <v>1</v>
      </c>
      <c r="J133" s="6">
        <v>0.22</v>
      </c>
      <c r="K133" s="6">
        <v>0.19700000000000001</v>
      </c>
      <c r="L133" s="6">
        <v>0.37</v>
      </c>
      <c r="M133" s="6">
        <v>0.32840000000000003</v>
      </c>
      <c r="N133" s="6">
        <v>4</v>
      </c>
      <c r="O133" s="6">
        <v>56</v>
      </c>
      <c r="P133" s="6">
        <v>60</v>
      </c>
    </row>
    <row r="134" spans="1:16" x14ac:dyDescent="0.25">
      <c r="A134" s="6">
        <v>751</v>
      </c>
      <c r="B134" s="9">
        <v>40577</v>
      </c>
      <c r="C134" s="6">
        <v>1</v>
      </c>
      <c r="D134" s="6">
        <v>0</v>
      </c>
      <c r="E134" s="6">
        <v>2</v>
      </c>
      <c r="F134" s="6">
        <v>16</v>
      </c>
      <c r="G134" s="6" t="b">
        <v>0</v>
      </c>
      <c r="H134" s="6">
        <v>4</v>
      </c>
      <c r="I134" s="6">
        <v>1</v>
      </c>
      <c r="J134" s="6">
        <v>0.22</v>
      </c>
      <c r="K134" s="6">
        <v>0.21210000000000001</v>
      </c>
      <c r="L134" s="6">
        <v>0.37</v>
      </c>
      <c r="M134" s="6">
        <v>0.25369999999999998</v>
      </c>
      <c r="N134" s="6">
        <v>5</v>
      </c>
      <c r="O134" s="6">
        <v>73</v>
      </c>
      <c r="P134" s="6">
        <v>78</v>
      </c>
    </row>
    <row r="135" spans="1:16" x14ac:dyDescent="0.25">
      <c r="A135" s="6">
        <v>752</v>
      </c>
      <c r="B135" s="9">
        <v>40577</v>
      </c>
      <c r="C135" s="6">
        <v>1</v>
      </c>
      <c r="D135" s="6">
        <v>0</v>
      </c>
      <c r="E135" s="6">
        <v>2</v>
      </c>
      <c r="F135" s="6">
        <v>17</v>
      </c>
      <c r="G135" s="6" t="b">
        <v>0</v>
      </c>
      <c r="H135" s="6">
        <v>4</v>
      </c>
      <c r="I135" s="6">
        <v>1</v>
      </c>
      <c r="J135" s="6">
        <v>0.2</v>
      </c>
      <c r="K135" s="6">
        <v>0.19700000000000001</v>
      </c>
      <c r="L135" s="6">
        <v>0.4</v>
      </c>
      <c r="M135" s="6">
        <v>0.19400000000000001</v>
      </c>
      <c r="N135" s="6">
        <v>5</v>
      </c>
      <c r="O135" s="6">
        <v>170</v>
      </c>
      <c r="P135" s="6">
        <v>175</v>
      </c>
    </row>
    <row r="136" spans="1:16" x14ac:dyDescent="0.25">
      <c r="A136" s="6">
        <v>753</v>
      </c>
      <c r="B136" s="9">
        <v>40577</v>
      </c>
      <c r="C136" s="6">
        <v>1</v>
      </c>
      <c r="D136" s="6">
        <v>0</v>
      </c>
      <c r="E136" s="6">
        <v>2</v>
      </c>
      <c r="F136" s="6">
        <v>18</v>
      </c>
      <c r="G136" s="6" t="b">
        <v>0</v>
      </c>
      <c r="H136" s="6">
        <v>4</v>
      </c>
      <c r="I136" s="6">
        <v>1</v>
      </c>
      <c r="J136" s="6">
        <v>0.2</v>
      </c>
      <c r="K136" s="6">
        <v>0.21210000000000001</v>
      </c>
      <c r="L136" s="6">
        <v>0.4</v>
      </c>
      <c r="M136" s="6">
        <v>0.16420000000000001</v>
      </c>
      <c r="N136" s="6">
        <v>2</v>
      </c>
      <c r="O136" s="6">
        <v>145</v>
      </c>
      <c r="P136" s="6">
        <v>147</v>
      </c>
    </row>
    <row r="137" spans="1:16" x14ac:dyDescent="0.25">
      <c r="A137" s="6">
        <v>754</v>
      </c>
      <c r="B137" s="9">
        <v>40577</v>
      </c>
      <c r="C137" s="6">
        <v>1</v>
      </c>
      <c r="D137" s="6">
        <v>0</v>
      </c>
      <c r="E137" s="6">
        <v>2</v>
      </c>
      <c r="F137" s="6">
        <v>19</v>
      </c>
      <c r="G137" s="6" t="b">
        <v>0</v>
      </c>
      <c r="H137" s="6">
        <v>4</v>
      </c>
      <c r="I137" s="6">
        <v>1</v>
      </c>
      <c r="J137" s="6">
        <v>0.2</v>
      </c>
      <c r="K137" s="6">
        <v>0.2576</v>
      </c>
      <c r="L137" s="6">
        <v>0.4</v>
      </c>
      <c r="M137" s="6">
        <v>0</v>
      </c>
      <c r="N137" s="6">
        <v>4</v>
      </c>
      <c r="O137" s="6">
        <v>92</v>
      </c>
      <c r="P137" s="6">
        <v>96</v>
      </c>
    </row>
    <row r="138" spans="1:16" x14ac:dyDescent="0.25">
      <c r="A138" s="6">
        <v>755</v>
      </c>
      <c r="B138" s="9">
        <v>40577</v>
      </c>
      <c r="C138" s="6">
        <v>1</v>
      </c>
      <c r="D138" s="6">
        <v>0</v>
      </c>
      <c r="E138" s="6">
        <v>2</v>
      </c>
      <c r="F138" s="6">
        <v>20</v>
      </c>
      <c r="G138" s="6" t="b">
        <v>0</v>
      </c>
      <c r="H138" s="6">
        <v>4</v>
      </c>
      <c r="I138" s="6">
        <v>1</v>
      </c>
      <c r="J138" s="6">
        <v>0.2</v>
      </c>
      <c r="K138" s="6">
        <v>0.2273</v>
      </c>
      <c r="L138" s="6">
        <v>0.47</v>
      </c>
      <c r="M138" s="6">
        <v>8.9599999999999999E-2</v>
      </c>
      <c r="N138" s="6">
        <v>1</v>
      </c>
      <c r="O138" s="6">
        <v>108</v>
      </c>
      <c r="P138" s="6">
        <v>109</v>
      </c>
    </row>
    <row r="139" spans="1:16" x14ac:dyDescent="0.25">
      <c r="A139" s="6">
        <v>756</v>
      </c>
      <c r="B139" s="9">
        <v>40577</v>
      </c>
      <c r="C139" s="6">
        <v>1</v>
      </c>
      <c r="D139" s="6">
        <v>0</v>
      </c>
      <c r="E139" s="6">
        <v>2</v>
      </c>
      <c r="F139" s="6">
        <v>21</v>
      </c>
      <c r="G139" s="6" t="b">
        <v>0</v>
      </c>
      <c r="H139" s="6">
        <v>4</v>
      </c>
      <c r="I139" s="6">
        <v>1</v>
      </c>
      <c r="J139" s="6">
        <v>0.18</v>
      </c>
      <c r="K139" s="6">
        <v>0.21210000000000001</v>
      </c>
      <c r="L139" s="6">
        <v>0.55000000000000004</v>
      </c>
      <c r="M139" s="6">
        <v>0.1045</v>
      </c>
      <c r="N139" s="6">
        <v>1</v>
      </c>
      <c r="O139" s="6">
        <v>53</v>
      </c>
      <c r="P139" s="6">
        <v>54</v>
      </c>
    </row>
    <row r="140" spans="1:16" x14ac:dyDescent="0.25">
      <c r="A140" s="6">
        <v>757</v>
      </c>
      <c r="B140" s="9">
        <v>40577</v>
      </c>
      <c r="C140" s="6">
        <v>1</v>
      </c>
      <c r="D140" s="6">
        <v>0</v>
      </c>
      <c r="E140" s="6">
        <v>2</v>
      </c>
      <c r="F140" s="6">
        <v>22</v>
      </c>
      <c r="G140" s="6" t="b">
        <v>0</v>
      </c>
      <c r="H140" s="6">
        <v>4</v>
      </c>
      <c r="I140" s="6">
        <v>1</v>
      </c>
      <c r="J140" s="6">
        <v>0.18</v>
      </c>
      <c r="K140" s="6">
        <v>0.21210000000000001</v>
      </c>
      <c r="L140" s="6">
        <v>0.51</v>
      </c>
      <c r="M140" s="6">
        <v>8.9599999999999999E-2</v>
      </c>
      <c r="N140" s="6">
        <v>2</v>
      </c>
      <c r="O140" s="6">
        <v>39</v>
      </c>
      <c r="P140" s="6">
        <v>41</v>
      </c>
    </row>
    <row r="141" spans="1:16" x14ac:dyDescent="0.25">
      <c r="A141" s="6">
        <v>758</v>
      </c>
      <c r="B141" s="9">
        <v>40577</v>
      </c>
      <c r="C141" s="6">
        <v>1</v>
      </c>
      <c r="D141" s="6">
        <v>0</v>
      </c>
      <c r="E141" s="6">
        <v>2</v>
      </c>
      <c r="F141" s="6">
        <v>23</v>
      </c>
      <c r="G141" s="6" t="b">
        <v>0</v>
      </c>
      <c r="H141" s="6">
        <v>4</v>
      </c>
      <c r="I141" s="6">
        <v>1</v>
      </c>
      <c r="J141" s="6">
        <v>0.2</v>
      </c>
      <c r="K141" s="6">
        <v>0.2273</v>
      </c>
      <c r="L141" s="6">
        <v>0.47</v>
      </c>
      <c r="M141" s="6">
        <v>0.1045</v>
      </c>
      <c r="N141" s="6">
        <v>4</v>
      </c>
      <c r="O141" s="6">
        <v>34</v>
      </c>
      <c r="P141" s="6">
        <v>38</v>
      </c>
    </row>
    <row r="142" spans="1:16" x14ac:dyDescent="0.25">
      <c r="A142" s="6">
        <v>759</v>
      </c>
      <c r="B142" s="9">
        <v>40578</v>
      </c>
      <c r="C142" s="6">
        <v>1</v>
      </c>
      <c r="D142" s="6">
        <v>0</v>
      </c>
      <c r="E142" s="6">
        <v>2</v>
      </c>
      <c r="F142" s="6">
        <v>0</v>
      </c>
      <c r="G142" s="6" t="b">
        <v>0</v>
      </c>
      <c r="H142" s="6">
        <v>5</v>
      </c>
      <c r="I142" s="6">
        <v>2</v>
      </c>
      <c r="J142" s="6">
        <v>0.2</v>
      </c>
      <c r="K142" s="6">
        <v>0.2576</v>
      </c>
      <c r="L142" s="6">
        <v>0.44</v>
      </c>
      <c r="M142" s="6">
        <v>0</v>
      </c>
      <c r="N142" s="6">
        <v>3</v>
      </c>
      <c r="O142" s="6">
        <v>10</v>
      </c>
      <c r="P142" s="6">
        <v>13</v>
      </c>
    </row>
    <row r="143" spans="1:16" x14ac:dyDescent="0.25">
      <c r="A143" s="6">
        <v>760</v>
      </c>
      <c r="B143" s="9">
        <v>40578</v>
      </c>
      <c r="C143" s="6">
        <v>1</v>
      </c>
      <c r="D143" s="6">
        <v>0</v>
      </c>
      <c r="E143" s="6">
        <v>2</v>
      </c>
      <c r="F143" s="6">
        <v>1</v>
      </c>
      <c r="G143" s="6" t="b">
        <v>0</v>
      </c>
      <c r="H143" s="6">
        <v>5</v>
      </c>
      <c r="I143" s="6">
        <v>2</v>
      </c>
      <c r="J143" s="6">
        <v>0.16</v>
      </c>
      <c r="K143" s="6">
        <v>0.2273</v>
      </c>
      <c r="L143" s="6">
        <v>0.59</v>
      </c>
      <c r="M143" s="6">
        <v>0</v>
      </c>
      <c r="N143" s="6">
        <v>0</v>
      </c>
      <c r="O143" s="6">
        <v>7</v>
      </c>
      <c r="P143" s="6">
        <v>7</v>
      </c>
    </row>
    <row r="144" spans="1:16" x14ac:dyDescent="0.25">
      <c r="A144" s="6">
        <v>761</v>
      </c>
      <c r="B144" s="9">
        <v>40578</v>
      </c>
      <c r="C144" s="6">
        <v>1</v>
      </c>
      <c r="D144" s="6">
        <v>0</v>
      </c>
      <c r="E144" s="6">
        <v>2</v>
      </c>
      <c r="F144" s="6">
        <v>2</v>
      </c>
      <c r="G144" s="6" t="b">
        <v>0</v>
      </c>
      <c r="H144" s="6">
        <v>5</v>
      </c>
      <c r="I144" s="6">
        <v>2</v>
      </c>
      <c r="J144" s="6">
        <v>0.14000000000000001</v>
      </c>
      <c r="K144" s="6">
        <v>0.16669999999999999</v>
      </c>
      <c r="L144" s="6">
        <v>0.63</v>
      </c>
      <c r="M144" s="6">
        <v>0.1045</v>
      </c>
      <c r="N144" s="6">
        <v>0</v>
      </c>
      <c r="O144" s="6">
        <v>1</v>
      </c>
      <c r="P144" s="6">
        <v>1</v>
      </c>
    </row>
    <row r="145" spans="1:16" x14ac:dyDescent="0.25">
      <c r="A145" s="6">
        <v>762</v>
      </c>
      <c r="B145" s="9">
        <v>40578</v>
      </c>
      <c r="C145" s="6">
        <v>1</v>
      </c>
      <c r="D145" s="6">
        <v>0</v>
      </c>
      <c r="E145" s="6">
        <v>2</v>
      </c>
      <c r="F145" s="6">
        <v>3</v>
      </c>
      <c r="G145" s="6" t="b">
        <v>0</v>
      </c>
      <c r="H145" s="6">
        <v>5</v>
      </c>
      <c r="I145" s="6">
        <v>2</v>
      </c>
      <c r="J145" s="6">
        <v>0.14000000000000001</v>
      </c>
      <c r="K145" s="6">
        <v>0.16669999999999999</v>
      </c>
      <c r="L145" s="6">
        <v>0.63</v>
      </c>
      <c r="M145" s="6">
        <v>0.1045</v>
      </c>
      <c r="N145" s="6">
        <v>0</v>
      </c>
      <c r="O145" s="6">
        <v>1</v>
      </c>
      <c r="P145" s="6">
        <v>1</v>
      </c>
    </row>
    <row r="146" spans="1:16" x14ac:dyDescent="0.25">
      <c r="A146" s="6">
        <v>763</v>
      </c>
      <c r="B146" s="9">
        <v>40578</v>
      </c>
      <c r="C146" s="6">
        <v>1</v>
      </c>
      <c r="D146" s="6">
        <v>0</v>
      </c>
      <c r="E146" s="6">
        <v>2</v>
      </c>
      <c r="F146" s="6">
        <v>5</v>
      </c>
      <c r="G146" s="6" t="b">
        <v>0</v>
      </c>
      <c r="H146" s="6">
        <v>5</v>
      </c>
      <c r="I146" s="6">
        <v>2</v>
      </c>
      <c r="J146" s="6">
        <v>0.14000000000000001</v>
      </c>
      <c r="K146" s="6">
        <v>0.1515</v>
      </c>
      <c r="L146" s="6">
        <v>0.63</v>
      </c>
      <c r="M146" s="6">
        <v>0.1343</v>
      </c>
      <c r="N146" s="6">
        <v>0</v>
      </c>
      <c r="O146" s="6">
        <v>7</v>
      </c>
      <c r="P146" s="6">
        <v>7</v>
      </c>
    </row>
    <row r="147" spans="1:16" x14ac:dyDescent="0.25">
      <c r="A147" s="6">
        <v>764</v>
      </c>
      <c r="B147" s="9">
        <v>40578</v>
      </c>
      <c r="C147" s="6">
        <v>1</v>
      </c>
      <c r="D147" s="6">
        <v>0</v>
      </c>
      <c r="E147" s="6">
        <v>2</v>
      </c>
      <c r="F147" s="6">
        <v>6</v>
      </c>
      <c r="G147" s="6" t="b">
        <v>0</v>
      </c>
      <c r="H147" s="6">
        <v>5</v>
      </c>
      <c r="I147" s="6">
        <v>2</v>
      </c>
      <c r="J147" s="6">
        <v>0.16</v>
      </c>
      <c r="K147" s="6">
        <v>0.2273</v>
      </c>
      <c r="L147" s="6">
        <v>0.55000000000000004</v>
      </c>
      <c r="M147" s="6">
        <v>0</v>
      </c>
      <c r="N147" s="6">
        <v>2</v>
      </c>
      <c r="O147" s="6">
        <v>26</v>
      </c>
      <c r="P147" s="6">
        <v>28</v>
      </c>
    </row>
    <row r="148" spans="1:16" x14ac:dyDescent="0.25">
      <c r="A148" s="6">
        <v>765</v>
      </c>
      <c r="B148" s="9">
        <v>40578</v>
      </c>
      <c r="C148" s="6">
        <v>1</v>
      </c>
      <c r="D148" s="6">
        <v>0</v>
      </c>
      <c r="E148" s="6">
        <v>2</v>
      </c>
      <c r="F148" s="6">
        <v>7</v>
      </c>
      <c r="G148" s="6" t="b">
        <v>0</v>
      </c>
      <c r="H148" s="6">
        <v>5</v>
      </c>
      <c r="I148" s="6">
        <v>1</v>
      </c>
      <c r="J148" s="6">
        <v>0.14000000000000001</v>
      </c>
      <c r="K148" s="6">
        <v>0.21210000000000001</v>
      </c>
      <c r="L148" s="6">
        <v>0.59</v>
      </c>
      <c r="M148" s="6">
        <v>0</v>
      </c>
      <c r="N148" s="6">
        <v>0</v>
      </c>
      <c r="O148" s="6">
        <v>87</v>
      </c>
      <c r="P148" s="6">
        <v>87</v>
      </c>
    </row>
    <row r="149" spans="1:16" x14ac:dyDescent="0.25">
      <c r="A149" s="6">
        <v>766</v>
      </c>
      <c r="B149" s="9">
        <v>40578</v>
      </c>
      <c r="C149" s="6">
        <v>1</v>
      </c>
      <c r="D149" s="6">
        <v>0</v>
      </c>
      <c r="E149" s="6">
        <v>2</v>
      </c>
      <c r="F149" s="6">
        <v>8</v>
      </c>
      <c r="G149" s="6" t="b">
        <v>0</v>
      </c>
      <c r="H149" s="6">
        <v>5</v>
      </c>
      <c r="I149" s="6">
        <v>1</v>
      </c>
      <c r="J149" s="6">
        <v>0.14000000000000001</v>
      </c>
      <c r="K149" s="6">
        <v>0.1515</v>
      </c>
      <c r="L149" s="6">
        <v>0.74</v>
      </c>
      <c r="M149" s="6">
        <v>0.1343</v>
      </c>
      <c r="N149" s="6">
        <v>3</v>
      </c>
      <c r="O149" s="6">
        <v>217</v>
      </c>
      <c r="P149" s="6">
        <v>220</v>
      </c>
    </row>
    <row r="150" spans="1:16" x14ac:dyDescent="0.25">
      <c r="A150" s="6">
        <v>767</v>
      </c>
      <c r="B150" s="9">
        <v>40578</v>
      </c>
      <c r="C150" s="6">
        <v>1</v>
      </c>
      <c r="D150" s="6">
        <v>0</v>
      </c>
      <c r="E150" s="6">
        <v>2</v>
      </c>
      <c r="F150" s="6">
        <v>9</v>
      </c>
      <c r="G150" s="6" t="b">
        <v>0</v>
      </c>
      <c r="H150" s="6">
        <v>5</v>
      </c>
      <c r="I150" s="6">
        <v>2</v>
      </c>
      <c r="J150" s="6">
        <v>0.16</v>
      </c>
      <c r="K150" s="6">
        <v>0.18179999999999999</v>
      </c>
      <c r="L150" s="6">
        <v>0.8</v>
      </c>
      <c r="M150" s="6">
        <v>0.1343</v>
      </c>
      <c r="N150" s="6">
        <v>3</v>
      </c>
      <c r="O150" s="6">
        <v>124</v>
      </c>
      <c r="P150" s="6">
        <v>127</v>
      </c>
    </row>
    <row r="151" spans="1:16" x14ac:dyDescent="0.25">
      <c r="A151" s="6">
        <v>768</v>
      </c>
      <c r="B151" s="9">
        <v>40578</v>
      </c>
      <c r="C151" s="6">
        <v>1</v>
      </c>
      <c r="D151" s="6">
        <v>0</v>
      </c>
      <c r="E151" s="6">
        <v>2</v>
      </c>
      <c r="F151" s="6">
        <v>10</v>
      </c>
      <c r="G151" s="6" t="b">
        <v>0</v>
      </c>
      <c r="H151" s="6">
        <v>5</v>
      </c>
      <c r="I151" s="6">
        <v>2</v>
      </c>
      <c r="J151" s="6">
        <v>0.2</v>
      </c>
      <c r="K151" s="6">
        <v>0.21210000000000001</v>
      </c>
      <c r="L151" s="6">
        <v>0.51</v>
      </c>
      <c r="M151" s="6">
        <v>0.1343</v>
      </c>
      <c r="N151" s="6">
        <v>5</v>
      </c>
      <c r="O151" s="6">
        <v>46</v>
      </c>
      <c r="P151" s="6">
        <v>51</v>
      </c>
    </row>
    <row r="152" spans="1:16" x14ac:dyDescent="0.25">
      <c r="A152" s="6">
        <v>769</v>
      </c>
      <c r="B152" s="9">
        <v>40578</v>
      </c>
      <c r="C152" s="6">
        <v>1</v>
      </c>
      <c r="D152" s="6">
        <v>0</v>
      </c>
      <c r="E152" s="6">
        <v>2</v>
      </c>
      <c r="F152" s="6">
        <v>11</v>
      </c>
      <c r="G152" s="6" t="b">
        <v>0</v>
      </c>
      <c r="H152" s="6">
        <v>5</v>
      </c>
      <c r="I152" s="6">
        <v>1</v>
      </c>
      <c r="J152" s="6">
        <v>0.22</v>
      </c>
      <c r="K152" s="6">
        <v>0.2273</v>
      </c>
      <c r="L152" s="6">
        <v>0.51</v>
      </c>
      <c r="M152" s="6">
        <v>0.16420000000000001</v>
      </c>
      <c r="N152" s="6">
        <v>3</v>
      </c>
      <c r="O152" s="6">
        <v>61</v>
      </c>
      <c r="P152" s="6">
        <v>64</v>
      </c>
    </row>
    <row r="153" spans="1:16" x14ac:dyDescent="0.25">
      <c r="A153" s="6">
        <v>770</v>
      </c>
      <c r="B153" s="9">
        <v>40578</v>
      </c>
      <c r="C153" s="6">
        <v>1</v>
      </c>
      <c r="D153" s="6">
        <v>0</v>
      </c>
      <c r="E153" s="6">
        <v>2</v>
      </c>
      <c r="F153" s="6">
        <v>12</v>
      </c>
      <c r="G153" s="6" t="b">
        <v>0</v>
      </c>
      <c r="H153" s="6">
        <v>5</v>
      </c>
      <c r="I153" s="6">
        <v>2</v>
      </c>
      <c r="J153" s="6">
        <v>0.24</v>
      </c>
      <c r="K153" s="6">
        <v>0.2424</v>
      </c>
      <c r="L153" s="6">
        <v>0.48</v>
      </c>
      <c r="M153" s="6">
        <v>0.16420000000000001</v>
      </c>
      <c r="N153" s="6">
        <v>8</v>
      </c>
      <c r="O153" s="6">
        <v>78</v>
      </c>
      <c r="P153" s="6">
        <v>86</v>
      </c>
    </row>
    <row r="154" spans="1:16" x14ac:dyDescent="0.25">
      <c r="A154" s="6">
        <v>771</v>
      </c>
      <c r="B154" s="9">
        <v>40578</v>
      </c>
      <c r="C154" s="6">
        <v>1</v>
      </c>
      <c r="D154" s="6">
        <v>0</v>
      </c>
      <c r="E154" s="6">
        <v>2</v>
      </c>
      <c r="F154" s="6">
        <v>13</v>
      </c>
      <c r="G154" s="6" t="b">
        <v>0</v>
      </c>
      <c r="H154" s="6">
        <v>5</v>
      </c>
      <c r="I154" s="6">
        <v>2</v>
      </c>
      <c r="J154" s="6">
        <v>0.26</v>
      </c>
      <c r="K154" s="6">
        <v>0.2576</v>
      </c>
      <c r="L154" s="6">
        <v>0.5</v>
      </c>
      <c r="M154" s="6">
        <v>0.22389999999999999</v>
      </c>
      <c r="N154" s="6">
        <v>9</v>
      </c>
      <c r="O154" s="6">
        <v>73</v>
      </c>
      <c r="P154" s="6">
        <v>82</v>
      </c>
    </row>
    <row r="155" spans="1:16" x14ac:dyDescent="0.25">
      <c r="A155" s="6">
        <v>772</v>
      </c>
      <c r="B155" s="9">
        <v>40578</v>
      </c>
      <c r="C155" s="6">
        <v>1</v>
      </c>
      <c r="D155" s="6">
        <v>0</v>
      </c>
      <c r="E155" s="6">
        <v>2</v>
      </c>
      <c r="F155" s="6">
        <v>14</v>
      </c>
      <c r="G155" s="6" t="b">
        <v>0</v>
      </c>
      <c r="H155" s="6">
        <v>5</v>
      </c>
      <c r="I155" s="6">
        <v>2</v>
      </c>
      <c r="J155" s="6">
        <v>0.28000000000000003</v>
      </c>
      <c r="K155" s="6">
        <v>0.2727</v>
      </c>
      <c r="L155" s="6">
        <v>0.45</v>
      </c>
      <c r="M155" s="6">
        <v>0.16420000000000001</v>
      </c>
      <c r="N155" s="6">
        <v>15</v>
      </c>
      <c r="O155" s="6">
        <v>76</v>
      </c>
      <c r="P155" s="6">
        <v>91</v>
      </c>
    </row>
    <row r="156" spans="1:16" x14ac:dyDescent="0.25">
      <c r="A156" s="6">
        <v>773</v>
      </c>
      <c r="B156" s="9">
        <v>40578</v>
      </c>
      <c r="C156" s="6">
        <v>1</v>
      </c>
      <c r="D156" s="6">
        <v>0</v>
      </c>
      <c r="E156" s="6">
        <v>2</v>
      </c>
      <c r="F156" s="6">
        <v>15</v>
      </c>
      <c r="G156" s="6" t="b">
        <v>0</v>
      </c>
      <c r="H156" s="6">
        <v>5</v>
      </c>
      <c r="I156" s="6">
        <v>2</v>
      </c>
      <c r="J156" s="6">
        <v>0.28000000000000003</v>
      </c>
      <c r="K156" s="6">
        <v>0.2727</v>
      </c>
      <c r="L156" s="6">
        <v>0.48</v>
      </c>
      <c r="M156" s="6">
        <v>0.25369999999999998</v>
      </c>
      <c r="N156" s="6">
        <v>9</v>
      </c>
      <c r="O156" s="6">
        <v>81</v>
      </c>
      <c r="P156" s="6">
        <v>90</v>
      </c>
    </row>
    <row r="157" spans="1:16" x14ac:dyDescent="0.25">
      <c r="A157" s="6">
        <v>774</v>
      </c>
      <c r="B157" s="9">
        <v>40578</v>
      </c>
      <c r="C157" s="6">
        <v>1</v>
      </c>
      <c r="D157" s="6">
        <v>0</v>
      </c>
      <c r="E157" s="6">
        <v>2</v>
      </c>
      <c r="F157" s="6">
        <v>16</v>
      </c>
      <c r="G157" s="6" t="b">
        <v>0</v>
      </c>
      <c r="H157" s="6">
        <v>5</v>
      </c>
      <c r="I157" s="6">
        <v>2</v>
      </c>
      <c r="J157" s="6">
        <v>0.3</v>
      </c>
      <c r="K157" s="6">
        <v>0.28789999999999999</v>
      </c>
      <c r="L157" s="6">
        <v>0.42</v>
      </c>
      <c r="M157" s="6">
        <v>0.22389999999999999</v>
      </c>
      <c r="N157" s="6">
        <v>8</v>
      </c>
      <c r="O157" s="6">
        <v>91</v>
      </c>
      <c r="P157" s="6">
        <v>99</v>
      </c>
    </row>
    <row r="158" spans="1:16" x14ac:dyDescent="0.25">
      <c r="A158" s="6">
        <v>775</v>
      </c>
      <c r="B158" s="9">
        <v>40578</v>
      </c>
      <c r="C158" s="6">
        <v>1</v>
      </c>
      <c r="D158" s="6">
        <v>0</v>
      </c>
      <c r="E158" s="6">
        <v>2</v>
      </c>
      <c r="F158" s="6">
        <v>17</v>
      </c>
      <c r="G158" s="6" t="b">
        <v>0</v>
      </c>
      <c r="H158" s="6">
        <v>5</v>
      </c>
      <c r="I158" s="6">
        <v>2</v>
      </c>
      <c r="J158" s="6">
        <v>0.26</v>
      </c>
      <c r="K158" s="6">
        <v>0.2727</v>
      </c>
      <c r="L158" s="6">
        <v>0.56000000000000005</v>
      </c>
      <c r="M158" s="6">
        <v>0.1343</v>
      </c>
      <c r="N158" s="6">
        <v>10</v>
      </c>
      <c r="O158" s="6">
        <v>195</v>
      </c>
      <c r="P158" s="6">
        <v>205</v>
      </c>
    </row>
    <row r="159" spans="1:16" x14ac:dyDescent="0.25">
      <c r="A159" s="6">
        <v>776</v>
      </c>
      <c r="B159" s="9">
        <v>40578</v>
      </c>
      <c r="C159" s="6">
        <v>1</v>
      </c>
      <c r="D159" s="6">
        <v>0</v>
      </c>
      <c r="E159" s="6">
        <v>2</v>
      </c>
      <c r="F159" s="6">
        <v>18</v>
      </c>
      <c r="G159" s="6" t="b">
        <v>0</v>
      </c>
      <c r="H159" s="6">
        <v>5</v>
      </c>
      <c r="I159" s="6">
        <v>2</v>
      </c>
      <c r="J159" s="6">
        <v>0.24</v>
      </c>
      <c r="K159" s="6">
        <v>0.2576</v>
      </c>
      <c r="L159" s="6">
        <v>0.6</v>
      </c>
      <c r="M159" s="6">
        <v>0.1045</v>
      </c>
      <c r="N159" s="6">
        <v>3</v>
      </c>
      <c r="O159" s="6">
        <v>152</v>
      </c>
      <c r="P159" s="6">
        <v>155</v>
      </c>
    </row>
    <row r="160" spans="1:16" x14ac:dyDescent="0.25">
      <c r="A160" s="6">
        <v>777</v>
      </c>
      <c r="B160" s="9">
        <v>40578</v>
      </c>
      <c r="C160" s="6">
        <v>1</v>
      </c>
      <c r="D160" s="6">
        <v>0</v>
      </c>
      <c r="E160" s="6">
        <v>2</v>
      </c>
      <c r="F160" s="6">
        <v>19</v>
      </c>
      <c r="G160" s="6" t="b">
        <v>0</v>
      </c>
      <c r="H160" s="6">
        <v>5</v>
      </c>
      <c r="I160" s="6">
        <v>2</v>
      </c>
      <c r="J160" s="6">
        <v>0.24</v>
      </c>
      <c r="K160" s="6">
        <v>0.2424</v>
      </c>
      <c r="L160" s="6">
        <v>0.65</v>
      </c>
      <c r="M160" s="6">
        <v>0.1343</v>
      </c>
      <c r="N160" s="6">
        <v>1</v>
      </c>
      <c r="O160" s="6">
        <v>102</v>
      </c>
      <c r="P160" s="6">
        <v>103</v>
      </c>
    </row>
    <row r="161" spans="1:16" x14ac:dyDescent="0.25">
      <c r="A161" s="6">
        <v>778</v>
      </c>
      <c r="B161" s="9">
        <v>40578</v>
      </c>
      <c r="C161" s="6">
        <v>1</v>
      </c>
      <c r="D161" s="6">
        <v>0</v>
      </c>
      <c r="E161" s="6">
        <v>2</v>
      </c>
      <c r="F161" s="6">
        <v>20</v>
      </c>
      <c r="G161" s="6" t="b">
        <v>0</v>
      </c>
      <c r="H161" s="6">
        <v>5</v>
      </c>
      <c r="I161" s="6">
        <v>2</v>
      </c>
      <c r="J161" s="6">
        <v>0.24</v>
      </c>
      <c r="K161" s="6">
        <v>0.2424</v>
      </c>
      <c r="L161" s="6">
        <v>0.65</v>
      </c>
      <c r="M161" s="6">
        <v>0.16420000000000001</v>
      </c>
      <c r="N161" s="6">
        <v>2</v>
      </c>
      <c r="O161" s="6">
        <v>69</v>
      </c>
      <c r="P161" s="6">
        <v>71</v>
      </c>
    </row>
    <row r="162" spans="1:16" x14ac:dyDescent="0.25">
      <c r="A162" s="6">
        <v>779</v>
      </c>
      <c r="B162" s="9">
        <v>40578</v>
      </c>
      <c r="C162" s="6">
        <v>1</v>
      </c>
      <c r="D162" s="6">
        <v>0</v>
      </c>
      <c r="E162" s="6">
        <v>2</v>
      </c>
      <c r="F162" s="6">
        <v>21</v>
      </c>
      <c r="G162" s="6" t="b">
        <v>0</v>
      </c>
      <c r="H162" s="6">
        <v>5</v>
      </c>
      <c r="I162" s="6">
        <v>2</v>
      </c>
      <c r="J162" s="6">
        <v>0.24</v>
      </c>
      <c r="K162" s="6">
        <v>0.2424</v>
      </c>
      <c r="L162" s="6">
        <v>0.7</v>
      </c>
      <c r="M162" s="6">
        <v>0.16420000000000001</v>
      </c>
      <c r="N162" s="6">
        <v>2</v>
      </c>
      <c r="O162" s="6">
        <v>41</v>
      </c>
      <c r="P162" s="6">
        <v>43</v>
      </c>
    </row>
    <row r="163" spans="1:16" x14ac:dyDescent="0.25">
      <c r="A163" s="6">
        <v>780</v>
      </c>
      <c r="B163" s="9">
        <v>40578</v>
      </c>
      <c r="C163" s="6">
        <v>1</v>
      </c>
      <c r="D163" s="6">
        <v>0</v>
      </c>
      <c r="E163" s="6">
        <v>2</v>
      </c>
      <c r="F163" s="6">
        <v>22</v>
      </c>
      <c r="G163" s="6" t="b">
        <v>0</v>
      </c>
      <c r="H163" s="6">
        <v>5</v>
      </c>
      <c r="I163" s="6">
        <v>2</v>
      </c>
      <c r="J163" s="6">
        <v>0.24</v>
      </c>
      <c r="K163" s="6">
        <v>0.2424</v>
      </c>
      <c r="L163" s="6">
        <v>0.65</v>
      </c>
      <c r="M163" s="6">
        <v>0.16420000000000001</v>
      </c>
      <c r="N163" s="6">
        <v>1</v>
      </c>
      <c r="O163" s="6">
        <v>45</v>
      </c>
      <c r="P163" s="6">
        <v>46</v>
      </c>
    </row>
    <row r="164" spans="1:16" x14ac:dyDescent="0.25">
      <c r="A164" s="6">
        <v>781</v>
      </c>
      <c r="B164" s="9">
        <v>40578</v>
      </c>
      <c r="C164" s="6">
        <v>1</v>
      </c>
      <c r="D164" s="6">
        <v>0</v>
      </c>
      <c r="E164" s="6">
        <v>2</v>
      </c>
      <c r="F164" s="6">
        <v>23</v>
      </c>
      <c r="G164" s="6" t="b">
        <v>0</v>
      </c>
      <c r="H164" s="6">
        <v>5</v>
      </c>
      <c r="I164" s="6">
        <v>2</v>
      </c>
      <c r="J164" s="6">
        <v>0.24</v>
      </c>
      <c r="K164" s="6">
        <v>0.2424</v>
      </c>
      <c r="L164" s="6">
        <v>0.7</v>
      </c>
      <c r="M164" s="6">
        <v>0.1343</v>
      </c>
      <c r="N164" s="6">
        <v>1</v>
      </c>
      <c r="O164" s="6">
        <v>30</v>
      </c>
      <c r="P164" s="6">
        <v>31</v>
      </c>
    </row>
    <row r="165" spans="1:16" x14ac:dyDescent="0.25">
      <c r="A165" s="6">
        <v>782</v>
      </c>
      <c r="B165" s="9">
        <v>40579</v>
      </c>
      <c r="C165" s="6">
        <v>1</v>
      </c>
      <c r="D165" s="6">
        <v>0</v>
      </c>
      <c r="E165" s="6">
        <v>2</v>
      </c>
      <c r="F165" s="6">
        <v>0</v>
      </c>
      <c r="G165" s="6" t="b">
        <v>0</v>
      </c>
      <c r="H165" s="6">
        <v>6</v>
      </c>
      <c r="I165" s="6">
        <v>2</v>
      </c>
      <c r="J165" s="6">
        <v>0.24</v>
      </c>
      <c r="K165" s="6">
        <v>0.2424</v>
      </c>
      <c r="L165" s="6">
        <v>0.7</v>
      </c>
      <c r="M165" s="6">
        <v>0.16420000000000001</v>
      </c>
      <c r="N165" s="6">
        <v>3</v>
      </c>
      <c r="O165" s="6">
        <v>36</v>
      </c>
      <c r="P165" s="6">
        <v>39</v>
      </c>
    </row>
    <row r="166" spans="1:16" x14ac:dyDescent="0.25">
      <c r="A166" s="6">
        <v>783</v>
      </c>
      <c r="B166" s="9">
        <v>40579</v>
      </c>
      <c r="C166" s="6">
        <v>1</v>
      </c>
      <c r="D166" s="6">
        <v>0</v>
      </c>
      <c r="E166" s="6">
        <v>2</v>
      </c>
      <c r="F166" s="6">
        <v>1</v>
      </c>
      <c r="G166" s="6" t="b">
        <v>0</v>
      </c>
      <c r="H166" s="6">
        <v>6</v>
      </c>
      <c r="I166" s="6">
        <v>2</v>
      </c>
      <c r="J166" s="6">
        <v>0.24</v>
      </c>
      <c r="K166" s="6">
        <v>0.2424</v>
      </c>
      <c r="L166" s="6">
        <v>0.65</v>
      </c>
      <c r="M166" s="6">
        <v>0.16420000000000001</v>
      </c>
      <c r="N166" s="6">
        <v>1</v>
      </c>
      <c r="O166" s="6">
        <v>17</v>
      </c>
      <c r="P166" s="6">
        <v>18</v>
      </c>
    </row>
    <row r="167" spans="1:16" x14ac:dyDescent="0.25">
      <c r="A167" s="6">
        <v>784</v>
      </c>
      <c r="B167" s="9">
        <v>40579</v>
      </c>
      <c r="C167" s="6">
        <v>1</v>
      </c>
      <c r="D167" s="6">
        <v>0</v>
      </c>
      <c r="E167" s="6">
        <v>2</v>
      </c>
      <c r="F167" s="6">
        <v>2</v>
      </c>
      <c r="G167" s="6" t="b">
        <v>0</v>
      </c>
      <c r="H167" s="6">
        <v>6</v>
      </c>
      <c r="I167" s="6">
        <v>2</v>
      </c>
      <c r="J167" s="6">
        <v>0.24</v>
      </c>
      <c r="K167" s="6">
        <v>0.2424</v>
      </c>
      <c r="L167" s="6">
        <v>0.75</v>
      </c>
      <c r="M167" s="6">
        <v>0.16420000000000001</v>
      </c>
      <c r="N167" s="6">
        <v>5</v>
      </c>
      <c r="O167" s="6">
        <v>12</v>
      </c>
      <c r="P167" s="6">
        <v>17</v>
      </c>
    </row>
    <row r="168" spans="1:16" x14ac:dyDescent="0.25">
      <c r="A168" s="6">
        <v>785</v>
      </c>
      <c r="B168" s="9">
        <v>40579</v>
      </c>
      <c r="C168" s="6">
        <v>1</v>
      </c>
      <c r="D168" s="6">
        <v>0</v>
      </c>
      <c r="E168" s="6">
        <v>2</v>
      </c>
      <c r="F168" s="6">
        <v>3</v>
      </c>
      <c r="G168" s="6" t="b">
        <v>0</v>
      </c>
      <c r="H168" s="6">
        <v>6</v>
      </c>
      <c r="I168" s="6">
        <v>2</v>
      </c>
      <c r="J168" s="6">
        <v>0.24</v>
      </c>
      <c r="K168" s="6">
        <v>0.2424</v>
      </c>
      <c r="L168" s="6">
        <v>0.75</v>
      </c>
      <c r="M168" s="6">
        <v>0.16420000000000001</v>
      </c>
      <c r="N168" s="6">
        <v>1</v>
      </c>
      <c r="O168" s="6">
        <v>10</v>
      </c>
      <c r="P168" s="6">
        <v>11</v>
      </c>
    </row>
    <row r="169" spans="1:16" x14ac:dyDescent="0.25">
      <c r="A169" s="6">
        <v>786</v>
      </c>
      <c r="B169" s="9">
        <v>40579</v>
      </c>
      <c r="C169" s="6">
        <v>1</v>
      </c>
      <c r="D169" s="6">
        <v>0</v>
      </c>
      <c r="E169" s="6">
        <v>2</v>
      </c>
      <c r="F169" s="6">
        <v>4</v>
      </c>
      <c r="G169" s="6" t="b">
        <v>0</v>
      </c>
      <c r="H169" s="6">
        <v>6</v>
      </c>
      <c r="I169" s="6">
        <v>3</v>
      </c>
      <c r="J169" s="6">
        <v>0.22</v>
      </c>
      <c r="K169" s="6">
        <v>0.2273</v>
      </c>
      <c r="L169" s="6">
        <v>0.93</v>
      </c>
      <c r="M169" s="6">
        <v>0.1343</v>
      </c>
      <c r="N169" s="6">
        <v>0</v>
      </c>
      <c r="O169" s="6">
        <v>8</v>
      </c>
      <c r="P169" s="6">
        <v>8</v>
      </c>
    </row>
    <row r="170" spans="1:16" x14ac:dyDescent="0.25">
      <c r="A170" s="6">
        <v>787</v>
      </c>
      <c r="B170" s="9">
        <v>40579</v>
      </c>
      <c r="C170" s="6">
        <v>1</v>
      </c>
      <c r="D170" s="6">
        <v>0</v>
      </c>
      <c r="E170" s="6">
        <v>2</v>
      </c>
      <c r="F170" s="6">
        <v>5</v>
      </c>
      <c r="G170" s="6" t="b">
        <v>0</v>
      </c>
      <c r="H170" s="6">
        <v>6</v>
      </c>
      <c r="I170" s="6">
        <v>3</v>
      </c>
      <c r="J170" s="6">
        <v>0.2</v>
      </c>
      <c r="K170" s="6">
        <v>0.2273</v>
      </c>
      <c r="L170" s="6">
        <v>1</v>
      </c>
      <c r="M170" s="6">
        <v>8.9599999999999999E-2</v>
      </c>
      <c r="N170" s="6">
        <v>0</v>
      </c>
      <c r="O170" s="6">
        <v>9</v>
      </c>
      <c r="P170" s="6">
        <v>9</v>
      </c>
    </row>
    <row r="171" spans="1:16" x14ac:dyDescent="0.25">
      <c r="A171" s="6">
        <v>788</v>
      </c>
      <c r="B171" s="9">
        <v>40579</v>
      </c>
      <c r="C171" s="6">
        <v>1</v>
      </c>
      <c r="D171" s="6">
        <v>0</v>
      </c>
      <c r="E171" s="6">
        <v>2</v>
      </c>
      <c r="F171" s="6">
        <v>6</v>
      </c>
      <c r="G171" s="6" t="b">
        <v>0</v>
      </c>
      <c r="H171" s="6">
        <v>6</v>
      </c>
      <c r="I171" s="6">
        <v>3</v>
      </c>
      <c r="J171" s="6">
        <v>0.2</v>
      </c>
      <c r="K171" s="6">
        <v>0.2576</v>
      </c>
      <c r="L171" s="6">
        <v>1</v>
      </c>
      <c r="M171" s="6">
        <v>0</v>
      </c>
      <c r="N171" s="6">
        <v>0</v>
      </c>
      <c r="O171" s="6">
        <v>4</v>
      </c>
      <c r="P171" s="6">
        <v>4</v>
      </c>
    </row>
    <row r="172" spans="1:16" x14ac:dyDescent="0.25">
      <c r="A172" s="6">
        <v>789</v>
      </c>
      <c r="B172" s="9">
        <v>40579</v>
      </c>
      <c r="C172" s="6">
        <v>1</v>
      </c>
      <c r="D172" s="6">
        <v>0</v>
      </c>
      <c r="E172" s="6">
        <v>2</v>
      </c>
      <c r="F172" s="6">
        <v>7</v>
      </c>
      <c r="G172" s="6" t="b">
        <v>0</v>
      </c>
      <c r="H172" s="6">
        <v>6</v>
      </c>
      <c r="I172" s="6">
        <v>3</v>
      </c>
      <c r="J172" s="6">
        <v>0.22</v>
      </c>
      <c r="K172" s="6">
        <v>0.2576</v>
      </c>
      <c r="L172" s="6">
        <v>0.93</v>
      </c>
      <c r="M172" s="6">
        <v>8.9599999999999999E-2</v>
      </c>
      <c r="N172" s="6">
        <v>0</v>
      </c>
      <c r="O172" s="6">
        <v>4</v>
      </c>
      <c r="P172" s="6">
        <v>4</v>
      </c>
    </row>
    <row r="173" spans="1:16" x14ac:dyDescent="0.25">
      <c r="A173" s="6">
        <v>790</v>
      </c>
      <c r="B173" s="9">
        <v>40579</v>
      </c>
      <c r="C173" s="6">
        <v>1</v>
      </c>
      <c r="D173" s="6">
        <v>0</v>
      </c>
      <c r="E173" s="6">
        <v>2</v>
      </c>
      <c r="F173" s="6">
        <v>8</v>
      </c>
      <c r="G173" s="6" t="b">
        <v>0</v>
      </c>
      <c r="H173" s="6">
        <v>6</v>
      </c>
      <c r="I173" s="6">
        <v>3</v>
      </c>
      <c r="J173" s="6">
        <v>0.2</v>
      </c>
      <c r="K173" s="6">
        <v>0.2273</v>
      </c>
      <c r="L173" s="6">
        <v>1</v>
      </c>
      <c r="M173" s="6">
        <v>8.9599999999999999E-2</v>
      </c>
      <c r="N173" s="6">
        <v>0</v>
      </c>
      <c r="O173" s="6">
        <v>10</v>
      </c>
      <c r="P173" s="6">
        <v>10</v>
      </c>
    </row>
    <row r="174" spans="1:16" x14ac:dyDescent="0.25">
      <c r="A174" s="6">
        <v>791</v>
      </c>
      <c r="B174" s="9">
        <v>40579</v>
      </c>
      <c r="C174" s="6">
        <v>1</v>
      </c>
      <c r="D174" s="6">
        <v>0</v>
      </c>
      <c r="E174" s="6">
        <v>2</v>
      </c>
      <c r="F174" s="6">
        <v>9</v>
      </c>
      <c r="G174" s="6" t="b">
        <v>0</v>
      </c>
      <c r="H174" s="6">
        <v>6</v>
      </c>
      <c r="I174" s="6">
        <v>3</v>
      </c>
      <c r="J174" s="6">
        <v>0.2</v>
      </c>
      <c r="K174" s="6">
        <v>0.2273</v>
      </c>
      <c r="L174" s="6">
        <v>1</v>
      </c>
      <c r="M174" s="6">
        <v>8.9599999999999999E-2</v>
      </c>
      <c r="N174" s="6">
        <v>3</v>
      </c>
      <c r="O174" s="6">
        <v>17</v>
      </c>
      <c r="P174" s="6">
        <v>20</v>
      </c>
    </row>
    <row r="175" spans="1:16" x14ac:dyDescent="0.25">
      <c r="A175" s="6">
        <v>792</v>
      </c>
      <c r="B175" s="9">
        <v>40579</v>
      </c>
      <c r="C175" s="6">
        <v>1</v>
      </c>
      <c r="D175" s="6">
        <v>0</v>
      </c>
      <c r="E175" s="6">
        <v>2</v>
      </c>
      <c r="F175" s="6">
        <v>10</v>
      </c>
      <c r="G175" s="6" t="b">
        <v>0</v>
      </c>
      <c r="H175" s="6">
        <v>6</v>
      </c>
      <c r="I175" s="6">
        <v>3</v>
      </c>
      <c r="J175" s="6">
        <v>0.2</v>
      </c>
      <c r="K175" s="6">
        <v>0.21210000000000001</v>
      </c>
      <c r="L175" s="6">
        <v>1</v>
      </c>
      <c r="M175" s="6">
        <v>0.1343</v>
      </c>
      <c r="N175" s="6">
        <v>3</v>
      </c>
      <c r="O175" s="6">
        <v>31</v>
      </c>
      <c r="P175" s="6">
        <v>34</v>
      </c>
    </row>
    <row r="176" spans="1:16" x14ac:dyDescent="0.25">
      <c r="A176" s="6">
        <v>793</v>
      </c>
      <c r="B176" s="9">
        <v>40579</v>
      </c>
      <c r="C176" s="6">
        <v>1</v>
      </c>
      <c r="D176" s="6">
        <v>0</v>
      </c>
      <c r="E176" s="6">
        <v>2</v>
      </c>
      <c r="F176" s="6">
        <v>11</v>
      </c>
      <c r="G176" s="6" t="b">
        <v>0</v>
      </c>
      <c r="H176" s="6">
        <v>6</v>
      </c>
      <c r="I176" s="6">
        <v>3</v>
      </c>
      <c r="J176" s="6">
        <v>0.22</v>
      </c>
      <c r="K176" s="6">
        <v>0.2273</v>
      </c>
      <c r="L176" s="6">
        <v>1</v>
      </c>
      <c r="M176" s="6">
        <v>0.1343</v>
      </c>
      <c r="N176" s="6">
        <v>1</v>
      </c>
      <c r="O176" s="6">
        <v>46</v>
      </c>
      <c r="P176" s="6">
        <v>47</v>
      </c>
    </row>
    <row r="177" spans="1:16" x14ac:dyDescent="0.25">
      <c r="A177" s="6">
        <v>794</v>
      </c>
      <c r="B177" s="9">
        <v>40579</v>
      </c>
      <c r="C177" s="6">
        <v>1</v>
      </c>
      <c r="D177" s="6">
        <v>0</v>
      </c>
      <c r="E177" s="6">
        <v>2</v>
      </c>
      <c r="F177" s="6">
        <v>12</v>
      </c>
      <c r="G177" s="6" t="b">
        <v>0</v>
      </c>
      <c r="H177" s="6">
        <v>6</v>
      </c>
      <c r="I177" s="6">
        <v>3</v>
      </c>
      <c r="J177" s="6">
        <v>0.22</v>
      </c>
      <c r="K177" s="6">
        <v>0.2273</v>
      </c>
      <c r="L177" s="6">
        <v>1</v>
      </c>
      <c r="M177" s="6">
        <v>0.16420000000000001</v>
      </c>
      <c r="N177" s="6">
        <v>10</v>
      </c>
      <c r="O177" s="6">
        <v>42</v>
      </c>
      <c r="P177" s="6">
        <v>52</v>
      </c>
    </row>
    <row r="178" spans="1:16" x14ac:dyDescent="0.25">
      <c r="A178" s="6">
        <v>795</v>
      </c>
      <c r="B178" s="9">
        <v>40579</v>
      </c>
      <c r="C178" s="6">
        <v>1</v>
      </c>
      <c r="D178" s="6">
        <v>0</v>
      </c>
      <c r="E178" s="6">
        <v>2</v>
      </c>
      <c r="F178" s="6">
        <v>13</v>
      </c>
      <c r="G178" s="6" t="b">
        <v>0</v>
      </c>
      <c r="H178" s="6">
        <v>6</v>
      </c>
      <c r="I178" s="6">
        <v>3</v>
      </c>
      <c r="J178" s="6">
        <v>0.22</v>
      </c>
      <c r="K178" s="6">
        <v>0.2273</v>
      </c>
      <c r="L178" s="6">
        <v>1</v>
      </c>
      <c r="M178" s="6">
        <v>0.16420000000000001</v>
      </c>
      <c r="N178" s="6">
        <v>10</v>
      </c>
      <c r="O178" s="6">
        <v>62</v>
      </c>
      <c r="P178" s="6">
        <v>72</v>
      </c>
    </row>
    <row r="179" spans="1:16" x14ac:dyDescent="0.25">
      <c r="A179" s="6">
        <v>796</v>
      </c>
      <c r="B179" s="9">
        <v>40579</v>
      </c>
      <c r="C179" s="6">
        <v>1</v>
      </c>
      <c r="D179" s="6">
        <v>0</v>
      </c>
      <c r="E179" s="6">
        <v>2</v>
      </c>
      <c r="F179" s="6">
        <v>14</v>
      </c>
      <c r="G179" s="6" t="b">
        <v>0</v>
      </c>
      <c r="H179" s="6">
        <v>6</v>
      </c>
      <c r="I179" s="6">
        <v>3</v>
      </c>
      <c r="J179" s="6">
        <v>0.22</v>
      </c>
      <c r="K179" s="6">
        <v>0.2727</v>
      </c>
      <c r="L179" s="6">
        <v>1</v>
      </c>
      <c r="M179" s="6">
        <v>0</v>
      </c>
      <c r="N179" s="6">
        <v>5</v>
      </c>
      <c r="O179" s="6">
        <v>50</v>
      </c>
      <c r="P179" s="6">
        <v>55</v>
      </c>
    </row>
    <row r="180" spans="1:16" x14ac:dyDescent="0.25">
      <c r="A180" s="6">
        <v>797</v>
      </c>
      <c r="B180" s="9">
        <v>40579</v>
      </c>
      <c r="C180" s="6">
        <v>1</v>
      </c>
      <c r="D180" s="6">
        <v>0</v>
      </c>
      <c r="E180" s="6">
        <v>2</v>
      </c>
      <c r="F180" s="6">
        <v>15</v>
      </c>
      <c r="G180" s="6" t="b">
        <v>0</v>
      </c>
      <c r="H180" s="6">
        <v>6</v>
      </c>
      <c r="I180" s="6">
        <v>3</v>
      </c>
      <c r="J180" s="6">
        <v>0.22</v>
      </c>
      <c r="K180" s="6">
        <v>0.2727</v>
      </c>
      <c r="L180" s="6">
        <v>1</v>
      </c>
      <c r="M180" s="6">
        <v>0</v>
      </c>
      <c r="N180" s="6">
        <v>11</v>
      </c>
      <c r="O180" s="6">
        <v>49</v>
      </c>
      <c r="P180" s="6">
        <v>60</v>
      </c>
    </row>
    <row r="181" spans="1:16" x14ac:dyDescent="0.25">
      <c r="A181" s="6">
        <v>798</v>
      </c>
      <c r="B181" s="9">
        <v>40579</v>
      </c>
      <c r="C181" s="6">
        <v>1</v>
      </c>
      <c r="D181" s="6">
        <v>0</v>
      </c>
      <c r="E181" s="6">
        <v>2</v>
      </c>
      <c r="F181" s="6">
        <v>16</v>
      </c>
      <c r="G181" s="6" t="b">
        <v>0</v>
      </c>
      <c r="H181" s="6">
        <v>6</v>
      </c>
      <c r="I181" s="6">
        <v>3</v>
      </c>
      <c r="J181" s="6">
        <v>0.22</v>
      </c>
      <c r="K181" s="6">
        <v>0.2273</v>
      </c>
      <c r="L181" s="6">
        <v>1</v>
      </c>
      <c r="M181" s="6">
        <v>0.1343</v>
      </c>
      <c r="N181" s="6">
        <v>8</v>
      </c>
      <c r="O181" s="6">
        <v>63</v>
      </c>
      <c r="P181" s="6">
        <v>71</v>
      </c>
    </row>
    <row r="182" spans="1:16" x14ac:dyDescent="0.25">
      <c r="A182" s="6">
        <v>799</v>
      </c>
      <c r="B182" s="9">
        <v>40579</v>
      </c>
      <c r="C182" s="6">
        <v>1</v>
      </c>
      <c r="D182" s="6">
        <v>0</v>
      </c>
      <c r="E182" s="6">
        <v>2</v>
      </c>
      <c r="F182" s="6">
        <v>17</v>
      </c>
      <c r="G182" s="6" t="b">
        <v>0</v>
      </c>
      <c r="H182" s="6">
        <v>6</v>
      </c>
      <c r="I182" s="6">
        <v>2</v>
      </c>
      <c r="J182" s="6">
        <v>0.24</v>
      </c>
      <c r="K182" s="6">
        <v>0.21210000000000001</v>
      </c>
      <c r="L182" s="6">
        <v>1</v>
      </c>
      <c r="M182" s="6">
        <v>0.28360000000000002</v>
      </c>
      <c r="N182" s="6">
        <v>14</v>
      </c>
      <c r="O182" s="6">
        <v>64</v>
      </c>
      <c r="P182" s="6">
        <v>78</v>
      </c>
    </row>
    <row r="183" spans="1:16" x14ac:dyDescent="0.25">
      <c r="A183" s="6">
        <v>800</v>
      </c>
      <c r="B183" s="9">
        <v>40579</v>
      </c>
      <c r="C183" s="6">
        <v>1</v>
      </c>
      <c r="D183" s="6">
        <v>0</v>
      </c>
      <c r="E183" s="6">
        <v>2</v>
      </c>
      <c r="F183" s="6">
        <v>18</v>
      </c>
      <c r="G183" s="6" t="b">
        <v>0</v>
      </c>
      <c r="H183" s="6">
        <v>6</v>
      </c>
      <c r="I183" s="6">
        <v>2</v>
      </c>
      <c r="J183" s="6">
        <v>0.28000000000000003</v>
      </c>
      <c r="K183" s="6">
        <v>0.2424</v>
      </c>
      <c r="L183" s="6">
        <v>0.93</v>
      </c>
      <c r="M183" s="6">
        <v>0.44779999999999998</v>
      </c>
      <c r="N183" s="6">
        <v>2</v>
      </c>
      <c r="O183" s="6">
        <v>81</v>
      </c>
      <c r="P183" s="6">
        <v>83</v>
      </c>
    </row>
    <row r="184" spans="1:16" x14ac:dyDescent="0.25">
      <c r="A184" s="6">
        <v>801</v>
      </c>
      <c r="B184" s="9">
        <v>40579</v>
      </c>
      <c r="C184" s="6">
        <v>1</v>
      </c>
      <c r="D184" s="6">
        <v>0</v>
      </c>
      <c r="E184" s="6">
        <v>2</v>
      </c>
      <c r="F184" s="6">
        <v>19</v>
      </c>
      <c r="G184" s="6" t="b">
        <v>0</v>
      </c>
      <c r="H184" s="6">
        <v>6</v>
      </c>
      <c r="I184" s="6">
        <v>2</v>
      </c>
      <c r="J184" s="6">
        <v>0.28000000000000003</v>
      </c>
      <c r="K184" s="6">
        <v>0.2424</v>
      </c>
      <c r="L184" s="6">
        <v>0.93</v>
      </c>
      <c r="M184" s="6">
        <v>0.44779999999999998</v>
      </c>
      <c r="N184" s="6">
        <v>6</v>
      </c>
      <c r="O184" s="6">
        <v>78</v>
      </c>
      <c r="P184" s="6">
        <v>84</v>
      </c>
    </row>
    <row r="185" spans="1:16" x14ac:dyDescent="0.25">
      <c r="A185" s="6">
        <v>802</v>
      </c>
      <c r="B185" s="9">
        <v>40579</v>
      </c>
      <c r="C185" s="6">
        <v>1</v>
      </c>
      <c r="D185" s="6">
        <v>0</v>
      </c>
      <c r="E185" s="6">
        <v>2</v>
      </c>
      <c r="F185" s="6">
        <v>20</v>
      </c>
      <c r="G185" s="6" t="b">
        <v>0</v>
      </c>
      <c r="H185" s="6">
        <v>6</v>
      </c>
      <c r="I185" s="6">
        <v>1</v>
      </c>
      <c r="J185" s="6">
        <v>0.3</v>
      </c>
      <c r="K185" s="6">
        <v>0.28789999999999999</v>
      </c>
      <c r="L185" s="6">
        <v>0.87</v>
      </c>
      <c r="M185" s="6">
        <v>0.25369999999999998</v>
      </c>
      <c r="N185" s="6">
        <v>5</v>
      </c>
      <c r="O185" s="6">
        <v>64</v>
      </c>
      <c r="P185" s="6">
        <v>69</v>
      </c>
    </row>
    <row r="186" spans="1:16" x14ac:dyDescent="0.25">
      <c r="A186" s="6">
        <v>803</v>
      </c>
      <c r="B186" s="9">
        <v>40579</v>
      </c>
      <c r="C186" s="6">
        <v>1</v>
      </c>
      <c r="D186" s="6">
        <v>0</v>
      </c>
      <c r="E186" s="6">
        <v>2</v>
      </c>
      <c r="F186" s="6">
        <v>21</v>
      </c>
      <c r="G186" s="6" t="b">
        <v>0</v>
      </c>
      <c r="H186" s="6">
        <v>6</v>
      </c>
      <c r="I186" s="6">
        <v>1</v>
      </c>
      <c r="J186" s="6">
        <v>0.26</v>
      </c>
      <c r="K186" s="6">
        <v>0.2576</v>
      </c>
      <c r="L186" s="6">
        <v>1</v>
      </c>
      <c r="M186" s="6">
        <v>0.19400000000000001</v>
      </c>
      <c r="N186" s="6">
        <v>3</v>
      </c>
      <c r="O186" s="6">
        <v>53</v>
      </c>
      <c r="P186" s="6">
        <v>56</v>
      </c>
    </row>
    <row r="187" spans="1:16" x14ac:dyDescent="0.25">
      <c r="A187" s="6">
        <v>804</v>
      </c>
      <c r="B187" s="9">
        <v>40579</v>
      </c>
      <c r="C187" s="6">
        <v>1</v>
      </c>
      <c r="D187" s="6">
        <v>0</v>
      </c>
      <c r="E187" s="6">
        <v>2</v>
      </c>
      <c r="F187" s="6">
        <v>22</v>
      </c>
      <c r="G187" s="6" t="b">
        <v>0</v>
      </c>
      <c r="H187" s="6">
        <v>6</v>
      </c>
      <c r="I187" s="6">
        <v>1</v>
      </c>
      <c r="J187" s="6">
        <v>0.26</v>
      </c>
      <c r="K187" s="6">
        <v>0.2727</v>
      </c>
      <c r="L187" s="6">
        <v>0.93</v>
      </c>
      <c r="M187" s="6">
        <v>0.1343</v>
      </c>
      <c r="N187" s="6">
        <v>2</v>
      </c>
      <c r="O187" s="6">
        <v>43</v>
      </c>
      <c r="P187" s="6">
        <v>45</v>
      </c>
    </row>
    <row r="188" spans="1:16" x14ac:dyDescent="0.25">
      <c r="A188" s="6">
        <v>805</v>
      </c>
      <c r="B188" s="9">
        <v>40579</v>
      </c>
      <c r="C188" s="6">
        <v>1</v>
      </c>
      <c r="D188" s="6">
        <v>0</v>
      </c>
      <c r="E188" s="6">
        <v>2</v>
      </c>
      <c r="F188" s="6">
        <v>23</v>
      </c>
      <c r="G188" s="6" t="b">
        <v>0</v>
      </c>
      <c r="H188" s="6">
        <v>6</v>
      </c>
      <c r="I188" s="6">
        <v>1</v>
      </c>
      <c r="J188" s="6">
        <v>0.26</v>
      </c>
      <c r="K188" s="6">
        <v>0.2576</v>
      </c>
      <c r="L188" s="6">
        <v>0.93</v>
      </c>
      <c r="M188" s="6">
        <v>0.22389999999999999</v>
      </c>
      <c r="N188" s="6">
        <v>7</v>
      </c>
      <c r="O188" s="6">
        <v>52</v>
      </c>
      <c r="P188" s="6">
        <v>59</v>
      </c>
    </row>
    <row r="189" spans="1:16" x14ac:dyDescent="0.25">
      <c r="A189" s="6">
        <v>806</v>
      </c>
      <c r="B189" s="9">
        <v>40580</v>
      </c>
      <c r="C189" s="6">
        <v>1</v>
      </c>
      <c r="D189" s="6">
        <v>0</v>
      </c>
      <c r="E189" s="6">
        <v>2</v>
      </c>
      <c r="F189" s="6">
        <v>0</v>
      </c>
      <c r="G189" s="6" t="b">
        <v>0</v>
      </c>
      <c r="H189" s="6">
        <v>0</v>
      </c>
      <c r="I189" s="6">
        <v>1</v>
      </c>
      <c r="J189" s="6">
        <v>0.26</v>
      </c>
      <c r="K189" s="6">
        <v>0.2576</v>
      </c>
      <c r="L189" s="6">
        <v>0.7</v>
      </c>
      <c r="M189" s="6">
        <v>0.19400000000000001</v>
      </c>
      <c r="N189" s="6">
        <v>2</v>
      </c>
      <c r="O189" s="6">
        <v>37</v>
      </c>
      <c r="P189" s="6">
        <v>39</v>
      </c>
    </row>
    <row r="190" spans="1:16" x14ac:dyDescent="0.25">
      <c r="A190" s="6">
        <v>807</v>
      </c>
      <c r="B190" s="9">
        <v>40580</v>
      </c>
      <c r="C190" s="6">
        <v>1</v>
      </c>
      <c r="D190" s="6">
        <v>0</v>
      </c>
      <c r="E190" s="6">
        <v>2</v>
      </c>
      <c r="F190" s="6">
        <v>1</v>
      </c>
      <c r="G190" s="6" t="b">
        <v>0</v>
      </c>
      <c r="H190" s="6">
        <v>0</v>
      </c>
      <c r="I190" s="6">
        <v>1</v>
      </c>
      <c r="J190" s="6">
        <v>0.26</v>
      </c>
      <c r="K190" s="6">
        <v>0.2273</v>
      </c>
      <c r="L190" s="6">
        <v>0.65</v>
      </c>
      <c r="M190" s="6">
        <v>0.41789999999999999</v>
      </c>
      <c r="N190" s="6">
        <v>4</v>
      </c>
      <c r="O190" s="6">
        <v>40</v>
      </c>
      <c r="P190" s="6">
        <v>44</v>
      </c>
    </row>
    <row r="191" spans="1:16" x14ac:dyDescent="0.25">
      <c r="A191" s="6">
        <v>808</v>
      </c>
      <c r="B191" s="9">
        <v>40580</v>
      </c>
      <c r="C191" s="6">
        <v>1</v>
      </c>
      <c r="D191" s="6">
        <v>0</v>
      </c>
      <c r="E191" s="6">
        <v>2</v>
      </c>
      <c r="F191" s="6">
        <v>2</v>
      </c>
      <c r="G191" s="6" t="b">
        <v>0</v>
      </c>
      <c r="H191" s="6">
        <v>0</v>
      </c>
      <c r="I191" s="6">
        <v>1</v>
      </c>
      <c r="J191" s="6">
        <v>0.26</v>
      </c>
      <c r="K191" s="6">
        <v>0.2273</v>
      </c>
      <c r="L191" s="6">
        <v>0.6</v>
      </c>
      <c r="M191" s="6">
        <v>0.32840000000000003</v>
      </c>
      <c r="N191" s="6">
        <v>0</v>
      </c>
      <c r="O191" s="6">
        <v>20</v>
      </c>
      <c r="P191" s="6">
        <v>20</v>
      </c>
    </row>
    <row r="192" spans="1:16" x14ac:dyDescent="0.25">
      <c r="A192" s="6">
        <v>809</v>
      </c>
      <c r="B192" s="9">
        <v>40580</v>
      </c>
      <c r="C192" s="6">
        <v>1</v>
      </c>
      <c r="D192" s="6">
        <v>0</v>
      </c>
      <c r="E192" s="6">
        <v>2</v>
      </c>
      <c r="F192" s="6">
        <v>3</v>
      </c>
      <c r="G192" s="6" t="b">
        <v>0</v>
      </c>
      <c r="H192" s="6">
        <v>0</v>
      </c>
      <c r="I192" s="6">
        <v>1</v>
      </c>
      <c r="J192" s="6">
        <v>0.26</v>
      </c>
      <c r="K192" s="6">
        <v>0.28789999999999999</v>
      </c>
      <c r="L192" s="6">
        <v>0.6</v>
      </c>
      <c r="M192" s="6">
        <v>8.9599999999999999E-2</v>
      </c>
      <c r="N192" s="6">
        <v>3</v>
      </c>
      <c r="O192" s="6">
        <v>10</v>
      </c>
      <c r="P192" s="6">
        <v>13</v>
      </c>
    </row>
    <row r="193" spans="1:16" x14ac:dyDescent="0.25">
      <c r="A193" s="6">
        <v>810</v>
      </c>
      <c r="B193" s="9">
        <v>40580</v>
      </c>
      <c r="C193" s="6">
        <v>1</v>
      </c>
      <c r="D193" s="6">
        <v>0</v>
      </c>
      <c r="E193" s="6">
        <v>2</v>
      </c>
      <c r="F193" s="6">
        <v>4</v>
      </c>
      <c r="G193" s="6" t="b">
        <v>0</v>
      </c>
      <c r="H193" s="6">
        <v>0</v>
      </c>
      <c r="I193" s="6">
        <v>1</v>
      </c>
      <c r="J193" s="6">
        <v>0.26</v>
      </c>
      <c r="K193" s="6">
        <v>0.2273</v>
      </c>
      <c r="L193" s="6">
        <v>0.6</v>
      </c>
      <c r="M193" s="6">
        <v>0.35820000000000002</v>
      </c>
      <c r="N193" s="6">
        <v>0</v>
      </c>
      <c r="O193" s="6">
        <v>2</v>
      </c>
      <c r="P193" s="6">
        <v>2</v>
      </c>
    </row>
    <row r="194" spans="1:16" x14ac:dyDescent="0.25">
      <c r="A194" s="6">
        <v>811</v>
      </c>
      <c r="B194" s="9">
        <v>40580</v>
      </c>
      <c r="C194" s="6">
        <v>1</v>
      </c>
      <c r="D194" s="6">
        <v>0</v>
      </c>
      <c r="E194" s="6">
        <v>2</v>
      </c>
      <c r="F194" s="6">
        <v>5</v>
      </c>
      <c r="G194" s="6" t="b">
        <v>0</v>
      </c>
      <c r="H194" s="6">
        <v>0</v>
      </c>
      <c r="I194" s="6">
        <v>1</v>
      </c>
      <c r="J194" s="6">
        <v>0.26</v>
      </c>
      <c r="K194" s="6">
        <v>0.2576</v>
      </c>
      <c r="L194" s="6">
        <v>0.6</v>
      </c>
      <c r="M194" s="6">
        <v>0.22389999999999999</v>
      </c>
      <c r="N194" s="6">
        <v>0</v>
      </c>
      <c r="O194" s="6">
        <v>1</v>
      </c>
      <c r="P194" s="6">
        <v>1</v>
      </c>
    </row>
    <row r="195" spans="1:16" x14ac:dyDescent="0.25">
      <c r="A195" s="6">
        <v>812</v>
      </c>
      <c r="B195" s="9">
        <v>40580</v>
      </c>
      <c r="C195" s="6">
        <v>1</v>
      </c>
      <c r="D195" s="6">
        <v>0</v>
      </c>
      <c r="E195" s="6">
        <v>2</v>
      </c>
      <c r="F195" s="6">
        <v>6</v>
      </c>
      <c r="G195" s="6" t="b">
        <v>0</v>
      </c>
      <c r="H195" s="6">
        <v>0</v>
      </c>
      <c r="I195" s="6">
        <v>1</v>
      </c>
      <c r="J195" s="6">
        <v>0.26</v>
      </c>
      <c r="K195" s="6">
        <v>0.2576</v>
      </c>
      <c r="L195" s="6">
        <v>0.6</v>
      </c>
      <c r="M195" s="6">
        <v>0.22389999999999999</v>
      </c>
      <c r="N195" s="6">
        <v>0</v>
      </c>
      <c r="O195" s="6">
        <v>1</v>
      </c>
      <c r="P195" s="6">
        <v>1</v>
      </c>
    </row>
    <row r="196" spans="1:16" x14ac:dyDescent="0.25">
      <c r="A196" s="6">
        <v>813</v>
      </c>
      <c r="B196" s="9">
        <v>40580</v>
      </c>
      <c r="C196" s="6">
        <v>1</v>
      </c>
      <c r="D196" s="6">
        <v>0</v>
      </c>
      <c r="E196" s="6">
        <v>2</v>
      </c>
      <c r="F196" s="6">
        <v>7</v>
      </c>
      <c r="G196" s="6" t="b">
        <v>0</v>
      </c>
      <c r="H196" s="6">
        <v>0</v>
      </c>
      <c r="I196" s="6">
        <v>1</v>
      </c>
      <c r="J196" s="6">
        <v>0.24</v>
      </c>
      <c r="K196" s="6">
        <v>0.2424</v>
      </c>
      <c r="L196" s="6">
        <v>0.65</v>
      </c>
      <c r="M196" s="6">
        <v>0.16420000000000001</v>
      </c>
      <c r="N196" s="6">
        <v>0</v>
      </c>
      <c r="O196" s="6">
        <v>8</v>
      </c>
      <c r="P196" s="6">
        <v>8</v>
      </c>
    </row>
    <row r="197" spans="1:16" x14ac:dyDescent="0.25">
      <c r="A197" s="6">
        <v>814</v>
      </c>
      <c r="B197" s="9">
        <v>40580</v>
      </c>
      <c r="C197" s="6">
        <v>1</v>
      </c>
      <c r="D197" s="6">
        <v>0</v>
      </c>
      <c r="E197" s="6">
        <v>2</v>
      </c>
      <c r="F197" s="6">
        <v>8</v>
      </c>
      <c r="G197" s="6" t="b">
        <v>0</v>
      </c>
      <c r="H197" s="6">
        <v>0</v>
      </c>
      <c r="I197" s="6">
        <v>1</v>
      </c>
      <c r="J197" s="6">
        <v>0.24</v>
      </c>
      <c r="K197" s="6">
        <v>0.2576</v>
      </c>
      <c r="L197" s="6">
        <v>0.65</v>
      </c>
      <c r="M197" s="6">
        <v>0.1045</v>
      </c>
      <c r="N197" s="6">
        <v>2</v>
      </c>
      <c r="O197" s="6">
        <v>21</v>
      </c>
      <c r="P197" s="6">
        <v>23</v>
      </c>
    </row>
    <row r="198" spans="1:16" x14ac:dyDescent="0.25">
      <c r="A198" s="6">
        <v>815</v>
      </c>
      <c r="B198" s="9">
        <v>40580</v>
      </c>
      <c r="C198" s="6">
        <v>1</v>
      </c>
      <c r="D198" s="6">
        <v>0</v>
      </c>
      <c r="E198" s="6">
        <v>2</v>
      </c>
      <c r="F198" s="6">
        <v>9</v>
      </c>
      <c r="G198" s="6" t="b">
        <v>0</v>
      </c>
      <c r="H198" s="6">
        <v>0</v>
      </c>
      <c r="I198" s="6">
        <v>1</v>
      </c>
      <c r="J198" s="6">
        <v>0.28000000000000003</v>
      </c>
      <c r="K198" s="6">
        <v>0.28789999999999999</v>
      </c>
      <c r="L198" s="6">
        <v>0.56000000000000005</v>
      </c>
      <c r="M198" s="6">
        <v>0.1045</v>
      </c>
      <c r="N198" s="6">
        <v>7</v>
      </c>
      <c r="O198" s="6">
        <v>38</v>
      </c>
      <c r="P198" s="6">
        <v>45</v>
      </c>
    </row>
    <row r="199" spans="1:16" x14ac:dyDescent="0.25">
      <c r="A199" s="6">
        <v>816</v>
      </c>
      <c r="B199" s="9">
        <v>40580</v>
      </c>
      <c r="C199" s="6">
        <v>1</v>
      </c>
      <c r="D199" s="6">
        <v>0</v>
      </c>
      <c r="E199" s="6">
        <v>2</v>
      </c>
      <c r="F199" s="6">
        <v>10</v>
      </c>
      <c r="G199" s="6" t="b">
        <v>0</v>
      </c>
      <c r="H199" s="6">
        <v>0</v>
      </c>
      <c r="I199" s="6">
        <v>1</v>
      </c>
      <c r="J199" s="6">
        <v>0.3</v>
      </c>
      <c r="K199" s="6">
        <v>0.28789999999999999</v>
      </c>
      <c r="L199" s="6">
        <v>0.52</v>
      </c>
      <c r="M199" s="6">
        <v>0.25369999999999998</v>
      </c>
      <c r="N199" s="6">
        <v>15</v>
      </c>
      <c r="O199" s="6">
        <v>74</v>
      </c>
      <c r="P199" s="6">
        <v>89</v>
      </c>
    </row>
    <row r="200" spans="1:16" x14ac:dyDescent="0.25">
      <c r="A200" s="6">
        <v>817</v>
      </c>
      <c r="B200" s="9">
        <v>40580</v>
      </c>
      <c r="C200" s="6">
        <v>1</v>
      </c>
      <c r="D200" s="6">
        <v>0</v>
      </c>
      <c r="E200" s="6">
        <v>2</v>
      </c>
      <c r="F200" s="6">
        <v>11</v>
      </c>
      <c r="G200" s="6" t="b">
        <v>0</v>
      </c>
      <c r="H200" s="6">
        <v>0</v>
      </c>
      <c r="I200" s="6">
        <v>1</v>
      </c>
      <c r="J200" s="6">
        <v>0.32</v>
      </c>
      <c r="K200" s="6">
        <v>0.30299999999999999</v>
      </c>
      <c r="L200" s="6">
        <v>0.49</v>
      </c>
      <c r="M200" s="6">
        <v>0.25369999999999998</v>
      </c>
      <c r="N200" s="6">
        <v>28</v>
      </c>
      <c r="O200" s="6">
        <v>89</v>
      </c>
      <c r="P200" s="6">
        <v>117</v>
      </c>
    </row>
    <row r="201" spans="1:16" x14ac:dyDescent="0.25">
      <c r="A201" s="6">
        <v>818</v>
      </c>
      <c r="B201" s="9">
        <v>40580</v>
      </c>
      <c r="C201" s="6">
        <v>1</v>
      </c>
      <c r="D201" s="6">
        <v>0</v>
      </c>
      <c r="E201" s="6">
        <v>2</v>
      </c>
      <c r="F201" s="6">
        <v>12</v>
      </c>
      <c r="G201" s="6" t="b">
        <v>0</v>
      </c>
      <c r="H201" s="6">
        <v>0</v>
      </c>
      <c r="I201" s="6">
        <v>1</v>
      </c>
      <c r="J201" s="6">
        <v>0.34</v>
      </c>
      <c r="K201" s="6">
        <v>0.33329999999999999</v>
      </c>
      <c r="L201" s="6">
        <v>0.46</v>
      </c>
      <c r="M201" s="6">
        <v>0</v>
      </c>
      <c r="N201" s="6">
        <v>48</v>
      </c>
      <c r="O201" s="6">
        <v>126</v>
      </c>
      <c r="P201" s="6">
        <v>174</v>
      </c>
    </row>
    <row r="202" spans="1:16" x14ac:dyDescent="0.25">
      <c r="A202" s="6">
        <v>819</v>
      </c>
      <c r="B202" s="9">
        <v>40580</v>
      </c>
      <c r="C202" s="6">
        <v>1</v>
      </c>
      <c r="D202" s="6">
        <v>0</v>
      </c>
      <c r="E202" s="6">
        <v>2</v>
      </c>
      <c r="F202" s="6">
        <v>13</v>
      </c>
      <c r="G202" s="6" t="b">
        <v>0</v>
      </c>
      <c r="H202" s="6">
        <v>0</v>
      </c>
      <c r="I202" s="6">
        <v>1</v>
      </c>
      <c r="J202" s="6">
        <v>0.34</v>
      </c>
      <c r="K202" s="6">
        <v>0.36359999999999998</v>
      </c>
      <c r="L202" s="6">
        <v>0.46</v>
      </c>
      <c r="M202" s="6">
        <v>0</v>
      </c>
      <c r="N202" s="6">
        <v>47</v>
      </c>
      <c r="O202" s="6">
        <v>135</v>
      </c>
      <c r="P202" s="6">
        <v>182</v>
      </c>
    </row>
    <row r="203" spans="1:16" x14ac:dyDescent="0.25">
      <c r="A203" s="6">
        <v>820</v>
      </c>
      <c r="B203" s="9">
        <v>40580</v>
      </c>
      <c r="C203" s="6">
        <v>1</v>
      </c>
      <c r="D203" s="6">
        <v>0</v>
      </c>
      <c r="E203" s="6">
        <v>2</v>
      </c>
      <c r="F203" s="6">
        <v>14</v>
      </c>
      <c r="G203" s="6" t="b">
        <v>0</v>
      </c>
      <c r="H203" s="6">
        <v>0</v>
      </c>
      <c r="I203" s="6">
        <v>1</v>
      </c>
      <c r="J203" s="6">
        <v>0.34</v>
      </c>
      <c r="K203" s="6">
        <v>0.34849999999999998</v>
      </c>
      <c r="L203" s="6">
        <v>0.46</v>
      </c>
      <c r="M203" s="6">
        <v>8.9599999999999999E-2</v>
      </c>
      <c r="N203" s="6">
        <v>47</v>
      </c>
      <c r="O203" s="6">
        <v>114</v>
      </c>
      <c r="P203" s="6">
        <v>161</v>
      </c>
    </row>
    <row r="204" spans="1:16" x14ac:dyDescent="0.25">
      <c r="A204" s="6">
        <v>821</v>
      </c>
      <c r="B204" s="9">
        <v>40580</v>
      </c>
      <c r="C204" s="6">
        <v>1</v>
      </c>
      <c r="D204" s="6">
        <v>0</v>
      </c>
      <c r="E204" s="6">
        <v>2</v>
      </c>
      <c r="F204" s="6">
        <v>15</v>
      </c>
      <c r="G204" s="6" t="b">
        <v>0</v>
      </c>
      <c r="H204" s="6">
        <v>0</v>
      </c>
      <c r="I204" s="6">
        <v>1</v>
      </c>
      <c r="J204" s="6">
        <v>0.34</v>
      </c>
      <c r="K204" s="6">
        <v>0.34849999999999998</v>
      </c>
      <c r="L204" s="6">
        <v>0.46</v>
      </c>
      <c r="M204" s="6">
        <v>8.9599999999999999E-2</v>
      </c>
      <c r="N204" s="6">
        <v>52</v>
      </c>
      <c r="O204" s="6">
        <v>130</v>
      </c>
      <c r="P204" s="6">
        <v>182</v>
      </c>
    </row>
    <row r="205" spans="1:16" x14ac:dyDescent="0.25">
      <c r="A205" s="6">
        <v>822</v>
      </c>
      <c r="B205" s="9">
        <v>40580</v>
      </c>
      <c r="C205" s="6">
        <v>1</v>
      </c>
      <c r="D205" s="6">
        <v>0</v>
      </c>
      <c r="E205" s="6">
        <v>2</v>
      </c>
      <c r="F205" s="6">
        <v>16</v>
      </c>
      <c r="G205" s="6" t="b">
        <v>0</v>
      </c>
      <c r="H205" s="6">
        <v>0</v>
      </c>
      <c r="I205" s="6">
        <v>1</v>
      </c>
      <c r="J205" s="6">
        <v>0.34</v>
      </c>
      <c r="K205" s="6">
        <v>0.34849999999999998</v>
      </c>
      <c r="L205" s="6">
        <v>0.49</v>
      </c>
      <c r="M205" s="6">
        <v>0.1045</v>
      </c>
      <c r="N205" s="6">
        <v>42</v>
      </c>
      <c r="O205" s="6">
        <v>115</v>
      </c>
      <c r="P205" s="6">
        <v>157</v>
      </c>
    </row>
    <row r="206" spans="1:16" x14ac:dyDescent="0.25">
      <c r="A206" s="6">
        <v>823</v>
      </c>
      <c r="B206" s="9">
        <v>40580</v>
      </c>
      <c r="C206" s="6">
        <v>1</v>
      </c>
      <c r="D206" s="6">
        <v>0</v>
      </c>
      <c r="E206" s="6">
        <v>2</v>
      </c>
      <c r="F206" s="6">
        <v>17</v>
      </c>
      <c r="G206" s="6" t="b">
        <v>0</v>
      </c>
      <c r="H206" s="6">
        <v>0</v>
      </c>
      <c r="I206" s="6">
        <v>1</v>
      </c>
      <c r="J206" s="6">
        <v>0.34</v>
      </c>
      <c r="K206" s="6">
        <v>0.36359999999999998</v>
      </c>
      <c r="L206" s="6">
        <v>0.46</v>
      </c>
      <c r="M206" s="6">
        <v>0</v>
      </c>
      <c r="N206" s="6">
        <v>24</v>
      </c>
      <c r="O206" s="6">
        <v>97</v>
      </c>
      <c r="P206" s="6">
        <v>121</v>
      </c>
    </row>
    <row r="207" spans="1:16" x14ac:dyDescent="0.25">
      <c r="A207" s="6">
        <v>824</v>
      </c>
      <c r="B207" s="9">
        <v>40580</v>
      </c>
      <c r="C207" s="6">
        <v>1</v>
      </c>
      <c r="D207" s="6">
        <v>0</v>
      </c>
      <c r="E207" s="6">
        <v>2</v>
      </c>
      <c r="F207" s="6">
        <v>18</v>
      </c>
      <c r="G207" s="6" t="b">
        <v>0</v>
      </c>
      <c r="H207" s="6">
        <v>0</v>
      </c>
      <c r="I207" s="6">
        <v>1</v>
      </c>
      <c r="J207" s="6">
        <v>0.3</v>
      </c>
      <c r="K207" s="6">
        <v>0.30299999999999999</v>
      </c>
      <c r="L207" s="6">
        <v>0.56000000000000005</v>
      </c>
      <c r="M207" s="6">
        <v>0.16420000000000001</v>
      </c>
      <c r="N207" s="6">
        <v>13</v>
      </c>
      <c r="O207" s="6">
        <v>65</v>
      </c>
      <c r="P207" s="6">
        <v>78</v>
      </c>
    </row>
    <row r="208" spans="1:16" x14ac:dyDescent="0.25">
      <c r="A208" s="6">
        <v>825</v>
      </c>
      <c r="B208" s="9">
        <v>40580</v>
      </c>
      <c r="C208" s="6">
        <v>1</v>
      </c>
      <c r="D208" s="6">
        <v>0</v>
      </c>
      <c r="E208" s="6">
        <v>2</v>
      </c>
      <c r="F208" s="6">
        <v>19</v>
      </c>
      <c r="G208" s="6" t="b">
        <v>0</v>
      </c>
      <c r="H208" s="6">
        <v>0</v>
      </c>
      <c r="I208" s="6">
        <v>1</v>
      </c>
      <c r="J208" s="6">
        <v>0.28000000000000003</v>
      </c>
      <c r="K208" s="6">
        <v>0.28789999999999999</v>
      </c>
      <c r="L208" s="6">
        <v>0.61</v>
      </c>
      <c r="M208" s="6">
        <v>0.1343</v>
      </c>
      <c r="N208" s="6">
        <v>1</v>
      </c>
      <c r="O208" s="6">
        <v>20</v>
      </c>
      <c r="P208" s="6">
        <v>21</v>
      </c>
    </row>
    <row r="209" spans="1:16" x14ac:dyDescent="0.25">
      <c r="A209" s="6">
        <v>826</v>
      </c>
      <c r="B209" s="9">
        <v>40580</v>
      </c>
      <c r="C209" s="6">
        <v>1</v>
      </c>
      <c r="D209" s="6">
        <v>0</v>
      </c>
      <c r="E209" s="6">
        <v>2</v>
      </c>
      <c r="F209" s="6">
        <v>20</v>
      </c>
      <c r="G209" s="6" t="b">
        <v>0</v>
      </c>
      <c r="H209" s="6">
        <v>0</v>
      </c>
      <c r="I209" s="6">
        <v>1</v>
      </c>
      <c r="J209" s="6">
        <v>0.28000000000000003</v>
      </c>
      <c r="K209" s="6">
        <v>0.28789999999999999</v>
      </c>
      <c r="L209" s="6">
        <v>0.61</v>
      </c>
      <c r="M209" s="6">
        <v>0.1045</v>
      </c>
      <c r="N209" s="6">
        <v>5</v>
      </c>
      <c r="O209" s="6">
        <v>21</v>
      </c>
      <c r="P209" s="6">
        <v>26</v>
      </c>
    </row>
    <row r="210" spans="1:16" x14ac:dyDescent="0.25">
      <c r="A210" s="6">
        <v>827</v>
      </c>
      <c r="B210" s="9">
        <v>40580</v>
      </c>
      <c r="C210" s="6">
        <v>1</v>
      </c>
      <c r="D210" s="6">
        <v>0</v>
      </c>
      <c r="E210" s="6">
        <v>2</v>
      </c>
      <c r="F210" s="6">
        <v>21</v>
      </c>
      <c r="G210" s="6" t="b">
        <v>0</v>
      </c>
      <c r="H210" s="6">
        <v>0</v>
      </c>
      <c r="I210" s="6">
        <v>1</v>
      </c>
      <c r="J210" s="6">
        <v>0.26</v>
      </c>
      <c r="K210" s="6">
        <v>0.30299999999999999</v>
      </c>
      <c r="L210" s="6">
        <v>0.6</v>
      </c>
      <c r="M210" s="6">
        <v>0</v>
      </c>
      <c r="N210" s="6">
        <v>5</v>
      </c>
      <c r="O210" s="6">
        <v>22</v>
      </c>
      <c r="P210" s="6">
        <v>27</v>
      </c>
    </row>
    <row r="211" spans="1:16" x14ac:dyDescent="0.25">
      <c r="A211" s="6">
        <v>828</v>
      </c>
      <c r="B211" s="9">
        <v>40580</v>
      </c>
      <c r="C211" s="6">
        <v>1</v>
      </c>
      <c r="D211" s="6">
        <v>0</v>
      </c>
      <c r="E211" s="6">
        <v>2</v>
      </c>
      <c r="F211" s="6">
        <v>22</v>
      </c>
      <c r="G211" s="6" t="b">
        <v>0</v>
      </c>
      <c r="H211" s="6">
        <v>0</v>
      </c>
      <c r="I211" s="6">
        <v>1</v>
      </c>
      <c r="J211" s="6">
        <v>0.26</v>
      </c>
      <c r="K211" s="6">
        <v>0.30299999999999999</v>
      </c>
      <c r="L211" s="6">
        <v>0.6</v>
      </c>
      <c r="M211" s="6">
        <v>0</v>
      </c>
      <c r="N211" s="6">
        <v>5</v>
      </c>
      <c r="O211" s="6">
        <v>57</v>
      </c>
      <c r="P211" s="6">
        <v>62</v>
      </c>
    </row>
    <row r="212" spans="1:16" x14ac:dyDescent="0.25">
      <c r="A212" s="6">
        <v>829</v>
      </c>
      <c r="B212" s="9">
        <v>40580</v>
      </c>
      <c r="C212" s="6">
        <v>1</v>
      </c>
      <c r="D212" s="6">
        <v>0</v>
      </c>
      <c r="E212" s="6">
        <v>2</v>
      </c>
      <c r="F212" s="6">
        <v>23</v>
      </c>
      <c r="G212" s="6" t="b">
        <v>0</v>
      </c>
      <c r="H212" s="6">
        <v>0</v>
      </c>
      <c r="I212" s="6">
        <v>1</v>
      </c>
      <c r="J212" s="6">
        <v>0.24</v>
      </c>
      <c r="K212" s="6">
        <v>0.28789999999999999</v>
      </c>
      <c r="L212" s="6">
        <v>0.65</v>
      </c>
      <c r="M212" s="6">
        <v>0</v>
      </c>
      <c r="N212" s="6">
        <v>4</v>
      </c>
      <c r="O212" s="6">
        <v>26</v>
      </c>
      <c r="P212" s="6">
        <v>30</v>
      </c>
    </row>
    <row r="213" spans="1:16" x14ac:dyDescent="0.25">
      <c r="A213" s="6">
        <v>830</v>
      </c>
      <c r="B213" s="9">
        <v>40581</v>
      </c>
      <c r="C213" s="6">
        <v>1</v>
      </c>
      <c r="D213" s="6">
        <v>0</v>
      </c>
      <c r="E213" s="6">
        <v>2</v>
      </c>
      <c r="F213" s="6">
        <v>0</v>
      </c>
      <c r="G213" s="6" t="b">
        <v>0</v>
      </c>
      <c r="H213" s="6">
        <v>1</v>
      </c>
      <c r="I213" s="6">
        <v>1</v>
      </c>
      <c r="J213" s="6">
        <v>0.24</v>
      </c>
      <c r="K213" s="6">
        <v>0.28789999999999999</v>
      </c>
      <c r="L213" s="6">
        <v>0.65</v>
      </c>
      <c r="M213" s="6">
        <v>0</v>
      </c>
      <c r="N213" s="6">
        <v>1</v>
      </c>
      <c r="O213" s="6">
        <v>14</v>
      </c>
      <c r="P213" s="6">
        <v>15</v>
      </c>
    </row>
    <row r="214" spans="1:16" x14ac:dyDescent="0.25">
      <c r="A214" s="6">
        <v>831</v>
      </c>
      <c r="B214" s="9">
        <v>40581</v>
      </c>
      <c r="C214" s="6">
        <v>1</v>
      </c>
      <c r="D214" s="6">
        <v>0</v>
      </c>
      <c r="E214" s="6">
        <v>2</v>
      </c>
      <c r="F214" s="6">
        <v>1</v>
      </c>
      <c r="G214" s="6" t="b">
        <v>0</v>
      </c>
      <c r="H214" s="6">
        <v>1</v>
      </c>
      <c r="I214" s="6">
        <v>1</v>
      </c>
      <c r="J214" s="6">
        <v>0.22</v>
      </c>
      <c r="K214" s="6">
        <v>0.2727</v>
      </c>
      <c r="L214" s="6">
        <v>0.75</v>
      </c>
      <c r="M214" s="6">
        <v>0</v>
      </c>
      <c r="N214" s="6">
        <v>1</v>
      </c>
      <c r="O214" s="6">
        <v>4</v>
      </c>
      <c r="P214" s="6">
        <v>5</v>
      </c>
    </row>
    <row r="215" spans="1:16" x14ac:dyDescent="0.25">
      <c r="A215" s="6">
        <v>832</v>
      </c>
      <c r="B215" s="9">
        <v>40581</v>
      </c>
      <c r="C215" s="6">
        <v>1</v>
      </c>
      <c r="D215" s="6">
        <v>0</v>
      </c>
      <c r="E215" s="6">
        <v>2</v>
      </c>
      <c r="F215" s="6">
        <v>2</v>
      </c>
      <c r="G215" s="6" t="b">
        <v>0</v>
      </c>
      <c r="H215" s="6">
        <v>1</v>
      </c>
      <c r="I215" s="6">
        <v>1</v>
      </c>
      <c r="J215" s="6">
        <v>0.2</v>
      </c>
      <c r="K215" s="6">
        <v>0.2576</v>
      </c>
      <c r="L215" s="6">
        <v>0.8</v>
      </c>
      <c r="M215" s="6">
        <v>0</v>
      </c>
      <c r="N215" s="6">
        <v>0</v>
      </c>
      <c r="O215" s="6">
        <v>3</v>
      </c>
      <c r="P215" s="6">
        <v>3</v>
      </c>
    </row>
    <row r="216" spans="1:16" x14ac:dyDescent="0.25">
      <c r="A216" s="6">
        <v>833</v>
      </c>
      <c r="B216" s="9">
        <v>40581</v>
      </c>
      <c r="C216" s="6">
        <v>1</v>
      </c>
      <c r="D216" s="6">
        <v>0</v>
      </c>
      <c r="E216" s="6">
        <v>2</v>
      </c>
      <c r="F216" s="6">
        <v>3</v>
      </c>
      <c r="G216" s="6" t="b">
        <v>0</v>
      </c>
      <c r="H216" s="6">
        <v>1</v>
      </c>
      <c r="I216" s="6">
        <v>1</v>
      </c>
      <c r="J216" s="6">
        <v>0.2</v>
      </c>
      <c r="K216" s="6">
        <v>0.2576</v>
      </c>
      <c r="L216" s="6">
        <v>0.86</v>
      </c>
      <c r="M216" s="6">
        <v>0</v>
      </c>
      <c r="N216" s="6">
        <v>0</v>
      </c>
      <c r="O216" s="6">
        <v>1</v>
      </c>
      <c r="P216" s="6">
        <v>1</v>
      </c>
    </row>
    <row r="217" spans="1:16" x14ac:dyDescent="0.25">
      <c r="A217" s="6">
        <v>834</v>
      </c>
      <c r="B217" s="9">
        <v>40581</v>
      </c>
      <c r="C217" s="6">
        <v>1</v>
      </c>
      <c r="D217" s="6">
        <v>0</v>
      </c>
      <c r="E217" s="6">
        <v>2</v>
      </c>
      <c r="F217" s="6">
        <v>4</v>
      </c>
      <c r="G217" s="6" t="b">
        <v>0</v>
      </c>
      <c r="H217" s="6">
        <v>1</v>
      </c>
      <c r="I217" s="6">
        <v>1</v>
      </c>
      <c r="J217" s="6">
        <v>0.2</v>
      </c>
      <c r="K217" s="6">
        <v>0.2576</v>
      </c>
      <c r="L217" s="6">
        <v>0.86</v>
      </c>
      <c r="M217" s="6">
        <v>0</v>
      </c>
      <c r="N217" s="6">
        <v>1</v>
      </c>
      <c r="O217" s="6">
        <v>1</v>
      </c>
      <c r="P217" s="6">
        <v>2</v>
      </c>
    </row>
    <row r="218" spans="1:16" x14ac:dyDescent="0.25">
      <c r="A218" s="6">
        <v>835</v>
      </c>
      <c r="B218" s="9">
        <v>40581</v>
      </c>
      <c r="C218" s="6">
        <v>1</v>
      </c>
      <c r="D218" s="6">
        <v>0</v>
      </c>
      <c r="E218" s="6">
        <v>2</v>
      </c>
      <c r="F218" s="6">
        <v>5</v>
      </c>
      <c r="G218" s="6" t="b">
        <v>0</v>
      </c>
      <c r="H218" s="6">
        <v>1</v>
      </c>
      <c r="I218" s="6">
        <v>1</v>
      </c>
      <c r="J218" s="6">
        <v>0.2</v>
      </c>
      <c r="K218" s="6">
        <v>0.2576</v>
      </c>
      <c r="L218" s="6">
        <v>0.86</v>
      </c>
      <c r="M218" s="6">
        <v>0</v>
      </c>
      <c r="N218" s="6">
        <v>1</v>
      </c>
      <c r="O218" s="6">
        <v>9</v>
      </c>
      <c r="P218" s="6">
        <v>10</v>
      </c>
    </row>
    <row r="219" spans="1:16" x14ac:dyDescent="0.25">
      <c r="A219" s="6">
        <v>836</v>
      </c>
      <c r="B219" s="9">
        <v>40581</v>
      </c>
      <c r="C219" s="6">
        <v>1</v>
      </c>
      <c r="D219" s="6">
        <v>0</v>
      </c>
      <c r="E219" s="6">
        <v>2</v>
      </c>
      <c r="F219" s="6">
        <v>6</v>
      </c>
      <c r="G219" s="6" t="b">
        <v>0</v>
      </c>
      <c r="H219" s="6">
        <v>1</v>
      </c>
      <c r="I219" s="6">
        <v>1</v>
      </c>
      <c r="J219" s="6">
        <v>0.18</v>
      </c>
      <c r="K219" s="6">
        <v>0.2424</v>
      </c>
      <c r="L219" s="6">
        <v>0.93</v>
      </c>
      <c r="M219" s="6">
        <v>0</v>
      </c>
      <c r="N219" s="6">
        <v>1</v>
      </c>
      <c r="O219" s="6">
        <v>29</v>
      </c>
      <c r="P219" s="6">
        <v>30</v>
      </c>
    </row>
    <row r="220" spans="1:16" x14ac:dyDescent="0.25">
      <c r="A220" s="6">
        <v>837</v>
      </c>
      <c r="B220" s="9">
        <v>40581</v>
      </c>
      <c r="C220" s="6">
        <v>1</v>
      </c>
      <c r="D220" s="6">
        <v>0</v>
      </c>
      <c r="E220" s="6">
        <v>2</v>
      </c>
      <c r="F220" s="6">
        <v>7</v>
      </c>
      <c r="G220" s="6" t="b">
        <v>0</v>
      </c>
      <c r="H220" s="6">
        <v>1</v>
      </c>
      <c r="I220" s="6">
        <v>1</v>
      </c>
      <c r="J220" s="6">
        <v>0.18</v>
      </c>
      <c r="K220" s="6">
        <v>0.2424</v>
      </c>
      <c r="L220" s="6">
        <v>0.86</v>
      </c>
      <c r="M220" s="6">
        <v>0</v>
      </c>
      <c r="N220" s="6">
        <v>6</v>
      </c>
      <c r="O220" s="6">
        <v>89</v>
      </c>
      <c r="P220" s="6">
        <v>95</v>
      </c>
    </row>
    <row r="221" spans="1:16" x14ac:dyDescent="0.25">
      <c r="A221" s="6">
        <v>838</v>
      </c>
      <c r="B221" s="9">
        <v>40581</v>
      </c>
      <c r="C221" s="6">
        <v>1</v>
      </c>
      <c r="D221" s="6">
        <v>0</v>
      </c>
      <c r="E221" s="6">
        <v>2</v>
      </c>
      <c r="F221" s="6">
        <v>8</v>
      </c>
      <c r="G221" s="6" t="b">
        <v>0</v>
      </c>
      <c r="H221" s="6">
        <v>1</v>
      </c>
      <c r="I221" s="6">
        <v>2</v>
      </c>
      <c r="J221" s="6">
        <v>0.16</v>
      </c>
      <c r="K221" s="6">
        <v>0.2273</v>
      </c>
      <c r="L221" s="6">
        <v>1</v>
      </c>
      <c r="M221" s="6">
        <v>0</v>
      </c>
      <c r="N221" s="6">
        <v>7</v>
      </c>
      <c r="O221" s="6">
        <v>223</v>
      </c>
      <c r="P221" s="6">
        <v>230</v>
      </c>
    </row>
    <row r="222" spans="1:16" x14ac:dyDescent="0.25">
      <c r="A222" s="6">
        <v>839</v>
      </c>
      <c r="B222" s="9">
        <v>40581</v>
      </c>
      <c r="C222" s="6">
        <v>1</v>
      </c>
      <c r="D222" s="6">
        <v>0</v>
      </c>
      <c r="E222" s="6">
        <v>2</v>
      </c>
      <c r="F222" s="6">
        <v>9</v>
      </c>
      <c r="G222" s="6" t="b">
        <v>0</v>
      </c>
      <c r="H222" s="6">
        <v>1</v>
      </c>
      <c r="I222" s="6">
        <v>1</v>
      </c>
      <c r="J222" s="6">
        <v>0.22</v>
      </c>
      <c r="K222" s="6">
        <v>0.2727</v>
      </c>
      <c r="L222" s="6">
        <v>0.8</v>
      </c>
      <c r="M222" s="6">
        <v>0</v>
      </c>
      <c r="N222" s="6">
        <v>3</v>
      </c>
      <c r="O222" s="6">
        <v>115</v>
      </c>
      <c r="P222" s="6">
        <v>118</v>
      </c>
    </row>
    <row r="223" spans="1:16" x14ac:dyDescent="0.25">
      <c r="A223" s="6">
        <v>840</v>
      </c>
      <c r="B223" s="9">
        <v>40581</v>
      </c>
      <c r="C223" s="6">
        <v>1</v>
      </c>
      <c r="D223" s="6">
        <v>0</v>
      </c>
      <c r="E223" s="6">
        <v>2</v>
      </c>
      <c r="F223" s="6">
        <v>10</v>
      </c>
      <c r="G223" s="6" t="b">
        <v>0</v>
      </c>
      <c r="H223" s="6">
        <v>1</v>
      </c>
      <c r="I223" s="6">
        <v>1</v>
      </c>
      <c r="J223" s="6">
        <v>0.24</v>
      </c>
      <c r="K223" s="6">
        <v>0.2576</v>
      </c>
      <c r="L223" s="6">
        <v>0.75</v>
      </c>
      <c r="M223" s="6">
        <v>0.1045</v>
      </c>
      <c r="N223" s="6">
        <v>6</v>
      </c>
      <c r="O223" s="6">
        <v>49</v>
      </c>
      <c r="P223" s="6">
        <v>55</v>
      </c>
    </row>
    <row r="224" spans="1:16" x14ac:dyDescent="0.25">
      <c r="A224" s="6">
        <v>841</v>
      </c>
      <c r="B224" s="9">
        <v>40581</v>
      </c>
      <c r="C224" s="6">
        <v>1</v>
      </c>
      <c r="D224" s="6">
        <v>0</v>
      </c>
      <c r="E224" s="6">
        <v>2</v>
      </c>
      <c r="F224" s="6">
        <v>11</v>
      </c>
      <c r="G224" s="6" t="b">
        <v>0</v>
      </c>
      <c r="H224" s="6">
        <v>1</v>
      </c>
      <c r="I224" s="6">
        <v>1</v>
      </c>
      <c r="J224" s="6">
        <v>0.3</v>
      </c>
      <c r="K224" s="6">
        <v>0.31819999999999998</v>
      </c>
      <c r="L224" s="6">
        <v>0.65</v>
      </c>
      <c r="M224" s="6">
        <v>8.9599999999999999E-2</v>
      </c>
      <c r="N224" s="6">
        <v>11</v>
      </c>
      <c r="O224" s="6">
        <v>36</v>
      </c>
      <c r="P224" s="6">
        <v>47</v>
      </c>
    </row>
    <row r="225" spans="1:16" x14ac:dyDescent="0.25">
      <c r="A225" s="6">
        <v>842</v>
      </c>
      <c r="B225" s="9">
        <v>40581</v>
      </c>
      <c r="C225" s="6">
        <v>1</v>
      </c>
      <c r="D225" s="6">
        <v>0</v>
      </c>
      <c r="E225" s="6">
        <v>2</v>
      </c>
      <c r="F225" s="6">
        <v>12</v>
      </c>
      <c r="G225" s="6" t="b">
        <v>0</v>
      </c>
      <c r="H225" s="6">
        <v>1</v>
      </c>
      <c r="I225" s="6">
        <v>2</v>
      </c>
      <c r="J225" s="6">
        <v>0.32</v>
      </c>
      <c r="K225" s="6">
        <v>0.34849999999999998</v>
      </c>
      <c r="L225" s="6">
        <v>0.62</v>
      </c>
      <c r="M225" s="6">
        <v>0</v>
      </c>
      <c r="N225" s="6">
        <v>7</v>
      </c>
      <c r="O225" s="6">
        <v>59</v>
      </c>
      <c r="P225" s="6">
        <v>66</v>
      </c>
    </row>
    <row r="226" spans="1:16" x14ac:dyDescent="0.25">
      <c r="A226" s="6">
        <v>843</v>
      </c>
      <c r="B226" s="9">
        <v>40581</v>
      </c>
      <c r="C226" s="6">
        <v>1</v>
      </c>
      <c r="D226" s="6">
        <v>0</v>
      </c>
      <c r="E226" s="6">
        <v>2</v>
      </c>
      <c r="F226" s="6">
        <v>13</v>
      </c>
      <c r="G226" s="6" t="b">
        <v>0</v>
      </c>
      <c r="H226" s="6">
        <v>1</v>
      </c>
      <c r="I226" s="6">
        <v>2</v>
      </c>
      <c r="J226" s="6">
        <v>0.36</v>
      </c>
      <c r="K226" s="6">
        <v>0.36359999999999998</v>
      </c>
      <c r="L226" s="6">
        <v>0.56999999999999995</v>
      </c>
      <c r="M226" s="6">
        <v>8.9599999999999999E-2</v>
      </c>
      <c r="N226" s="6">
        <v>10</v>
      </c>
      <c r="O226" s="6">
        <v>54</v>
      </c>
      <c r="P226" s="6">
        <v>64</v>
      </c>
    </row>
    <row r="227" spans="1:16" x14ac:dyDescent="0.25">
      <c r="A227" s="6">
        <v>844</v>
      </c>
      <c r="B227" s="9">
        <v>40581</v>
      </c>
      <c r="C227" s="6">
        <v>1</v>
      </c>
      <c r="D227" s="6">
        <v>0</v>
      </c>
      <c r="E227" s="6">
        <v>2</v>
      </c>
      <c r="F227" s="6">
        <v>14</v>
      </c>
      <c r="G227" s="6" t="b">
        <v>0</v>
      </c>
      <c r="H227" s="6">
        <v>1</v>
      </c>
      <c r="I227" s="6">
        <v>2</v>
      </c>
      <c r="J227" s="6">
        <v>0.36</v>
      </c>
      <c r="K227" s="6">
        <v>0.36359999999999998</v>
      </c>
      <c r="L227" s="6">
        <v>0.56999999999999995</v>
      </c>
      <c r="M227" s="6">
        <v>8.9599999999999999E-2</v>
      </c>
      <c r="N227" s="6">
        <v>8</v>
      </c>
      <c r="O227" s="6">
        <v>52</v>
      </c>
      <c r="P227" s="6">
        <v>60</v>
      </c>
    </row>
    <row r="228" spans="1:16" x14ac:dyDescent="0.25">
      <c r="A228" s="6">
        <v>845</v>
      </c>
      <c r="B228" s="9">
        <v>40581</v>
      </c>
      <c r="C228" s="6">
        <v>1</v>
      </c>
      <c r="D228" s="6">
        <v>0</v>
      </c>
      <c r="E228" s="6">
        <v>2</v>
      </c>
      <c r="F228" s="6">
        <v>15</v>
      </c>
      <c r="G228" s="6" t="b">
        <v>0</v>
      </c>
      <c r="H228" s="6">
        <v>1</v>
      </c>
      <c r="I228" s="6">
        <v>2</v>
      </c>
      <c r="J228" s="6">
        <v>0.38</v>
      </c>
      <c r="K228" s="6">
        <v>0.39389999999999997</v>
      </c>
      <c r="L228" s="6">
        <v>0.54</v>
      </c>
      <c r="M228" s="6">
        <v>8.9599999999999999E-2</v>
      </c>
      <c r="N228" s="6">
        <v>4</v>
      </c>
      <c r="O228" s="6">
        <v>46</v>
      </c>
      <c r="P228" s="6">
        <v>50</v>
      </c>
    </row>
    <row r="229" spans="1:16" x14ac:dyDescent="0.25">
      <c r="A229" s="6">
        <v>846</v>
      </c>
      <c r="B229" s="9">
        <v>40581</v>
      </c>
      <c r="C229" s="6">
        <v>1</v>
      </c>
      <c r="D229" s="6">
        <v>0</v>
      </c>
      <c r="E229" s="6">
        <v>2</v>
      </c>
      <c r="F229" s="6">
        <v>16</v>
      </c>
      <c r="G229" s="6" t="b">
        <v>0</v>
      </c>
      <c r="H229" s="6">
        <v>1</v>
      </c>
      <c r="I229" s="6">
        <v>2</v>
      </c>
      <c r="J229" s="6">
        <v>0.36</v>
      </c>
      <c r="K229" s="6">
        <v>0.34849999999999998</v>
      </c>
      <c r="L229" s="6">
        <v>0.56999999999999995</v>
      </c>
      <c r="M229" s="6">
        <v>0.1343</v>
      </c>
      <c r="N229" s="6">
        <v>16</v>
      </c>
      <c r="O229" s="6">
        <v>98</v>
      </c>
      <c r="P229" s="6">
        <v>114</v>
      </c>
    </row>
    <row r="230" spans="1:16" x14ac:dyDescent="0.25">
      <c r="A230" s="6">
        <v>847</v>
      </c>
      <c r="B230" s="9">
        <v>40581</v>
      </c>
      <c r="C230" s="6">
        <v>1</v>
      </c>
      <c r="D230" s="6">
        <v>0</v>
      </c>
      <c r="E230" s="6">
        <v>2</v>
      </c>
      <c r="F230" s="6">
        <v>17</v>
      </c>
      <c r="G230" s="6" t="b">
        <v>0</v>
      </c>
      <c r="H230" s="6">
        <v>1</v>
      </c>
      <c r="I230" s="6">
        <v>2</v>
      </c>
      <c r="J230" s="6">
        <v>0.32</v>
      </c>
      <c r="K230" s="6">
        <v>0.31819999999999998</v>
      </c>
      <c r="L230" s="6">
        <v>0.7</v>
      </c>
      <c r="M230" s="6">
        <v>0.16420000000000001</v>
      </c>
      <c r="N230" s="6">
        <v>9</v>
      </c>
      <c r="O230" s="6">
        <v>207</v>
      </c>
      <c r="P230" s="6">
        <v>216</v>
      </c>
    </row>
    <row r="231" spans="1:16" x14ac:dyDescent="0.25">
      <c r="A231" s="6">
        <v>848</v>
      </c>
      <c r="B231" s="9">
        <v>40581</v>
      </c>
      <c r="C231" s="6">
        <v>1</v>
      </c>
      <c r="D231" s="6">
        <v>0</v>
      </c>
      <c r="E231" s="6">
        <v>2</v>
      </c>
      <c r="F231" s="6">
        <v>18</v>
      </c>
      <c r="G231" s="6" t="b">
        <v>0</v>
      </c>
      <c r="H231" s="6">
        <v>1</v>
      </c>
      <c r="I231" s="6">
        <v>2</v>
      </c>
      <c r="J231" s="6">
        <v>0.34</v>
      </c>
      <c r="K231" s="6">
        <v>0.33329999999999999</v>
      </c>
      <c r="L231" s="6">
        <v>0.66</v>
      </c>
      <c r="M231" s="6">
        <v>0.1343</v>
      </c>
      <c r="N231" s="6">
        <v>5</v>
      </c>
      <c r="O231" s="6">
        <v>170</v>
      </c>
      <c r="P231" s="6">
        <v>175</v>
      </c>
    </row>
    <row r="232" spans="1:16" x14ac:dyDescent="0.25">
      <c r="A232" s="6">
        <v>849</v>
      </c>
      <c r="B232" s="9">
        <v>40581</v>
      </c>
      <c r="C232" s="6">
        <v>1</v>
      </c>
      <c r="D232" s="6">
        <v>0</v>
      </c>
      <c r="E232" s="6">
        <v>2</v>
      </c>
      <c r="F232" s="6">
        <v>19</v>
      </c>
      <c r="G232" s="6" t="b">
        <v>0</v>
      </c>
      <c r="H232" s="6">
        <v>1</v>
      </c>
      <c r="I232" s="6">
        <v>2</v>
      </c>
      <c r="J232" s="6">
        <v>0.32</v>
      </c>
      <c r="K232" s="6">
        <v>0.34849999999999998</v>
      </c>
      <c r="L232" s="6">
        <v>0.7</v>
      </c>
      <c r="M232" s="6">
        <v>0</v>
      </c>
      <c r="N232" s="6">
        <v>5</v>
      </c>
      <c r="O232" s="6">
        <v>123</v>
      </c>
      <c r="P232" s="6">
        <v>128</v>
      </c>
    </row>
    <row r="233" spans="1:16" x14ac:dyDescent="0.25">
      <c r="A233" s="6">
        <v>850</v>
      </c>
      <c r="B233" s="9">
        <v>40581</v>
      </c>
      <c r="C233" s="6">
        <v>1</v>
      </c>
      <c r="D233" s="6">
        <v>0</v>
      </c>
      <c r="E233" s="6">
        <v>2</v>
      </c>
      <c r="F233" s="6">
        <v>20</v>
      </c>
      <c r="G233" s="6" t="b">
        <v>0</v>
      </c>
      <c r="H233" s="6">
        <v>1</v>
      </c>
      <c r="I233" s="6">
        <v>2</v>
      </c>
      <c r="J233" s="6">
        <v>0.32</v>
      </c>
      <c r="K233" s="6">
        <v>0.33329999999999999</v>
      </c>
      <c r="L233" s="6">
        <v>0.7</v>
      </c>
      <c r="M233" s="6">
        <v>0.1045</v>
      </c>
      <c r="N233" s="6">
        <v>6</v>
      </c>
      <c r="O233" s="6">
        <v>82</v>
      </c>
      <c r="P233" s="6">
        <v>88</v>
      </c>
    </row>
    <row r="234" spans="1:16" x14ac:dyDescent="0.25">
      <c r="A234" s="6">
        <v>851</v>
      </c>
      <c r="B234" s="9">
        <v>40581</v>
      </c>
      <c r="C234" s="6">
        <v>1</v>
      </c>
      <c r="D234" s="6">
        <v>0</v>
      </c>
      <c r="E234" s="6">
        <v>2</v>
      </c>
      <c r="F234" s="6">
        <v>21</v>
      </c>
      <c r="G234" s="6" t="b">
        <v>0</v>
      </c>
      <c r="H234" s="6">
        <v>1</v>
      </c>
      <c r="I234" s="6">
        <v>1</v>
      </c>
      <c r="J234" s="6">
        <v>0.32</v>
      </c>
      <c r="K234" s="6">
        <v>0.34849999999999998</v>
      </c>
      <c r="L234" s="6">
        <v>0.7</v>
      </c>
      <c r="M234" s="6">
        <v>0</v>
      </c>
      <c r="N234" s="6">
        <v>3</v>
      </c>
      <c r="O234" s="6">
        <v>75</v>
      </c>
      <c r="P234" s="6">
        <v>78</v>
      </c>
    </row>
    <row r="235" spans="1:16" x14ac:dyDescent="0.25">
      <c r="A235" s="6">
        <v>852</v>
      </c>
      <c r="B235" s="9">
        <v>40581</v>
      </c>
      <c r="C235" s="6">
        <v>1</v>
      </c>
      <c r="D235" s="6">
        <v>0</v>
      </c>
      <c r="E235" s="6">
        <v>2</v>
      </c>
      <c r="F235" s="6">
        <v>22</v>
      </c>
      <c r="G235" s="6" t="b">
        <v>0</v>
      </c>
      <c r="H235" s="6">
        <v>1</v>
      </c>
      <c r="I235" s="6">
        <v>1</v>
      </c>
      <c r="J235" s="6">
        <v>0.28000000000000003</v>
      </c>
      <c r="K235" s="6">
        <v>0.30299999999999999</v>
      </c>
      <c r="L235" s="6">
        <v>0.81</v>
      </c>
      <c r="M235" s="6">
        <v>8.9599999999999999E-2</v>
      </c>
      <c r="N235" s="6">
        <v>3</v>
      </c>
      <c r="O235" s="6">
        <v>34</v>
      </c>
      <c r="P235" s="6">
        <v>37</v>
      </c>
    </row>
    <row r="236" spans="1:16" x14ac:dyDescent="0.25">
      <c r="A236" s="6">
        <v>853</v>
      </c>
      <c r="B236" s="9">
        <v>40581</v>
      </c>
      <c r="C236" s="6">
        <v>1</v>
      </c>
      <c r="D236" s="6">
        <v>0</v>
      </c>
      <c r="E236" s="6">
        <v>2</v>
      </c>
      <c r="F236" s="6">
        <v>23</v>
      </c>
      <c r="G236" s="6" t="b">
        <v>0</v>
      </c>
      <c r="H236" s="6">
        <v>1</v>
      </c>
      <c r="I236" s="6">
        <v>2</v>
      </c>
      <c r="J236" s="6">
        <v>0.3</v>
      </c>
      <c r="K236" s="6">
        <v>0.33329999999999999</v>
      </c>
      <c r="L236" s="6">
        <v>0.81</v>
      </c>
      <c r="M236" s="6">
        <v>0</v>
      </c>
      <c r="N236" s="6">
        <v>6</v>
      </c>
      <c r="O236" s="6">
        <v>19</v>
      </c>
      <c r="P236" s="6">
        <v>25</v>
      </c>
    </row>
    <row r="237" spans="1:16" x14ac:dyDescent="0.25">
      <c r="A237" s="6">
        <v>854</v>
      </c>
      <c r="B237" s="9">
        <v>40582</v>
      </c>
      <c r="C237" s="6">
        <v>1</v>
      </c>
      <c r="D237" s="6">
        <v>0</v>
      </c>
      <c r="E237" s="6">
        <v>2</v>
      </c>
      <c r="F237" s="6">
        <v>0</v>
      </c>
      <c r="G237" s="6" t="b">
        <v>0</v>
      </c>
      <c r="H237" s="6">
        <v>2</v>
      </c>
      <c r="I237" s="6">
        <v>2</v>
      </c>
      <c r="J237" s="6">
        <v>0.28000000000000003</v>
      </c>
      <c r="K237" s="6">
        <v>0.31819999999999998</v>
      </c>
      <c r="L237" s="6">
        <v>0.87</v>
      </c>
      <c r="M237" s="6">
        <v>0</v>
      </c>
      <c r="N237" s="6">
        <v>4</v>
      </c>
      <c r="O237" s="6">
        <v>6</v>
      </c>
      <c r="P237" s="6">
        <v>10</v>
      </c>
    </row>
    <row r="238" spans="1:16" x14ac:dyDescent="0.25">
      <c r="A238" s="6">
        <v>855</v>
      </c>
      <c r="B238" s="9">
        <v>40582</v>
      </c>
      <c r="C238" s="6">
        <v>1</v>
      </c>
      <c r="D238" s="6">
        <v>0</v>
      </c>
      <c r="E238" s="6">
        <v>2</v>
      </c>
      <c r="F238" s="6">
        <v>1</v>
      </c>
      <c r="G238" s="6" t="b">
        <v>0</v>
      </c>
      <c r="H238" s="6">
        <v>2</v>
      </c>
      <c r="I238" s="6">
        <v>2</v>
      </c>
      <c r="J238" s="6">
        <v>0.28000000000000003</v>
      </c>
      <c r="K238" s="6">
        <v>0.31819999999999998</v>
      </c>
      <c r="L238" s="6">
        <v>0.87</v>
      </c>
      <c r="M238" s="6">
        <v>0</v>
      </c>
      <c r="N238" s="6">
        <v>0</v>
      </c>
      <c r="O238" s="6">
        <v>4</v>
      </c>
      <c r="P238" s="6">
        <v>4</v>
      </c>
    </row>
    <row r="239" spans="1:16" x14ac:dyDescent="0.25">
      <c r="A239" s="6">
        <v>856</v>
      </c>
      <c r="B239" s="9">
        <v>40582</v>
      </c>
      <c r="C239" s="6">
        <v>1</v>
      </c>
      <c r="D239" s="6">
        <v>0</v>
      </c>
      <c r="E239" s="6">
        <v>2</v>
      </c>
      <c r="F239" s="6">
        <v>2</v>
      </c>
      <c r="G239" s="6" t="b">
        <v>0</v>
      </c>
      <c r="H239" s="6">
        <v>2</v>
      </c>
      <c r="I239" s="6">
        <v>2</v>
      </c>
      <c r="J239" s="6">
        <v>0.26</v>
      </c>
      <c r="K239" s="6">
        <v>0.2727</v>
      </c>
      <c r="L239" s="6">
        <v>0.93</v>
      </c>
      <c r="M239" s="6">
        <v>0.1045</v>
      </c>
      <c r="N239" s="6">
        <v>1</v>
      </c>
      <c r="O239" s="6">
        <v>1</v>
      </c>
      <c r="P239" s="6">
        <v>2</v>
      </c>
    </row>
    <row r="240" spans="1:16" x14ac:dyDescent="0.25">
      <c r="A240" s="6">
        <v>857</v>
      </c>
      <c r="B240" s="9">
        <v>40582</v>
      </c>
      <c r="C240" s="6">
        <v>1</v>
      </c>
      <c r="D240" s="6">
        <v>0</v>
      </c>
      <c r="E240" s="6">
        <v>2</v>
      </c>
      <c r="F240" s="6">
        <v>3</v>
      </c>
      <c r="G240" s="6" t="b">
        <v>0</v>
      </c>
      <c r="H240" s="6">
        <v>2</v>
      </c>
      <c r="I240" s="6">
        <v>3</v>
      </c>
      <c r="J240" s="6">
        <v>0.28000000000000003</v>
      </c>
      <c r="K240" s="6">
        <v>0.2727</v>
      </c>
      <c r="L240" s="6">
        <v>0.93</v>
      </c>
      <c r="M240" s="6">
        <v>0.16420000000000001</v>
      </c>
      <c r="N240" s="6">
        <v>0</v>
      </c>
      <c r="O240" s="6">
        <v>1</v>
      </c>
      <c r="P240" s="6">
        <v>1</v>
      </c>
    </row>
    <row r="241" spans="1:16" x14ac:dyDescent="0.25">
      <c r="A241" s="6">
        <v>858</v>
      </c>
      <c r="B241" s="9">
        <v>40582</v>
      </c>
      <c r="C241" s="6">
        <v>1</v>
      </c>
      <c r="D241" s="6">
        <v>0</v>
      </c>
      <c r="E241" s="6">
        <v>2</v>
      </c>
      <c r="F241" s="6">
        <v>4</v>
      </c>
      <c r="G241" s="6" t="b">
        <v>0</v>
      </c>
      <c r="H241" s="6">
        <v>2</v>
      </c>
      <c r="I241" s="6">
        <v>1</v>
      </c>
      <c r="J241" s="6">
        <v>0.26</v>
      </c>
      <c r="K241" s="6">
        <v>0.2576</v>
      </c>
      <c r="L241" s="6">
        <v>0.93</v>
      </c>
      <c r="M241" s="6">
        <v>0.16420000000000001</v>
      </c>
      <c r="N241" s="6">
        <v>0</v>
      </c>
      <c r="O241" s="6">
        <v>3</v>
      </c>
      <c r="P241" s="6">
        <v>3</v>
      </c>
    </row>
    <row r="242" spans="1:16" x14ac:dyDescent="0.25">
      <c r="A242" s="6">
        <v>859</v>
      </c>
      <c r="B242" s="9">
        <v>40582</v>
      </c>
      <c r="C242" s="6">
        <v>1</v>
      </c>
      <c r="D242" s="6">
        <v>0</v>
      </c>
      <c r="E242" s="6">
        <v>2</v>
      </c>
      <c r="F242" s="6">
        <v>5</v>
      </c>
      <c r="G242" s="6" t="b">
        <v>0</v>
      </c>
      <c r="H242" s="6">
        <v>2</v>
      </c>
      <c r="I242" s="6">
        <v>1</v>
      </c>
      <c r="J242" s="6">
        <v>0.26</v>
      </c>
      <c r="K242" s="6">
        <v>0.2273</v>
      </c>
      <c r="L242" s="6">
        <v>0.81</v>
      </c>
      <c r="M242" s="6">
        <v>0.32840000000000003</v>
      </c>
      <c r="N242" s="6">
        <v>0</v>
      </c>
      <c r="O242" s="6">
        <v>2</v>
      </c>
      <c r="P242" s="6">
        <v>2</v>
      </c>
    </row>
    <row r="243" spans="1:16" x14ac:dyDescent="0.25">
      <c r="A243" s="6">
        <v>860</v>
      </c>
      <c r="B243" s="9">
        <v>40582</v>
      </c>
      <c r="C243" s="6">
        <v>1</v>
      </c>
      <c r="D243" s="6">
        <v>0</v>
      </c>
      <c r="E243" s="6">
        <v>2</v>
      </c>
      <c r="F243" s="6">
        <v>6</v>
      </c>
      <c r="G243" s="6" t="b">
        <v>0</v>
      </c>
      <c r="H243" s="6">
        <v>2</v>
      </c>
      <c r="I243" s="6">
        <v>1</v>
      </c>
      <c r="J243" s="6">
        <v>0.26</v>
      </c>
      <c r="K243" s="6">
        <v>0.2273</v>
      </c>
      <c r="L243" s="6">
        <v>0.7</v>
      </c>
      <c r="M243" s="6">
        <v>0.32840000000000003</v>
      </c>
      <c r="N243" s="6">
        <v>0</v>
      </c>
      <c r="O243" s="6">
        <v>39</v>
      </c>
      <c r="P243" s="6">
        <v>39</v>
      </c>
    </row>
    <row r="244" spans="1:16" x14ac:dyDescent="0.25">
      <c r="A244" s="6">
        <v>861</v>
      </c>
      <c r="B244" s="9">
        <v>40582</v>
      </c>
      <c r="C244" s="6">
        <v>1</v>
      </c>
      <c r="D244" s="6">
        <v>0</v>
      </c>
      <c r="E244" s="6">
        <v>2</v>
      </c>
      <c r="F244" s="6">
        <v>7</v>
      </c>
      <c r="G244" s="6" t="b">
        <v>0</v>
      </c>
      <c r="H244" s="6">
        <v>2</v>
      </c>
      <c r="I244" s="6">
        <v>1</v>
      </c>
      <c r="J244" s="6">
        <v>0.24</v>
      </c>
      <c r="K244" s="6">
        <v>0.19700000000000001</v>
      </c>
      <c r="L244" s="6">
        <v>0.65</v>
      </c>
      <c r="M244" s="6">
        <v>0.41789999999999999</v>
      </c>
      <c r="N244" s="6">
        <v>3</v>
      </c>
      <c r="O244" s="6">
        <v>97</v>
      </c>
      <c r="P244" s="6">
        <v>100</v>
      </c>
    </row>
    <row r="245" spans="1:16" x14ac:dyDescent="0.25">
      <c r="A245" s="6">
        <v>862</v>
      </c>
      <c r="B245" s="9">
        <v>40582</v>
      </c>
      <c r="C245" s="6">
        <v>1</v>
      </c>
      <c r="D245" s="6">
        <v>0</v>
      </c>
      <c r="E245" s="6">
        <v>2</v>
      </c>
      <c r="F245" s="6">
        <v>8</v>
      </c>
      <c r="G245" s="6" t="b">
        <v>0</v>
      </c>
      <c r="H245" s="6">
        <v>2</v>
      </c>
      <c r="I245" s="6">
        <v>1</v>
      </c>
      <c r="J245" s="6">
        <v>0.24</v>
      </c>
      <c r="K245" s="6">
        <v>0.19700000000000001</v>
      </c>
      <c r="L245" s="6">
        <v>0.56000000000000005</v>
      </c>
      <c r="M245" s="6">
        <v>0.49249999999999999</v>
      </c>
      <c r="N245" s="6">
        <v>7</v>
      </c>
      <c r="O245" s="6">
        <v>236</v>
      </c>
      <c r="P245" s="6">
        <v>243</v>
      </c>
    </row>
    <row r="246" spans="1:16" x14ac:dyDescent="0.25">
      <c r="A246" s="6">
        <v>863</v>
      </c>
      <c r="B246" s="9">
        <v>40582</v>
      </c>
      <c r="C246" s="6">
        <v>1</v>
      </c>
      <c r="D246" s="6">
        <v>0</v>
      </c>
      <c r="E246" s="6">
        <v>2</v>
      </c>
      <c r="F246" s="6">
        <v>9</v>
      </c>
      <c r="G246" s="6" t="b">
        <v>0</v>
      </c>
      <c r="H246" s="6">
        <v>2</v>
      </c>
      <c r="I246" s="6">
        <v>1</v>
      </c>
      <c r="J246" s="6">
        <v>0.24</v>
      </c>
      <c r="K246" s="6">
        <v>0.19700000000000001</v>
      </c>
      <c r="L246" s="6">
        <v>0.52</v>
      </c>
      <c r="M246" s="6">
        <v>0.49249999999999999</v>
      </c>
      <c r="N246" s="6">
        <v>7</v>
      </c>
      <c r="O246" s="6">
        <v>128</v>
      </c>
      <c r="P246" s="6">
        <v>135</v>
      </c>
    </row>
    <row r="247" spans="1:16" x14ac:dyDescent="0.25">
      <c r="A247" s="6">
        <v>864</v>
      </c>
      <c r="B247" s="9">
        <v>40582</v>
      </c>
      <c r="C247" s="6">
        <v>1</v>
      </c>
      <c r="D247" s="6">
        <v>0</v>
      </c>
      <c r="E247" s="6">
        <v>2</v>
      </c>
      <c r="F247" s="6">
        <v>10</v>
      </c>
      <c r="G247" s="6" t="b">
        <v>0</v>
      </c>
      <c r="H247" s="6">
        <v>2</v>
      </c>
      <c r="I247" s="6">
        <v>1</v>
      </c>
      <c r="J247" s="6">
        <v>0.22</v>
      </c>
      <c r="K247" s="6">
        <v>0.18179999999999999</v>
      </c>
      <c r="L247" s="6">
        <v>0.47</v>
      </c>
      <c r="M247" s="6">
        <v>0.55220000000000002</v>
      </c>
      <c r="N247" s="6">
        <v>4</v>
      </c>
      <c r="O247" s="6">
        <v>44</v>
      </c>
      <c r="P247" s="6">
        <v>48</v>
      </c>
    </row>
    <row r="248" spans="1:16" x14ac:dyDescent="0.25">
      <c r="A248" s="6">
        <v>865</v>
      </c>
      <c r="B248" s="9">
        <v>40582</v>
      </c>
      <c r="C248" s="6">
        <v>1</v>
      </c>
      <c r="D248" s="6">
        <v>0</v>
      </c>
      <c r="E248" s="6">
        <v>2</v>
      </c>
      <c r="F248" s="6">
        <v>11</v>
      </c>
      <c r="G248" s="6" t="b">
        <v>0</v>
      </c>
      <c r="H248" s="6">
        <v>2</v>
      </c>
      <c r="I248" s="6">
        <v>1</v>
      </c>
      <c r="J248" s="6">
        <v>0.22</v>
      </c>
      <c r="K248" s="6">
        <v>0.18179999999999999</v>
      </c>
      <c r="L248" s="6">
        <v>0.47</v>
      </c>
      <c r="M248" s="6">
        <v>0.4627</v>
      </c>
      <c r="N248" s="6">
        <v>1</v>
      </c>
      <c r="O248" s="6">
        <v>49</v>
      </c>
      <c r="P248" s="6">
        <v>50</v>
      </c>
    </row>
    <row r="249" spans="1:16" x14ac:dyDescent="0.25">
      <c r="A249" s="6">
        <v>866</v>
      </c>
      <c r="B249" s="9">
        <v>40582</v>
      </c>
      <c r="C249" s="6">
        <v>1</v>
      </c>
      <c r="D249" s="6">
        <v>0</v>
      </c>
      <c r="E249" s="6">
        <v>2</v>
      </c>
      <c r="F249" s="6">
        <v>12</v>
      </c>
      <c r="G249" s="6" t="b">
        <v>0</v>
      </c>
      <c r="H249" s="6">
        <v>2</v>
      </c>
      <c r="I249" s="6">
        <v>1</v>
      </c>
      <c r="J249" s="6">
        <v>0.24</v>
      </c>
      <c r="K249" s="6">
        <v>0.19700000000000001</v>
      </c>
      <c r="L249" s="6">
        <v>0.38</v>
      </c>
      <c r="M249" s="6">
        <v>0.49249999999999999</v>
      </c>
      <c r="N249" s="6">
        <v>2</v>
      </c>
      <c r="O249" s="6">
        <v>63</v>
      </c>
      <c r="P249" s="6">
        <v>65</v>
      </c>
    </row>
    <row r="250" spans="1:16" x14ac:dyDescent="0.25">
      <c r="A250" s="6">
        <v>867</v>
      </c>
      <c r="B250" s="9">
        <v>40582</v>
      </c>
      <c r="C250" s="6">
        <v>1</v>
      </c>
      <c r="D250" s="6">
        <v>0</v>
      </c>
      <c r="E250" s="6">
        <v>2</v>
      </c>
      <c r="F250" s="6">
        <v>13</v>
      </c>
      <c r="G250" s="6" t="b">
        <v>0</v>
      </c>
      <c r="H250" s="6">
        <v>2</v>
      </c>
      <c r="I250" s="6">
        <v>2</v>
      </c>
      <c r="J250" s="6">
        <v>0.24</v>
      </c>
      <c r="K250" s="6">
        <v>0.19700000000000001</v>
      </c>
      <c r="L250" s="6">
        <v>0.32</v>
      </c>
      <c r="M250" s="6">
        <v>0.44779999999999998</v>
      </c>
      <c r="N250" s="6">
        <v>2</v>
      </c>
      <c r="O250" s="6">
        <v>48</v>
      </c>
      <c r="P250" s="6">
        <v>50</v>
      </c>
    </row>
    <row r="251" spans="1:16" x14ac:dyDescent="0.25">
      <c r="A251" s="6">
        <v>868</v>
      </c>
      <c r="B251" s="9">
        <v>40582</v>
      </c>
      <c r="C251" s="6">
        <v>1</v>
      </c>
      <c r="D251" s="6">
        <v>0</v>
      </c>
      <c r="E251" s="6">
        <v>2</v>
      </c>
      <c r="F251" s="6">
        <v>14</v>
      </c>
      <c r="G251" s="6" t="b">
        <v>0</v>
      </c>
      <c r="H251" s="6">
        <v>2</v>
      </c>
      <c r="I251" s="6">
        <v>1</v>
      </c>
      <c r="J251" s="6">
        <v>0.22</v>
      </c>
      <c r="K251" s="6">
        <v>0.19700000000000001</v>
      </c>
      <c r="L251" s="6">
        <v>0.37</v>
      </c>
      <c r="M251" s="6">
        <v>0.41789999999999999</v>
      </c>
      <c r="N251" s="6">
        <v>3</v>
      </c>
      <c r="O251" s="6">
        <v>61</v>
      </c>
      <c r="P251" s="6">
        <v>64</v>
      </c>
    </row>
    <row r="252" spans="1:16" x14ac:dyDescent="0.25">
      <c r="A252" s="6">
        <v>869</v>
      </c>
      <c r="B252" s="9">
        <v>40582</v>
      </c>
      <c r="C252" s="6">
        <v>1</v>
      </c>
      <c r="D252" s="6">
        <v>0</v>
      </c>
      <c r="E252" s="6">
        <v>2</v>
      </c>
      <c r="F252" s="6">
        <v>15</v>
      </c>
      <c r="G252" s="6" t="b">
        <v>0</v>
      </c>
      <c r="H252" s="6">
        <v>2</v>
      </c>
      <c r="I252" s="6">
        <v>1</v>
      </c>
      <c r="J252" s="6">
        <v>0.22</v>
      </c>
      <c r="K252" s="6">
        <v>0.19700000000000001</v>
      </c>
      <c r="L252" s="6">
        <v>0.35</v>
      </c>
      <c r="M252" s="6">
        <v>0.3881</v>
      </c>
      <c r="N252" s="6">
        <v>6</v>
      </c>
      <c r="O252" s="6">
        <v>45</v>
      </c>
      <c r="P252" s="6">
        <v>51</v>
      </c>
    </row>
    <row r="253" spans="1:16" x14ac:dyDescent="0.25">
      <c r="A253" s="6">
        <v>870</v>
      </c>
      <c r="B253" s="9">
        <v>40582</v>
      </c>
      <c r="C253" s="6">
        <v>1</v>
      </c>
      <c r="D253" s="6">
        <v>0</v>
      </c>
      <c r="E253" s="6">
        <v>2</v>
      </c>
      <c r="F253" s="6">
        <v>16</v>
      </c>
      <c r="G253" s="6" t="b">
        <v>0</v>
      </c>
      <c r="H253" s="6">
        <v>2</v>
      </c>
      <c r="I253" s="6">
        <v>1</v>
      </c>
      <c r="J253" s="6">
        <v>0.22</v>
      </c>
      <c r="K253" s="6">
        <v>0.18179999999999999</v>
      </c>
      <c r="L253" s="6">
        <v>0.35</v>
      </c>
      <c r="M253" s="6">
        <v>0.52239999999999998</v>
      </c>
      <c r="N253" s="6">
        <v>4</v>
      </c>
      <c r="O253" s="6">
        <v>79</v>
      </c>
      <c r="P253" s="6">
        <v>83</v>
      </c>
    </row>
    <row r="254" spans="1:16" x14ac:dyDescent="0.25">
      <c r="A254" s="6">
        <v>871</v>
      </c>
      <c r="B254" s="9">
        <v>40582</v>
      </c>
      <c r="C254" s="6">
        <v>1</v>
      </c>
      <c r="D254" s="6">
        <v>0</v>
      </c>
      <c r="E254" s="6">
        <v>2</v>
      </c>
      <c r="F254" s="6">
        <v>17</v>
      </c>
      <c r="G254" s="6" t="b">
        <v>0</v>
      </c>
      <c r="H254" s="6">
        <v>2</v>
      </c>
      <c r="I254" s="6">
        <v>1</v>
      </c>
      <c r="J254" s="6">
        <v>0.22</v>
      </c>
      <c r="K254" s="6">
        <v>0.18179999999999999</v>
      </c>
      <c r="L254" s="6">
        <v>0.32</v>
      </c>
      <c r="M254" s="6">
        <v>0.58209999999999995</v>
      </c>
      <c r="N254" s="6">
        <v>4</v>
      </c>
      <c r="O254" s="6">
        <v>172</v>
      </c>
      <c r="P254" s="6">
        <v>176</v>
      </c>
    </row>
    <row r="255" spans="1:16" x14ac:dyDescent="0.25">
      <c r="A255" s="6">
        <v>872</v>
      </c>
      <c r="B255" s="9">
        <v>40582</v>
      </c>
      <c r="C255" s="6">
        <v>1</v>
      </c>
      <c r="D255" s="6">
        <v>0</v>
      </c>
      <c r="E255" s="6">
        <v>2</v>
      </c>
      <c r="F255" s="6">
        <v>18</v>
      </c>
      <c r="G255" s="6" t="b">
        <v>0</v>
      </c>
      <c r="H255" s="6">
        <v>2</v>
      </c>
      <c r="I255" s="6">
        <v>1</v>
      </c>
      <c r="J255" s="6">
        <v>0.2</v>
      </c>
      <c r="K255" s="6">
        <v>0.18179999999999999</v>
      </c>
      <c r="L255" s="6">
        <v>0.32</v>
      </c>
      <c r="M255" s="6">
        <v>0.3881</v>
      </c>
      <c r="N255" s="6">
        <v>1</v>
      </c>
      <c r="O255" s="6">
        <v>151</v>
      </c>
      <c r="P255" s="6">
        <v>152</v>
      </c>
    </row>
    <row r="256" spans="1:16" x14ac:dyDescent="0.25">
      <c r="A256" s="6">
        <v>873</v>
      </c>
      <c r="B256" s="9">
        <v>40582</v>
      </c>
      <c r="C256" s="6">
        <v>1</v>
      </c>
      <c r="D256" s="6">
        <v>0</v>
      </c>
      <c r="E256" s="6">
        <v>2</v>
      </c>
      <c r="F256" s="6">
        <v>19</v>
      </c>
      <c r="G256" s="6" t="b">
        <v>0</v>
      </c>
      <c r="H256" s="6">
        <v>2</v>
      </c>
      <c r="I256" s="6">
        <v>1</v>
      </c>
      <c r="J256" s="6">
        <v>0.16</v>
      </c>
      <c r="K256" s="6">
        <v>0.1212</v>
      </c>
      <c r="L256" s="6">
        <v>0.4</v>
      </c>
      <c r="M256" s="6">
        <v>0.4627</v>
      </c>
      <c r="N256" s="6">
        <v>1</v>
      </c>
      <c r="O256" s="6">
        <v>100</v>
      </c>
      <c r="P256" s="6">
        <v>101</v>
      </c>
    </row>
    <row r="257" spans="1:16" x14ac:dyDescent="0.25">
      <c r="A257" s="6">
        <v>874</v>
      </c>
      <c r="B257" s="9">
        <v>40582</v>
      </c>
      <c r="C257" s="6">
        <v>1</v>
      </c>
      <c r="D257" s="6">
        <v>0</v>
      </c>
      <c r="E257" s="6">
        <v>2</v>
      </c>
      <c r="F257" s="6">
        <v>20</v>
      </c>
      <c r="G257" s="6" t="b">
        <v>0</v>
      </c>
      <c r="H257" s="6">
        <v>2</v>
      </c>
      <c r="I257" s="6">
        <v>1</v>
      </c>
      <c r="J257" s="6">
        <v>0.16</v>
      </c>
      <c r="K257" s="6">
        <v>0.13639999999999999</v>
      </c>
      <c r="L257" s="6">
        <v>0.4</v>
      </c>
      <c r="M257" s="6">
        <v>0.32840000000000003</v>
      </c>
      <c r="N257" s="6">
        <v>3</v>
      </c>
      <c r="O257" s="6">
        <v>53</v>
      </c>
      <c r="P257" s="6">
        <v>56</v>
      </c>
    </row>
    <row r="258" spans="1:16" x14ac:dyDescent="0.25">
      <c r="A258" s="6">
        <v>875</v>
      </c>
      <c r="B258" s="9">
        <v>40582</v>
      </c>
      <c r="C258" s="6">
        <v>1</v>
      </c>
      <c r="D258" s="6">
        <v>0</v>
      </c>
      <c r="E258" s="6">
        <v>2</v>
      </c>
      <c r="F258" s="6">
        <v>21</v>
      </c>
      <c r="G258" s="6" t="b">
        <v>0</v>
      </c>
      <c r="H258" s="6">
        <v>2</v>
      </c>
      <c r="I258" s="6">
        <v>1</v>
      </c>
      <c r="J258" s="6">
        <v>0.14000000000000001</v>
      </c>
      <c r="K258" s="6">
        <v>0.1061</v>
      </c>
      <c r="L258" s="6">
        <v>0.33</v>
      </c>
      <c r="M258" s="6">
        <v>0.4627</v>
      </c>
      <c r="N258" s="6">
        <v>8</v>
      </c>
      <c r="O258" s="6">
        <v>46</v>
      </c>
      <c r="P258" s="6">
        <v>54</v>
      </c>
    </row>
    <row r="259" spans="1:16" x14ac:dyDescent="0.25">
      <c r="A259" s="6">
        <v>876</v>
      </c>
      <c r="B259" s="9">
        <v>40582</v>
      </c>
      <c r="C259" s="6">
        <v>1</v>
      </c>
      <c r="D259" s="6">
        <v>0</v>
      </c>
      <c r="E259" s="6">
        <v>2</v>
      </c>
      <c r="F259" s="6">
        <v>22</v>
      </c>
      <c r="G259" s="6" t="b">
        <v>0</v>
      </c>
      <c r="H259" s="6">
        <v>2</v>
      </c>
      <c r="I259" s="6">
        <v>1</v>
      </c>
      <c r="J259" s="6">
        <v>0.12</v>
      </c>
      <c r="K259" s="6">
        <v>0.1061</v>
      </c>
      <c r="L259" s="6">
        <v>0.33</v>
      </c>
      <c r="M259" s="6">
        <v>0.35820000000000002</v>
      </c>
      <c r="N259" s="6">
        <v>0</v>
      </c>
      <c r="O259" s="6">
        <v>29</v>
      </c>
      <c r="P259" s="6">
        <v>29</v>
      </c>
    </row>
    <row r="260" spans="1:16" x14ac:dyDescent="0.25">
      <c r="A260" s="6">
        <v>877</v>
      </c>
      <c r="B260" s="9">
        <v>40582</v>
      </c>
      <c r="C260" s="6">
        <v>1</v>
      </c>
      <c r="D260" s="6">
        <v>0</v>
      </c>
      <c r="E260" s="6">
        <v>2</v>
      </c>
      <c r="F260" s="6">
        <v>23</v>
      </c>
      <c r="G260" s="6" t="b">
        <v>0</v>
      </c>
      <c r="H260" s="6">
        <v>2</v>
      </c>
      <c r="I260" s="6">
        <v>1</v>
      </c>
      <c r="J260" s="6">
        <v>0.12</v>
      </c>
      <c r="K260" s="6">
        <v>0.1061</v>
      </c>
      <c r="L260" s="6">
        <v>0.33</v>
      </c>
      <c r="M260" s="6">
        <v>0.32840000000000003</v>
      </c>
      <c r="N260" s="6">
        <v>3</v>
      </c>
      <c r="O260" s="6">
        <v>9</v>
      </c>
      <c r="P260" s="6">
        <v>12</v>
      </c>
    </row>
    <row r="261" spans="1:16" x14ac:dyDescent="0.25">
      <c r="A261" s="6">
        <v>878</v>
      </c>
      <c r="B261" s="9">
        <v>40583</v>
      </c>
      <c r="C261" s="6">
        <v>1</v>
      </c>
      <c r="D261" s="6">
        <v>0</v>
      </c>
      <c r="E261" s="6">
        <v>2</v>
      </c>
      <c r="F261" s="6">
        <v>0</v>
      </c>
      <c r="G261" s="6" t="b">
        <v>0</v>
      </c>
      <c r="H261" s="6">
        <v>3</v>
      </c>
      <c r="I261" s="6">
        <v>1</v>
      </c>
      <c r="J261" s="6">
        <v>0.1</v>
      </c>
      <c r="K261" s="6">
        <v>7.5800000000000006E-2</v>
      </c>
      <c r="L261" s="6">
        <v>0.36</v>
      </c>
      <c r="M261" s="6">
        <v>0.35820000000000002</v>
      </c>
      <c r="N261" s="6">
        <v>0</v>
      </c>
      <c r="O261" s="6">
        <v>17</v>
      </c>
      <c r="P261" s="6">
        <v>17</v>
      </c>
    </row>
    <row r="262" spans="1:16" x14ac:dyDescent="0.25">
      <c r="A262" s="6">
        <v>879</v>
      </c>
      <c r="B262" s="9">
        <v>40583</v>
      </c>
      <c r="C262" s="6">
        <v>1</v>
      </c>
      <c r="D262" s="6">
        <v>0</v>
      </c>
      <c r="E262" s="6">
        <v>2</v>
      </c>
      <c r="F262" s="6">
        <v>1</v>
      </c>
      <c r="G262" s="6" t="b">
        <v>0</v>
      </c>
      <c r="H262" s="6">
        <v>3</v>
      </c>
      <c r="I262" s="6">
        <v>1</v>
      </c>
      <c r="J262" s="6">
        <v>0.1</v>
      </c>
      <c r="K262" s="6">
        <v>0.1061</v>
      </c>
      <c r="L262" s="6">
        <v>0.36</v>
      </c>
      <c r="M262" s="6">
        <v>0.22389999999999999</v>
      </c>
      <c r="N262" s="6">
        <v>0</v>
      </c>
      <c r="O262" s="6">
        <v>7</v>
      </c>
      <c r="P262" s="6">
        <v>7</v>
      </c>
    </row>
    <row r="263" spans="1:16" x14ac:dyDescent="0.25">
      <c r="A263" s="6">
        <v>880</v>
      </c>
      <c r="B263" s="9">
        <v>40583</v>
      </c>
      <c r="C263" s="6">
        <v>1</v>
      </c>
      <c r="D263" s="6">
        <v>0</v>
      </c>
      <c r="E263" s="6">
        <v>2</v>
      </c>
      <c r="F263" s="6">
        <v>2</v>
      </c>
      <c r="G263" s="6" t="b">
        <v>0</v>
      </c>
      <c r="H263" s="6">
        <v>3</v>
      </c>
      <c r="I263" s="6">
        <v>1</v>
      </c>
      <c r="J263" s="6">
        <v>0.08</v>
      </c>
      <c r="K263" s="6">
        <v>7.5800000000000006E-2</v>
      </c>
      <c r="L263" s="6">
        <v>0.38</v>
      </c>
      <c r="M263" s="6">
        <v>0.28360000000000002</v>
      </c>
      <c r="N263" s="6">
        <v>1</v>
      </c>
      <c r="O263" s="6">
        <v>2</v>
      </c>
      <c r="P263" s="6">
        <v>3</v>
      </c>
    </row>
    <row r="264" spans="1:16" x14ac:dyDescent="0.25">
      <c r="A264" s="6">
        <v>881</v>
      </c>
      <c r="B264" s="9">
        <v>40583</v>
      </c>
      <c r="C264" s="6">
        <v>1</v>
      </c>
      <c r="D264" s="6">
        <v>0</v>
      </c>
      <c r="E264" s="6">
        <v>2</v>
      </c>
      <c r="F264" s="6">
        <v>3</v>
      </c>
      <c r="G264" s="6" t="b">
        <v>0</v>
      </c>
      <c r="H264" s="6">
        <v>3</v>
      </c>
      <c r="I264" s="6">
        <v>1</v>
      </c>
      <c r="J264" s="6">
        <v>0.06</v>
      </c>
      <c r="K264" s="6">
        <v>7.5800000000000006E-2</v>
      </c>
      <c r="L264" s="6">
        <v>0.45</v>
      </c>
      <c r="M264" s="6">
        <v>0.1343</v>
      </c>
      <c r="N264" s="6">
        <v>0</v>
      </c>
      <c r="O264" s="6">
        <v>2</v>
      </c>
      <c r="P264" s="6">
        <v>2</v>
      </c>
    </row>
    <row r="265" spans="1:16" x14ac:dyDescent="0.25">
      <c r="A265" s="6">
        <v>882</v>
      </c>
      <c r="B265" s="9">
        <v>40583</v>
      </c>
      <c r="C265" s="6">
        <v>1</v>
      </c>
      <c r="D265" s="6">
        <v>0</v>
      </c>
      <c r="E265" s="6">
        <v>2</v>
      </c>
      <c r="F265" s="6">
        <v>5</v>
      </c>
      <c r="G265" s="6" t="b">
        <v>0</v>
      </c>
      <c r="H265" s="6">
        <v>3</v>
      </c>
      <c r="I265" s="6">
        <v>1</v>
      </c>
      <c r="J265" s="6">
        <v>0.06</v>
      </c>
      <c r="K265" s="6">
        <v>0.1061</v>
      </c>
      <c r="L265" s="6">
        <v>0.45</v>
      </c>
      <c r="M265" s="6">
        <v>0.1045</v>
      </c>
      <c r="N265" s="6">
        <v>0</v>
      </c>
      <c r="O265" s="6">
        <v>7</v>
      </c>
      <c r="P265" s="6">
        <v>7</v>
      </c>
    </row>
    <row r="266" spans="1:16" x14ac:dyDescent="0.25">
      <c r="A266" s="6">
        <v>883</v>
      </c>
      <c r="B266" s="9">
        <v>40583</v>
      </c>
      <c r="C266" s="6">
        <v>1</v>
      </c>
      <c r="D266" s="6">
        <v>0</v>
      </c>
      <c r="E266" s="6">
        <v>2</v>
      </c>
      <c r="F266" s="6">
        <v>6</v>
      </c>
      <c r="G266" s="6" t="b">
        <v>0</v>
      </c>
      <c r="H266" s="6">
        <v>3</v>
      </c>
      <c r="I266" s="6">
        <v>1</v>
      </c>
      <c r="J266" s="6">
        <v>0.06</v>
      </c>
      <c r="K266" s="6">
        <v>0.1515</v>
      </c>
      <c r="L266" s="6">
        <v>0.45</v>
      </c>
      <c r="M266" s="6">
        <v>0</v>
      </c>
      <c r="N266" s="6">
        <v>0</v>
      </c>
      <c r="O266" s="6">
        <v>43</v>
      </c>
      <c r="P266" s="6">
        <v>43</v>
      </c>
    </row>
    <row r="267" spans="1:16" x14ac:dyDescent="0.25">
      <c r="A267" s="6">
        <v>884</v>
      </c>
      <c r="B267" s="9">
        <v>40583</v>
      </c>
      <c r="C267" s="6">
        <v>1</v>
      </c>
      <c r="D267" s="6">
        <v>0</v>
      </c>
      <c r="E267" s="6">
        <v>2</v>
      </c>
      <c r="F267" s="6">
        <v>7</v>
      </c>
      <c r="G267" s="6" t="b">
        <v>0</v>
      </c>
      <c r="H267" s="6">
        <v>3</v>
      </c>
      <c r="I267" s="6">
        <v>1</v>
      </c>
      <c r="J267" s="6">
        <v>0.06</v>
      </c>
      <c r="K267" s="6">
        <v>0.1061</v>
      </c>
      <c r="L267" s="6">
        <v>0.49</v>
      </c>
      <c r="M267" s="6">
        <v>0.1045</v>
      </c>
      <c r="N267" s="6">
        <v>4</v>
      </c>
      <c r="O267" s="6">
        <v>95</v>
      </c>
      <c r="P267" s="6">
        <v>99</v>
      </c>
    </row>
    <row r="268" spans="1:16" x14ac:dyDescent="0.25">
      <c r="A268" s="6">
        <v>885</v>
      </c>
      <c r="B268" s="9">
        <v>40583</v>
      </c>
      <c r="C268" s="6">
        <v>1</v>
      </c>
      <c r="D268" s="6">
        <v>0</v>
      </c>
      <c r="E268" s="6">
        <v>2</v>
      </c>
      <c r="F268" s="6">
        <v>8</v>
      </c>
      <c r="G268" s="6" t="b">
        <v>0</v>
      </c>
      <c r="H268" s="6">
        <v>3</v>
      </c>
      <c r="I268" s="6">
        <v>1</v>
      </c>
      <c r="J268" s="6">
        <v>0.1</v>
      </c>
      <c r="K268" s="6">
        <v>0.13639999999999999</v>
      </c>
      <c r="L268" s="6">
        <v>0.42</v>
      </c>
      <c r="M268" s="6">
        <v>0</v>
      </c>
      <c r="N268" s="6">
        <v>1</v>
      </c>
      <c r="O268" s="6">
        <v>198</v>
      </c>
      <c r="P268" s="6">
        <v>199</v>
      </c>
    </row>
    <row r="269" spans="1:16" x14ac:dyDescent="0.25">
      <c r="A269" s="6">
        <v>886</v>
      </c>
      <c r="B269" s="9">
        <v>40583</v>
      </c>
      <c r="C269" s="6">
        <v>1</v>
      </c>
      <c r="D269" s="6">
        <v>0</v>
      </c>
      <c r="E269" s="6">
        <v>2</v>
      </c>
      <c r="F269" s="6">
        <v>9</v>
      </c>
      <c r="G269" s="6" t="b">
        <v>0</v>
      </c>
      <c r="H269" s="6">
        <v>3</v>
      </c>
      <c r="I269" s="6">
        <v>1</v>
      </c>
      <c r="J269" s="6">
        <v>0.12</v>
      </c>
      <c r="K269" s="6">
        <v>0.13639999999999999</v>
      </c>
      <c r="L269" s="6">
        <v>0.39</v>
      </c>
      <c r="M269" s="6">
        <v>0.16420000000000001</v>
      </c>
      <c r="N269" s="6">
        <v>4</v>
      </c>
      <c r="O269" s="6">
        <v>119</v>
      </c>
      <c r="P269" s="6">
        <v>123</v>
      </c>
    </row>
    <row r="270" spans="1:16" x14ac:dyDescent="0.25">
      <c r="A270" s="6">
        <v>887</v>
      </c>
      <c r="B270" s="9">
        <v>40583</v>
      </c>
      <c r="C270" s="6">
        <v>1</v>
      </c>
      <c r="D270" s="6">
        <v>0</v>
      </c>
      <c r="E270" s="6">
        <v>2</v>
      </c>
      <c r="F270" s="6">
        <v>10</v>
      </c>
      <c r="G270" s="6" t="b">
        <v>0</v>
      </c>
      <c r="H270" s="6">
        <v>3</v>
      </c>
      <c r="I270" s="6">
        <v>1</v>
      </c>
      <c r="J270" s="6">
        <v>0.14000000000000001</v>
      </c>
      <c r="K270" s="6">
        <v>0.18179999999999999</v>
      </c>
      <c r="L270" s="6">
        <v>0.36</v>
      </c>
      <c r="M270" s="6">
        <v>0</v>
      </c>
      <c r="N270" s="6">
        <v>8</v>
      </c>
      <c r="O270" s="6">
        <v>51</v>
      </c>
      <c r="P270" s="6">
        <v>59</v>
      </c>
    </row>
    <row r="271" spans="1:16" x14ac:dyDescent="0.25">
      <c r="A271" s="6">
        <v>888</v>
      </c>
      <c r="B271" s="9">
        <v>40583</v>
      </c>
      <c r="C271" s="6">
        <v>1</v>
      </c>
      <c r="D271" s="6">
        <v>0</v>
      </c>
      <c r="E271" s="6">
        <v>2</v>
      </c>
      <c r="F271" s="6">
        <v>11</v>
      </c>
      <c r="G271" s="6" t="b">
        <v>0</v>
      </c>
      <c r="H271" s="6">
        <v>3</v>
      </c>
      <c r="I271" s="6">
        <v>2</v>
      </c>
      <c r="J271" s="6">
        <v>0.14000000000000001</v>
      </c>
      <c r="K271" s="6">
        <v>0.1515</v>
      </c>
      <c r="L271" s="6">
        <v>0.43</v>
      </c>
      <c r="M271" s="6">
        <v>0.16420000000000001</v>
      </c>
      <c r="N271" s="6">
        <v>1</v>
      </c>
      <c r="O271" s="6">
        <v>40</v>
      </c>
      <c r="P271" s="6">
        <v>41</v>
      </c>
    </row>
    <row r="272" spans="1:16" x14ac:dyDescent="0.25">
      <c r="A272" s="6">
        <v>889</v>
      </c>
      <c r="B272" s="9">
        <v>40583</v>
      </c>
      <c r="C272" s="6">
        <v>1</v>
      </c>
      <c r="D272" s="6">
        <v>0</v>
      </c>
      <c r="E272" s="6">
        <v>2</v>
      </c>
      <c r="F272" s="6">
        <v>12</v>
      </c>
      <c r="G272" s="6" t="b">
        <v>0</v>
      </c>
      <c r="H272" s="6">
        <v>3</v>
      </c>
      <c r="I272" s="6">
        <v>2</v>
      </c>
      <c r="J272" s="6">
        <v>0.18</v>
      </c>
      <c r="K272" s="6">
        <v>0.18179999999999999</v>
      </c>
      <c r="L272" s="6">
        <v>0.4</v>
      </c>
      <c r="M272" s="6">
        <v>0.22389999999999999</v>
      </c>
      <c r="N272" s="6">
        <v>4</v>
      </c>
      <c r="O272" s="6">
        <v>57</v>
      </c>
      <c r="P272" s="6">
        <v>61</v>
      </c>
    </row>
    <row r="273" spans="1:16" x14ac:dyDescent="0.25">
      <c r="A273" s="6">
        <v>890</v>
      </c>
      <c r="B273" s="9">
        <v>40583</v>
      </c>
      <c r="C273" s="6">
        <v>1</v>
      </c>
      <c r="D273" s="6">
        <v>0</v>
      </c>
      <c r="E273" s="6">
        <v>2</v>
      </c>
      <c r="F273" s="6">
        <v>13</v>
      </c>
      <c r="G273" s="6" t="b">
        <v>0</v>
      </c>
      <c r="H273" s="6">
        <v>3</v>
      </c>
      <c r="I273" s="6">
        <v>1</v>
      </c>
      <c r="J273" s="6">
        <v>0.18</v>
      </c>
      <c r="K273" s="6">
        <v>0.16669999999999999</v>
      </c>
      <c r="L273" s="6">
        <v>0.4</v>
      </c>
      <c r="M273" s="6">
        <v>0.25369999999999998</v>
      </c>
      <c r="N273" s="6">
        <v>2</v>
      </c>
      <c r="O273" s="6">
        <v>67</v>
      </c>
      <c r="P273" s="6">
        <v>69</v>
      </c>
    </row>
    <row r="274" spans="1:16" x14ac:dyDescent="0.25">
      <c r="A274" s="6">
        <v>891</v>
      </c>
      <c r="B274" s="9">
        <v>40583</v>
      </c>
      <c r="C274" s="6">
        <v>1</v>
      </c>
      <c r="D274" s="6">
        <v>0</v>
      </c>
      <c r="E274" s="6">
        <v>2</v>
      </c>
      <c r="F274" s="6">
        <v>14</v>
      </c>
      <c r="G274" s="6" t="b">
        <v>0</v>
      </c>
      <c r="H274" s="6">
        <v>3</v>
      </c>
      <c r="I274" s="6">
        <v>1</v>
      </c>
      <c r="J274" s="6">
        <v>0.2</v>
      </c>
      <c r="K274" s="6">
        <v>0.18179999999999999</v>
      </c>
      <c r="L274" s="6">
        <v>0.34</v>
      </c>
      <c r="M274" s="6">
        <v>0.29849999999999999</v>
      </c>
      <c r="N274" s="6">
        <v>2</v>
      </c>
      <c r="O274" s="6">
        <v>56</v>
      </c>
      <c r="P274" s="6">
        <v>58</v>
      </c>
    </row>
    <row r="275" spans="1:16" x14ac:dyDescent="0.25">
      <c r="A275" s="6">
        <v>892</v>
      </c>
      <c r="B275" s="9">
        <v>40583</v>
      </c>
      <c r="C275" s="6">
        <v>1</v>
      </c>
      <c r="D275" s="6">
        <v>0</v>
      </c>
      <c r="E275" s="6">
        <v>2</v>
      </c>
      <c r="F275" s="6">
        <v>15</v>
      </c>
      <c r="G275" s="6" t="b">
        <v>0</v>
      </c>
      <c r="H275" s="6">
        <v>3</v>
      </c>
      <c r="I275" s="6">
        <v>2</v>
      </c>
      <c r="J275" s="6">
        <v>0.2</v>
      </c>
      <c r="K275" s="6">
        <v>0.18179999999999999</v>
      </c>
      <c r="L275" s="6">
        <v>0.34</v>
      </c>
      <c r="M275" s="6">
        <v>0.28360000000000002</v>
      </c>
      <c r="N275" s="6">
        <v>3</v>
      </c>
      <c r="O275" s="6">
        <v>61</v>
      </c>
      <c r="P275" s="6">
        <v>64</v>
      </c>
    </row>
    <row r="276" spans="1:16" x14ac:dyDescent="0.25">
      <c r="A276" s="6">
        <v>893</v>
      </c>
      <c r="B276" s="9">
        <v>40583</v>
      </c>
      <c r="C276" s="6">
        <v>1</v>
      </c>
      <c r="D276" s="6">
        <v>0</v>
      </c>
      <c r="E276" s="6">
        <v>2</v>
      </c>
      <c r="F276" s="6">
        <v>16</v>
      </c>
      <c r="G276" s="6" t="b">
        <v>0</v>
      </c>
      <c r="H276" s="6">
        <v>3</v>
      </c>
      <c r="I276" s="6">
        <v>2</v>
      </c>
      <c r="J276" s="6">
        <v>0.2</v>
      </c>
      <c r="K276" s="6">
        <v>0.19700000000000001</v>
      </c>
      <c r="L276" s="6">
        <v>0.37</v>
      </c>
      <c r="M276" s="6">
        <v>0.25369999999999998</v>
      </c>
      <c r="N276" s="6">
        <v>7</v>
      </c>
      <c r="O276" s="6">
        <v>72</v>
      </c>
      <c r="P276" s="6">
        <v>79</v>
      </c>
    </row>
    <row r="277" spans="1:16" x14ac:dyDescent="0.25">
      <c r="A277" s="6">
        <v>894</v>
      </c>
      <c r="B277" s="9">
        <v>40583</v>
      </c>
      <c r="C277" s="6">
        <v>1</v>
      </c>
      <c r="D277" s="6">
        <v>0</v>
      </c>
      <c r="E277" s="6">
        <v>2</v>
      </c>
      <c r="F277" s="6">
        <v>17</v>
      </c>
      <c r="G277" s="6" t="b">
        <v>0</v>
      </c>
      <c r="H277" s="6">
        <v>3</v>
      </c>
      <c r="I277" s="6">
        <v>2</v>
      </c>
      <c r="J277" s="6">
        <v>0.2</v>
      </c>
      <c r="K277" s="6">
        <v>0.19700000000000001</v>
      </c>
      <c r="L277" s="6">
        <v>0.34</v>
      </c>
      <c r="M277" s="6">
        <v>0.25369999999999998</v>
      </c>
      <c r="N277" s="6">
        <v>9</v>
      </c>
      <c r="O277" s="6">
        <v>157</v>
      </c>
      <c r="P277" s="6">
        <v>166</v>
      </c>
    </row>
    <row r="278" spans="1:16" x14ac:dyDescent="0.25">
      <c r="A278" s="6">
        <v>895</v>
      </c>
      <c r="B278" s="9">
        <v>40583</v>
      </c>
      <c r="C278" s="6">
        <v>1</v>
      </c>
      <c r="D278" s="6">
        <v>0</v>
      </c>
      <c r="E278" s="6">
        <v>2</v>
      </c>
      <c r="F278" s="6">
        <v>18</v>
      </c>
      <c r="G278" s="6" t="b">
        <v>0</v>
      </c>
      <c r="H278" s="6">
        <v>3</v>
      </c>
      <c r="I278" s="6">
        <v>2</v>
      </c>
      <c r="J278" s="6">
        <v>0.18</v>
      </c>
      <c r="K278" s="6">
        <v>0.16669999999999999</v>
      </c>
      <c r="L278" s="6">
        <v>0.47</v>
      </c>
      <c r="M278" s="6">
        <v>0.29849999999999999</v>
      </c>
      <c r="N278" s="6">
        <v>2</v>
      </c>
      <c r="O278" s="6">
        <v>168</v>
      </c>
      <c r="P278" s="6">
        <v>170</v>
      </c>
    </row>
    <row r="279" spans="1:16" x14ac:dyDescent="0.25">
      <c r="A279" s="6">
        <v>896</v>
      </c>
      <c r="B279" s="9">
        <v>40583</v>
      </c>
      <c r="C279" s="6">
        <v>1</v>
      </c>
      <c r="D279" s="6">
        <v>0</v>
      </c>
      <c r="E279" s="6">
        <v>2</v>
      </c>
      <c r="F279" s="6">
        <v>19</v>
      </c>
      <c r="G279" s="6" t="b">
        <v>0</v>
      </c>
      <c r="H279" s="6">
        <v>3</v>
      </c>
      <c r="I279" s="6">
        <v>3</v>
      </c>
      <c r="J279" s="6">
        <v>0.14000000000000001</v>
      </c>
      <c r="K279" s="6">
        <v>0.1212</v>
      </c>
      <c r="L279" s="6">
        <v>0.86</v>
      </c>
      <c r="M279" s="6">
        <v>0.25369999999999998</v>
      </c>
      <c r="N279" s="6">
        <v>1</v>
      </c>
      <c r="O279" s="6">
        <v>87</v>
      </c>
      <c r="P279" s="6">
        <v>88</v>
      </c>
    </row>
    <row r="280" spans="1:16" x14ac:dyDescent="0.25">
      <c r="A280" s="6">
        <v>897</v>
      </c>
      <c r="B280" s="9">
        <v>40583</v>
      </c>
      <c r="C280" s="6">
        <v>1</v>
      </c>
      <c r="D280" s="6">
        <v>0</v>
      </c>
      <c r="E280" s="6">
        <v>2</v>
      </c>
      <c r="F280" s="6">
        <v>20</v>
      </c>
      <c r="G280" s="6" t="b">
        <v>0</v>
      </c>
      <c r="H280" s="6">
        <v>3</v>
      </c>
      <c r="I280" s="6">
        <v>3</v>
      </c>
      <c r="J280" s="6">
        <v>0.14000000000000001</v>
      </c>
      <c r="K280" s="6">
        <v>0.1515</v>
      </c>
      <c r="L280" s="6">
        <v>0.86</v>
      </c>
      <c r="M280" s="6">
        <v>0.16420000000000001</v>
      </c>
      <c r="N280" s="6">
        <v>0</v>
      </c>
      <c r="O280" s="6">
        <v>84</v>
      </c>
      <c r="P280" s="6">
        <v>84</v>
      </c>
    </row>
    <row r="281" spans="1:16" x14ac:dyDescent="0.25">
      <c r="A281" s="6">
        <v>898</v>
      </c>
      <c r="B281" s="9">
        <v>40583</v>
      </c>
      <c r="C281" s="6">
        <v>1</v>
      </c>
      <c r="D281" s="6">
        <v>0</v>
      </c>
      <c r="E281" s="6">
        <v>2</v>
      </c>
      <c r="F281" s="6">
        <v>21</v>
      </c>
      <c r="G281" s="6" t="b">
        <v>0</v>
      </c>
      <c r="H281" s="6">
        <v>3</v>
      </c>
      <c r="I281" s="6">
        <v>2</v>
      </c>
      <c r="J281" s="6">
        <v>0.14000000000000001</v>
      </c>
      <c r="K281" s="6">
        <v>0.1515</v>
      </c>
      <c r="L281" s="6">
        <v>0.86</v>
      </c>
      <c r="M281" s="6">
        <v>0.16420000000000001</v>
      </c>
      <c r="N281" s="6">
        <v>0</v>
      </c>
      <c r="O281" s="6">
        <v>83</v>
      </c>
      <c r="P281" s="6">
        <v>83</v>
      </c>
    </row>
    <row r="282" spans="1:16" x14ac:dyDescent="0.25">
      <c r="A282" s="6">
        <v>899</v>
      </c>
      <c r="B282" s="9">
        <v>40583</v>
      </c>
      <c r="C282" s="6">
        <v>1</v>
      </c>
      <c r="D282" s="6">
        <v>0</v>
      </c>
      <c r="E282" s="6">
        <v>2</v>
      </c>
      <c r="F282" s="6">
        <v>22</v>
      </c>
      <c r="G282" s="6" t="b">
        <v>0</v>
      </c>
      <c r="H282" s="6">
        <v>3</v>
      </c>
      <c r="I282" s="6">
        <v>3</v>
      </c>
      <c r="J282" s="6">
        <v>0.16</v>
      </c>
      <c r="K282" s="6">
        <v>0.16669999999999999</v>
      </c>
      <c r="L282" s="6">
        <v>0.8</v>
      </c>
      <c r="M282" s="6">
        <v>0.16420000000000001</v>
      </c>
      <c r="N282" s="6">
        <v>4</v>
      </c>
      <c r="O282" s="6">
        <v>42</v>
      </c>
      <c r="P282" s="6">
        <v>46</v>
      </c>
    </row>
    <row r="283" spans="1:16" x14ac:dyDescent="0.25">
      <c r="A283" s="6">
        <v>900</v>
      </c>
      <c r="B283" s="9">
        <v>40583</v>
      </c>
      <c r="C283" s="6">
        <v>1</v>
      </c>
      <c r="D283" s="6">
        <v>0</v>
      </c>
      <c r="E283" s="6">
        <v>2</v>
      </c>
      <c r="F283" s="6">
        <v>23</v>
      </c>
      <c r="G283" s="6" t="b">
        <v>0</v>
      </c>
      <c r="H283" s="6">
        <v>3</v>
      </c>
      <c r="I283" s="6">
        <v>3</v>
      </c>
      <c r="J283" s="6">
        <v>0.16</v>
      </c>
      <c r="K283" s="6">
        <v>0.1515</v>
      </c>
      <c r="L283" s="6">
        <v>0.8</v>
      </c>
      <c r="M283" s="6">
        <v>0.19400000000000001</v>
      </c>
      <c r="N283" s="6">
        <v>0</v>
      </c>
      <c r="O283" s="6">
        <v>37</v>
      </c>
      <c r="P283" s="6">
        <v>37</v>
      </c>
    </row>
    <row r="284" spans="1:16" x14ac:dyDescent="0.25">
      <c r="A284" s="6">
        <v>901</v>
      </c>
      <c r="B284" s="9">
        <v>40584</v>
      </c>
      <c r="C284" s="6">
        <v>1</v>
      </c>
      <c r="D284" s="6">
        <v>0</v>
      </c>
      <c r="E284" s="6">
        <v>2</v>
      </c>
      <c r="F284" s="6">
        <v>0</v>
      </c>
      <c r="G284" s="6" t="b">
        <v>0</v>
      </c>
      <c r="H284" s="6">
        <v>4</v>
      </c>
      <c r="I284" s="6">
        <v>3</v>
      </c>
      <c r="J284" s="6">
        <v>0.14000000000000001</v>
      </c>
      <c r="K284" s="6">
        <v>0.13639999999999999</v>
      </c>
      <c r="L284" s="6">
        <v>0.86</v>
      </c>
      <c r="M284" s="6">
        <v>0.19400000000000001</v>
      </c>
      <c r="N284" s="6">
        <v>0</v>
      </c>
      <c r="O284" s="6">
        <v>16</v>
      </c>
      <c r="P284" s="6">
        <v>16</v>
      </c>
    </row>
    <row r="285" spans="1:16" x14ac:dyDescent="0.25">
      <c r="A285" s="6">
        <v>902</v>
      </c>
      <c r="B285" s="9">
        <v>40584</v>
      </c>
      <c r="C285" s="6">
        <v>1</v>
      </c>
      <c r="D285" s="6">
        <v>0</v>
      </c>
      <c r="E285" s="6">
        <v>2</v>
      </c>
      <c r="F285" s="6">
        <v>1</v>
      </c>
      <c r="G285" s="6" t="b">
        <v>0</v>
      </c>
      <c r="H285" s="6">
        <v>4</v>
      </c>
      <c r="I285" s="6">
        <v>3</v>
      </c>
      <c r="J285" s="6">
        <v>0.14000000000000001</v>
      </c>
      <c r="K285" s="6">
        <v>0.1515</v>
      </c>
      <c r="L285" s="6">
        <v>0.8</v>
      </c>
      <c r="M285" s="6">
        <v>0.1343</v>
      </c>
      <c r="N285" s="6">
        <v>0</v>
      </c>
      <c r="O285" s="6">
        <v>7</v>
      </c>
      <c r="P285" s="6">
        <v>7</v>
      </c>
    </row>
    <row r="286" spans="1:16" x14ac:dyDescent="0.25">
      <c r="A286" s="6">
        <v>903</v>
      </c>
      <c r="B286" s="9">
        <v>40584</v>
      </c>
      <c r="C286" s="6">
        <v>1</v>
      </c>
      <c r="D286" s="6">
        <v>0</v>
      </c>
      <c r="E286" s="6">
        <v>2</v>
      </c>
      <c r="F286" s="6">
        <v>2</v>
      </c>
      <c r="G286" s="6" t="b">
        <v>0</v>
      </c>
      <c r="H286" s="6">
        <v>4</v>
      </c>
      <c r="I286" s="6">
        <v>3</v>
      </c>
      <c r="J286" s="6">
        <v>0.14000000000000001</v>
      </c>
      <c r="K286" s="6">
        <v>0.1515</v>
      </c>
      <c r="L286" s="6">
        <v>0.8</v>
      </c>
      <c r="M286" s="6">
        <v>0.1343</v>
      </c>
      <c r="N286" s="6">
        <v>0</v>
      </c>
      <c r="O286" s="6">
        <v>3</v>
      </c>
      <c r="P286" s="6">
        <v>3</v>
      </c>
    </row>
    <row r="287" spans="1:16" x14ac:dyDescent="0.25">
      <c r="A287" s="6">
        <v>904</v>
      </c>
      <c r="B287" s="9">
        <v>40584</v>
      </c>
      <c r="C287" s="6">
        <v>1</v>
      </c>
      <c r="D287" s="6">
        <v>0</v>
      </c>
      <c r="E287" s="6">
        <v>2</v>
      </c>
      <c r="F287" s="6">
        <v>4</v>
      </c>
      <c r="G287" s="6" t="b">
        <v>0</v>
      </c>
      <c r="H287" s="6">
        <v>4</v>
      </c>
      <c r="I287" s="6">
        <v>2</v>
      </c>
      <c r="J287" s="6">
        <v>0.14000000000000001</v>
      </c>
      <c r="K287" s="6">
        <v>0.13639999999999999</v>
      </c>
      <c r="L287" s="6">
        <v>0.59</v>
      </c>
      <c r="M287" s="6">
        <v>0.22389999999999999</v>
      </c>
      <c r="N287" s="6">
        <v>0</v>
      </c>
      <c r="O287" s="6">
        <v>1</v>
      </c>
      <c r="P287" s="6">
        <v>1</v>
      </c>
    </row>
    <row r="288" spans="1:16" x14ac:dyDescent="0.25">
      <c r="A288" s="6">
        <v>905</v>
      </c>
      <c r="B288" s="9">
        <v>40584</v>
      </c>
      <c r="C288" s="6">
        <v>1</v>
      </c>
      <c r="D288" s="6">
        <v>0</v>
      </c>
      <c r="E288" s="6">
        <v>2</v>
      </c>
      <c r="F288" s="6">
        <v>5</v>
      </c>
      <c r="G288" s="6" t="b">
        <v>0</v>
      </c>
      <c r="H288" s="6">
        <v>4</v>
      </c>
      <c r="I288" s="6">
        <v>2</v>
      </c>
      <c r="J288" s="6">
        <v>0.12</v>
      </c>
      <c r="K288" s="6">
        <v>0.1212</v>
      </c>
      <c r="L288" s="6">
        <v>0.5</v>
      </c>
      <c r="M288" s="6">
        <v>0.22389999999999999</v>
      </c>
      <c r="N288" s="6">
        <v>0</v>
      </c>
      <c r="O288" s="6">
        <v>6</v>
      </c>
      <c r="P288" s="6">
        <v>6</v>
      </c>
    </row>
    <row r="289" spans="1:16" x14ac:dyDescent="0.25">
      <c r="A289" s="6">
        <v>906</v>
      </c>
      <c r="B289" s="9">
        <v>40584</v>
      </c>
      <c r="C289" s="6">
        <v>1</v>
      </c>
      <c r="D289" s="6">
        <v>0</v>
      </c>
      <c r="E289" s="6">
        <v>2</v>
      </c>
      <c r="F289" s="6">
        <v>6</v>
      </c>
      <c r="G289" s="6" t="b">
        <v>0</v>
      </c>
      <c r="H289" s="6">
        <v>4</v>
      </c>
      <c r="I289" s="6">
        <v>2</v>
      </c>
      <c r="J289" s="6">
        <v>0.12</v>
      </c>
      <c r="K289" s="6">
        <v>0.1212</v>
      </c>
      <c r="L289" s="6">
        <v>0.54</v>
      </c>
      <c r="M289" s="6">
        <v>0.28360000000000002</v>
      </c>
      <c r="N289" s="6">
        <v>0</v>
      </c>
      <c r="O289" s="6">
        <v>26</v>
      </c>
      <c r="P289" s="6">
        <v>26</v>
      </c>
    </row>
    <row r="290" spans="1:16" x14ac:dyDescent="0.25">
      <c r="A290" s="6">
        <v>907</v>
      </c>
      <c r="B290" s="9">
        <v>40584</v>
      </c>
      <c r="C290" s="6">
        <v>1</v>
      </c>
      <c r="D290" s="6">
        <v>0</v>
      </c>
      <c r="E290" s="6">
        <v>2</v>
      </c>
      <c r="F290" s="6">
        <v>7</v>
      </c>
      <c r="G290" s="6" t="b">
        <v>0</v>
      </c>
      <c r="H290" s="6">
        <v>4</v>
      </c>
      <c r="I290" s="6">
        <v>1</v>
      </c>
      <c r="J290" s="6">
        <v>0.1</v>
      </c>
      <c r="K290" s="6">
        <v>7.5800000000000006E-2</v>
      </c>
      <c r="L290" s="6">
        <v>0.5</v>
      </c>
      <c r="M290" s="6">
        <v>0.41789999999999999</v>
      </c>
      <c r="N290" s="6">
        <v>0</v>
      </c>
      <c r="O290" s="6">
        <v>99</v>
      </c>
      <c r="P290" s="6">
        <v>99</v>
      </c>
    </row>
    <row r="291" spans="1:16" x14ac:dyDescent="0.25">
      <c r="A291" s="6">
        <v>908</v>
      </c>
      <c r="B291" s="9">
        <v>40584</v>
      </c>
      <c r="C291" s="6">
        <v>1</v>
      </c>
      <c r="D291" s="6">
        <v>0</v>
      </c>
      <c r="E291" s="6">
        <v>2</v>
      </c>
      <c r="F291" s="6">
        <v>8</v>
      </c>
      <c r="G291" s="6" t="b">
        <v>0</v>
      </c>
      <c r="H291" s="6">
        <v>4</v>
      </c>
      <c r="I291" s="6">
        <v>1</v>
      </c>
      <c r="J291" s="6">
        <v>0.1</v>
      </c>
      <c r="K291" s="6">
        <v>7.5800000000000006E-2</v>
      </c>
      <c r="L291" s="6">
        <v>0.49</v>
      </c>
      <c r="M291" s="6">
        <v>0.32840000000000003</v>
      </c>
      <c r="N291" s="6">
        <v>5</v>
      </c>
      <c r="O291" s="6">
        <v>173</v>
      </c>
      <c r="P291" s="6">
        <v>178</v>
      </c>
    </row>
    <row r="292" spans="1:16" x14ac:dyDescent="0.25">
      <c r="A292" s="6">
        <v>909</v>
      </c>
      <c r="B292" s="9">
        <v>40584</v>
      </c>
      <c r="C292" s="6">
        <v>1</v>
      </c>
      <c r="D292" s="6">
        <v>0</v>
      </c>
      <c r="E292" s="6">
        <v>2</v>
      </c>
      <c r="F292" s="6">
        <v>9</v>
      </c>
      <c r="G292" s="6" t="b">
        <v>0</v>
      </c>
      <c r="H292" s="6">
        <v>4</v>
      </c>
      <c r="I292" s="6">
        <v>1</v>
      </c>
      <c r="J292" s="6">
        <v>0.12</v>
      </c>
      <c r="K292" s="6">
        <v>0.1061</v>
      </c>
      <c r="L292" s="6">
        <v>0.42</v>
      </c>
      <c r="M292" s="6">
        <v>0.35820000000000002</v>
      </c>
      <c r="N292" s="6">
        <v>1</v>
      </c>
      <c r="O292" s="6">
        <v>121</v>
      </c>
      <c r="P292" s="6">
        <v>122</v>
      </c>
    </row>
    <row r="293" spans="1:16" x14ac:dyDescent="0.25">
      <c r="A293" s="6">
        <v>910</v>
      </c>
      <c r="B293" s="9">
        <v>40584</v>
      </c>
      <c r="C293" s="6">
        <v>1</v>
      </c>
      <c r="D293" s="6">
        <v>0</v>
      </c>
      <c r="E293" s="6">
        <v>2</v>
      </c>
      <c r="F293" s="6">
        <v>10</v>
      </c>
      <c r="G293" s="6" t="b">
        <v>0</v>
      </c>
      <c r="H293" s="6">
        <v>4</v>
      </c>
      <c r="I293" s="6">
        <v>1</v>
      </c>
      <c r="J293" s="6">
        <v>0.12</v>
      </c>
      <c r="K293" s="6">
        <v>0.1061</v>
      </c>
      <c r="L293" s="6">
        <v>0.42</v>
      </c>
      <c r="M293" s="6">
        <v>0.29849999999999999</v>
      </c>
      <c r="N293" s="6">
        <v>1</v>
      </c>
      <c r="O293" s="6">
        <v>34</v>
      </c>
      <c r="P293" s="6">
        <v>35</v>
      </c>
    </row>
    <row r="294" spans="1:16" x14ac:dyDescent="0.25">
      <c r="A294" s="6">
        <v>911</v>
      </c>
      <c r="B294" s="9">
        <v>40584</v>
      </c>
      <c r="C294" s="6">
        <v>1</v>
      </c>
      <c r="D294" s="6">
        <v>0</v>
      </c>
      <c r="E294" s="6">
        <v>2</v>
      </c>
      <c r="F294" s="6">
        <v>11</v>
      </c>
      <c r="G294" s="6" t="b">
        <v>0</v>
      </c>
      <c r="H294" s="6">
        <v>4</v>
      </c>
      <c r="I294" s="6">
        <v>1</v>
      </c>
      <c r="J294" s="6">
        <v>0.14000000000000001</v>
      </c>
      <c r="K294" s="6">
        <v>0.1212</v>
      </c>
      <c r="L294" s="6">
        <v>0.39</v>
      </c>
      <c r="M294" s="6">
        <v>0.35820000000000002</v>
      </c>
      <c r="N294" s="6">
        <v>1</v>
      </c>
      <c r="O294" s="6">
        <v>44</v>
      </c>
      <c r="P294" s="6">
        <v>45</v>
      </c>
    </row>
    <row r="295" spans="1:16" x14ac:dyDescent="0.25">
      <c r="A295" s="6">
        <v>912</v>
      </c>
      <c r="B295" s="9">
        <v>40584</v>
      </c>
      <c r="C295" s="6">
        <v>1</v>
      </c>
      <c r="D295" s="6">
        <v>0</v>
      </c>
      <c r="E295" s="6">
        <v>2</v>
      </c>
      <c r="F295" s="6">
        <v>12</v>
      </c>
      <c r="G295" s="6" t="b">
        <v>0</v>
      </c>
      <c r="H295" s="6">
        <v>4</v>
      </c>
      <c r="I295" s="6">
        <v>1</v>
      </c>
      <c r="J295" s="6">
        <v>0.16</v>
      </c>
      <c r="K295" s="6">
        <v>0.13639999999999999</v>
      </c>
      <c r="L295" s="6">
        <v>0.34</v>
      </c>
      <c r="M295" s="6">
        <v>0.3881</v>
      </c>
      <c r="N295" s="6">
        <v>4</v>
      </c>
      <c r="O295" s="6">
        <v>65</v>
      </c>
      <c r="P295" s="6">
        <v>69</v>
      </c>
    </row>
    <row r="296" spans="1:16" x14ac:dyDescent="0.25">
      <c r="A296" s="6">
        <v>913</v>
      </c>
      <c r="B296" s="9">
        <v>40584</v>
      </c>
      <c r="C296" s="6">
        <v>1</v>
      </c>
      <c r="D296" s="6">
        <v>0</v>
      </c>
      <c r="E296" s="6">
        <v>2</v>
      </c>
      <c r="F296" s="6">
        <v>13</v>
      </c>
      <c r="G296" s="6" t="b">
        <v>0</v>
      </c>
      <c r="H296" s="6">
        <v>4</v>
      </c>
      <c r="I296" s="6">
        <v>1</v>
      </c>
      <c r="J296" s="6">
        <v>0.18</v>
      </c>
      <c r="K296" s="6">
        <v>0.16669999999999999</v>
      </c>
      <c r="L296" s="6">
        <v>0.28999999999999998</v>
      </c>
      <c r="M296" s="6">
        <v>0.29849999999999999</v>
      </c>
      <c r="N296" s="6">
        <v>3</v>
      </c>
      <c r="O296" s="6">
        <v>59</v>
      </c>
      <c r="P296" s="6">
        <v>62</v>
      </c>
    </row>
    <row r="297" spans="1:16" x14ac:dyDescent="0.25">
      <c r="A297" s="6">
        <v>914</v>
      </c>
      <c r="B297" s="9">
        <v>40584</v>
      </c>
      <c r="C297" s="6">
        <v>1</v>
      </c>
      <c r="D297" s="6">
        <v>0</v>
      </c>
      <c r="E297" s="6">
        <v>2</v>
      </c>
      <c r="F297" s="6">
        <v>14</v>
      </c>
      <c r="G297" s="6" t="b">
        <v>0</v>
      </c>
      <c r="H297" s="6">
        <v>4</v>
      </c>
      <c r="I297" s="6">
        <v>1</v>
      </c>
      <c r="J297" s="6">
        <v>0.2</v>
      </c>
      <c r="K297" s="6">
        <v>0.18179999999999999</v>
      </c>
      <c r="L297" s="6">
        <v>0.27</v>
      </c>
      <c r="M297" s="6">
        <v>0.28360000000000002</v>
      </c>
      <c r="N297" s="6">
        <v>6</v>
      </c>
      <c r="O297" s="6">
        <v>42</v>
      </c>
      <c r="P297" s="6">
        <v>48</v>
      </c>
    </row>
    <row r="298" spans="1:16" x14ac:dyDescent="0.25">
      <c r="A298" s="6">
        <v>915</v>
      </c>
      <c r="B298" s="9">
        <v>40584</v>
      </c>
      <c r="C298" s="6">
        <v>1</v>
      </c>
      <c r="D298" s="6">
        <v>0</v>
      </c>
      <c r="E298" s="6">
        <v>2</v>
      </c>
      <c r="F298" s="6">
        <v>15</v>
      </c>
      <c r="G298" s="6" t="b">
        <v>0</v>
      </c>
      <c r="H298" s="6">
        <v>4</v>
      </c>
      <c r="I298" s="6">
        <v>1</v>
      </c>
      <c r="J298" s="6">
        <v>0.2</v>
      </c>
      <c r="K298" s="6">
        <v>0.19700000000000001</v>
      </c>
      <c r="L298" s="6">
        <v>0.25</v>
      </c>
      <c r="M298" s="6">
        <v>0.25369999999999998</v>
      </c>
      <c r="N298" s="6">
        <v>0</v>
      </c>
      <c r="O298" s="6">
        <v>50</v>
      </c>
      <c r="P298" s="6">
        <v>50</v>
      </c>
    </row>
    <row r="299" spans="1:16" x14ac:dyDescent="0.25">
      <c r="A299" s="6">
        <v>916</v>
      </c>
      <c r="B299" s="9">
        <v>40584</v>
      </c>
      <c r="C299" s="6">
        <v>1</v>
      </c>
      <c r="D299" s="6">
        <v>0</v>
      </c>
      <c r="E299" s="6">
        <v>2</v>
      </c>
      <c r="F299" s="6">
        <v>16</v>
      </c>
      <c r="G299" s="6" t="b">
        <v>0</v>
      </c>
      <c r="H299" s="6">
        <v>4</v>
      </c>
      <c r="I299" s="6">
        <v>1</v>
      </c>
      <c r="J299" s="6">
        <v>0.2</v>
      </c>
      <c r="K299" s="6">
        <v>0.18179999999999999</v>
      </c>
      <c r="L299" s="6">
        <v>0.27</v>
      </c>
      <c r="M299" s="6">
        <v>0.29849999999999999</v>
      </c>
      <c r="N299" s="6">
        <v>4</v>
      </c>
      <c r="O299" s="6">
        <v>76</v>
      </c>
      <c r="P299" s="6">
        <v>80</v>
      </c>
    </row>
    <row r="300" spans="1:16" x14ac:dyDescent="0.25">
      <c r="A300" s="6">
        <v>917</v>
      </c>
      <c r="B300" s="9">
        <v>40584</v>
      </c>
      <c r="C300" s="6">
        <v>1</v>
      </c>
      <c r="D300" s="6">
        <v>0</v>
      </c>
      <c r="E300" s="6">
        <v>2</v>
      </c>
      <c r="F300" s="6">
        <v>17</v>
      </c>
      <c r="G300" s="6" t="b">
        <v>0</v>
      </c>
      <c r="H300" s="6">
        <v>4</v>
      </c>
      <c r="I300" s="6">
        <v>1</v>
      </c>
      <c r="J300" s="6">
        <v>0.18</v>
      </c>
      <c r="K300" s="6">
        <v>0.18179999999999999</v>
      </c>
      <c r="L300" s="6">
        <v>0.26</v>
      </c>
      <c r="M300" s="6">
        <v>0.19400000000000001</v>
      </c>
      <c r="N300" s="6">
        <v>6</v>
      </c>
      <c r="O300" s="6">
        <v>159</v>
      </c>
      <c r="P300" s="6">
        <v>165</v>
      </c>
    </row>
    <row r="301" spans="1:16" x14ac:dyDescent="0.25">
      <c r="A301" s="6">
        <v>918</v>
      </c>
      <c r="B301" s="9">
        <v>40584</v>
      </c>
      <c r="C301" s="6">
        <v>1</v>
      </c>
      <c r="D301" s="6">
        <v>0</v>
      </c>
      <c r="E301" s="6">
        <v>2</v>
      </c>
      <c r="F301" s="6">
        <v>18</v>
      </c>
      <c r="G301" s="6" t="b">
        <v>0</v>
      </c>
      <c r="H301" s="6">
        <v>4</v>
      </c>
      <c r="I301" s="6">
        <v>1</v>
      </c>
      <c r="J301" s="6">
        <v>0.16</v>
      </c>
      <c r="K301" s="6">
        <v>0.18179999999999999</v>
      </c>
      <c r="L301" s="6">
        <v>0.28000000000000003</v>
      </c>
      <c r="M301" s="6">
        <v>0.1343</v>
      </c>
      <c r="N301" s="6">
        <v>3</v>
      </c>
      <c r="O301" s="6">
        <v>157</v>
      </c>
      <c r="P301" s="6">
        <v>160</v>
      </c>
    </row>
    <row r="302" spans="1:16" x14ac:dyDescent="0.25">
      <c r="A302" s="6">
        <v>919</v>
      </c>
      <c r="B302" s="9">
        <v>40584</v>
      </c>
      <c r="C302" s="6">
        <v>1</v>
      </c>
      <c r="D302" s="6">
        <v>0</v>
      </c>
      <c r="E302" s="6">
        <v>2</v>
      </c>
      <c r="F302" s="6">
        <v>19</v>
      </c>
      <c r="G302" s="6" t="b">
        <v>0</v>
      </c>
      <c r="H302" s="6">
        <v>4</v>
      </c>
      <c r="I302" s="6">
        <v>1</v>
      </c>
      <c r="J302" s="6">
        <v>0.14000000000000001</v>
      </c>
      <c r="K302" s="6">
        <v>0.16669999999999999</v>
      </c>
      <c r="L302" s="6">
        <v>0.28000000000000003</v>
      </c>
      <c r="M302" s="6">
        <v>0.1045</v>
      </c>
      <c r="N302" s="6">
        <v>2</v>
      </c>
      <c r="O302" s="6">
        <v>110</v>
      </c>
      <c r="P302" s="6">
        <v>112</v>
      </c>
    </row>
    <row r="303" spans="1:16" x14ac:dyDescent="0.25">
      <c r="A303" s="6">
        <v>920</v>
      </c>
      <c r="B303" s="9">
        <v>40584</v>
      </c>
      <c r="C303" s="6">
        <v>1</v>
      </c>
      <c r="D303" s="6">
        <v>0</v>
      </c>
      <c r="E303" s="6">
        <v>2</v>
      </c>
      <c r="F303" s="6">
        <v>20</v>
      </c>
      <c r="G303" s="6" t="b">
        <v>0</v>
      </c>
      <c r="H303" s="6">
        <v>4</v>
      </c>
      <c r="I303" s="6">
        <v>1</v>
      </c>
      <c r="J303" s="6">
        <v>0.14000000000000001</v>
      </c>
      <c r="K303" s="6">
        <v>0.18179999999999999</v>
      </c>
      <c r="L303" s="6">
        <v>0.31</v>
      </c>
      <c r="M303" s="6">
        <v>8.9599999999999999E-2</v>
      </c>
      <c r="N303" s="6">
        <v>4</v>
      </c>
      <c r="O303" s="6">
        <v>93</v>
      </c>
      <c r="P303" s="6">
        <v>97</v>
      </c>
    </row>
    <row r="304" spans="1:16" x14ac:dyDescent="0.25">
      <c r="A304" s="6">
        <v>921</v>
      </c>
      <c r="B304" s="9">
        <v>40584</v>
      </c>
      <c r="C304" s="6">
        <v>1</v>
      </c>
      <c r="D304" s="6">
        <v>0</v>
      </c>
      <c r="E304" s="6">
        <v>2</v>
      </c>
      <c r="F304" s="6">
        <v>21</v>
      </c>
      <c r="G304" s="6" t="b">
        <v>0</v>
      </c>
      <c r="H304" s="6">
        <v>4</v>
      </c>
      <c r="I304" s="6">
        <v>1</v>
      </c>
      <c r="J304" s="6">
        <v>0.14000000000000001</v>
      </c>
      <c r="K304" s="6">
        <v>0.21210000000000001</v>
      </c>
      <c r="L304" s="6">
        <v>0.39</v>
      </c>
      <c r="M304" s="6">
        <v>0</v>
      </c>
      <c r="N304" s="6">
        <v>2</v>
      </c>
      <c r="O304" s="6">
        <v>70</v>
      </c>
      <c r="P304" s="6">
        <v>72</v>
      </c>
    </row>
    <row r="305" spans="1:16" x14ac:dyDescent="0.25">
      <c r="A305" s="6">
        <v>922</v>
      </c>
      <c r="B305" s="9">
        <v>40584</v>
      </c>
      <c r="C305" s="6">
        <v>1</v>
      </c>
      <c r="D305" s="6">
        <v>0</v>
      </c>
      <c r="E305" s="6">
        <v>2</v>
      </c>
      <c r="F305" s="6">
        <v>22</v>
      </c>
      <c r="G305" s="6" t="b">
        <v>0</v>
      </c>
      <c r="H305" s="6">
        <v>4</v>
      </c>
      <c r="I305" s="6">
        <v>1</v>
      </c>
      <c r="J305" s="6">
        <v>0.12</v>
      </c>
      <c r="K305" s="6">
        <v>0.19700000000000001</v>
      </c>
      <c r="L305" s="6">
        <v>0.39</v>
      </c>
      <c r="M305" s="6">
        <v>0</v>
      </c>
      <c r="N305" s="6">
        <v>4</v>
      </c>
      <c r="O305" s="6">
        <v>47</v>
      </c>
      <c r="P305" s="6">
        <v>51</v>
      </c>
    </row>
    <row r="306" spans="1:16" x14ac:dyDescent="0.25">
      <c r="A306" s="6">
        <v>923</v>
      </c>
      <c r="B306" s="9">
        <v>40584</v>
      </c>
      <c r="C306" s="6">
        <v>1</v>
      </c>
      <c r="D306" s="6">
        <v>0</v>
      </c>
      <c r="E306" s="6">
        <v>2</v>
      </c>
      <c r="F306" s="6">
        <v>23</v>
      </c>
      <c r="G306" s="6" t="b">
        <v>0</v>
      </c>
      <c r="H306" s="6">
        <v>4</v>
      </c>
      <c r="I306" s="6">
        <v>1</v>
      </c>
      <c r="J306" s="6">
        <v>0.12</v>
      </c>
      <c r="K306" s="6">
        <v>0.1515</v>
      </c>
      <c r="L306" s="6">
        <v>0.42</v>
      </c>
      <c r="M306" s="6">
        <v>0.1045</v>
      </c>
      <c r="N306" s="6">
        <v>1</v>
      </c>
      <c r="O306" s="6">
        <v>33</v>
      </c>
      <c r="P306" s="6">
        <v>34</v>
      </c>
    </row>
    <row r="307" spans="1:16" x14ac:dyDescent="0.25">
      <c r="A307" s="6">
        <v>924</v>
      </c>
      <c r="B307" s="9">
        <v>40585</v>
      </c>
      <c r="C307" s="6">
        <v>1</v>
      </c>
      <c r="D307" s="6">
        <v>0</v>
      </c>
      <c r="E307" s="6">
        <v>2</v>
      </c>
      <c r="F307" s="6">
        <v>0</v>
      </c>
      <c r="G307" s="6" t="b">
        <v>0</v>
      </c>
      <c r="H307" s="6">
        <v>5</v>
      </c>
      <c r="I307" s="6">
        <v>1</v>
      </c>
      <c r="J307" s="6">
        <v>0.1</v>
      </c>
      <c r="K307" s="6">
        <v>0.13639999999999999</v>
      </c>
      <c r="L307" s="6">
        <v>0.49</v>
      </c>
      <c r="M307" s="6">
        <v>0.1045</v>
      </c>
      <c r="N307" s="6">
        <v>2</v>
      </c>
      <c r="O307" s="6">
        <v>12</v>
      </c>
      <c r="P307" s="6">
        <v>14</v>
      </c>
    </row>
    <row r="308" spans="1:16" x14ac:dyDescent="0.25">
      <c r="A308" s="6">
        <v>925</v>
      </c>
      <c r="B308" s="9">
        <v>40585</v>
      </c>
      <c r="C308" s="6">
        <v>1</v>
      </c>
      <c r="D308" s="6">
        <v>0</v>
      </c>
      <c r="E308" s="6">
        <v>2</v>
      </c>
      <c r="F308" s="6">
        <v>1</v>
      </c>
      <c r="G308" s="6" t="b">
        <v>0</v>
      </c>
      <c r="H308" s="6">
        <v>5</v>
      </c>
      <c r="I308" s="6">
        <v>1</v>
      </c>
      <c r="J308" s="6">
        <v>0.1</v>
      </c>
      <c r="K308" s="6">
        <v>0.13639999999999999</v>
      </c>
      <c r="L308" s="6">
        <v>0.54</v>
      </c>
      <c r="M308" s="6">
        <v>8.9599999999999999E-2</v>
      </c>
      <c r="N308" s="6">
        <v>1</v>
      </c>
      <c r="O308" s="6">
        <v>6</v>
      </c>
      <c r="P308" s="6">
        <v>7</v>
      </c>
    </row>
    <row r="309" spans="1:16" x14ac:dyDescent="0.25">
      <c r="A309" s="6">
        <v>926</v>
      </c>
      <c r="B309" s="9">
        <v>40585</v>
      </c>
      <c r="C309" s="6">
        <v>1</v>
      </c>
      <c r="D309" s="6">
        <v>0</v>
      </c>
      <c r="E309" s="6">
        <v>2</v>
      </c>
      <c r="F309" s="6">
        <v>2</v>
      </c>
      <c r="G309" s="6" t="b">
        <v>0</v>
      </c>
      <c r="H309" s="6">
        <v>5</v>
      </c>
      <c r="I309" s="6">
        <v>1</v>
      </c>
      <c r="J309" s="6">
        <v>0.1</v>
      </c>
      <c r="K309" s="6">
        <v>0.13639999999999999</v>
      </c>
      <c r="L309" s="6">
        <v>0.54</v>
      </c>
      <c r="M309" s="6">
        <v>8.9599999999999999E-2</v>
      </c>
      <c r="N309" s="6">
        <v>0</v>
      </c>
      <c r="O309" s="6">
        <v>3</v>
      </c>
      <c r="P309" s="6">
        <v>3</v>
      </c>
    </row>
    <row r="310" spans="1:16" x14ac:dyDescent="0.25">
      <c r="A310" s="6">
        <v>927</v>
      </c>
      <c r="B310" s="9">
        <v>40585</v>
      </c>
      <c r="C310" s="6">
        <v>1</v>
      </c>
      <c r="D310" s="6">
        <v>0</v>
      </c>
      <c r="E310" s="6">
        <v>2</v>
      </c>
      <c r="F310" s="6">
        <v>5</v>
      </c>
      <c r="G310" s="6" t="b">
        <v>0</v>
      </c>
      <c r="H310" s="6">
        <v>5</v>
      </c>
      <c r="I310" s="6">
        <v>1</v>
      </c>
      <c r="J310" s="6">
        <v>0.08</v>
      </c>
      <c r="K310" s="6">
        <v>0.1212</v>
      </c>
      <c r="L310" s="6">
        <v>0.63</v>
      </c>
      <c r="M310" s="6">
        <v>8.9599999999999999E-2</v>
      </c>
      <c r="N310" s="6">
        <v>0</v>
      </c>
      <c r="O310" s="6">
        <v>4</v>
      </c>
      <c r="P310" s="6">
        <v>4</v>
      </c>
    </row>
    <row r="311" spans="1:16" x14ac:dyDescent="0.25">
      <c r="A311" s="6">
        <v>928</v>
      </c>
      <c r="B311" s="9">
        <v>40585</v>
      </c>
      <c r="C311" s="6">
        <v>1</v>
      </c>
      <c r="D311" s="6">
        <v>0</v>
      </c>
      <c r="E311" s="6">
        <v>2</v>
      </c>
      <c r="F311" s="6">
        <v>6</v>
      </c>
      <c r="G311" s="6" t="b">
        <v>0</v>
      </c>
      <c r="H311" s="6">
        <v>5</v>
      </c>
      <c r="I311" s="6">
        <v>1</v>
      </c>
      <c r="J311" s="6">
        <v>0.1</v>
      </c>
      <c r="K311" s="6">
        <v>0.18179999999999999</v>
      </c>
      <c r="L311" s="6">
        <v>0.68</v>
      </c>
      <c r="M311" s="6">
        <v>0</v>
      </c>
      <c r="N311" s="6">
        <v>1</v>
      </c>
      <c r="O311" s="6">
        <v>23</v>
      </c>
      <c r="P311" s="6">
        <v>24</v>
      </c>
    </row>
    <row r="312" spans="1:16" x14ac:dyDescent="0.25">
      <c r="A312" s="6">
        <v>929</v>
      </c>
      <c r="B312" s="9">
        <v>40585</v>
      </c>
      <c r="C312" s="6">
        <v>1</v>
      </c>
      <c r="D312" s="6">
        <v>0</v>
      </c>
      <c r="E312" s="6">
        <v>2</v>
      </c>
      <c r="F312" s="6">
        <v>7</v>
      </c>
      <c r="G312" s="6" t="b">
        <v>0</v>
      </c>
      <c r="H312" s="6">
        <v>5</v>
      </c>
      <c r="I312" s="6">
        <v>1</v>
      </c>
      <c r="J312" s="6">
        <v>0.08</v>
      </c>
      <c r="K312" s="6">
        <v>0.16669999999999999</v>
      </c>
      <c r="L312" s="6">
        <v>0.73</v>
      </c>
      <c r="M312" s="6">
        <v>0</v>
      </c>
      <c r="N312" s="6">
        <v>1</v>
      </c>
      <c r="O312" s="6">
        <v>73</v>
      </c>
      <c r="P312" s="6">
        <v>74</v>
      </c>
    </row>
    <row r="313" spans="1:16" x14ac:dyDescent="0.25">
      <c r="A313" s="6">
        <v>930</v>
      </c>
      <c r="B313" s="9">
        <v>40585</v>
      </c>
      <c r="C313" s="6">
        <v>1</v>
      </c>
      <c r="D313" s="6">
        <v>0</v>
      </c>
      <c r="E313" s="6">
        <v>2</v>
      </c>
      <c r="F313" s="6">
        <v>8</v>
      </c>
      <c r="G313" s="6" t="b">
        <v>0</v>
      </c>
      <c r="H313" s="6">
        <v>5</v>
      </c>
      <c r="I313" s="6">
        <v>1</v>
      </c>
      <c r="J313" s="6">
        <v>0.1</v>
      </c>
      <c r="K313" s="6">
        <v>0.1212</v>
      </c>
      <c r="L313" s="6">
        <v>0.74</v>
      </c>
      <c r="M313" s="6">
        <v>0.16420000000000001</v>
      </c>
      <c r="N313" s="6">
        <v>4</v>
      </c>
      <c r="O313" s="6">
        <v>212</v>
      </c>
      <c r="P313" s="6">
        <v>216</v>
      </c>
    </row>
    <row r="314" spans="1:16" x14ac:dyDescent="0.25">
      <c r="A314" s="6">
        <v>931</v>
      </c>
      <c r="B314" s="9">
        <v>40585</v>
      </c>
      <c r="C314" s="6">
        <v>1</v>
      </c>
      <c r="D314" s="6">
        <v>0</v>
      </c>
      <c r="E314" s="6">
        <v>2</v>
      </c>
      <c r="F314" s="6">
        <v>9</v>
      </c>
      <c r="G314" s="6" t="b">
        <v>0</v>
      </c>
      <c r="H314" s="6">
        <v>5</v>
      </c>
      <c r="I314" s="6">
        <v>1</v>
      </c>
      <c r="J314" s="6">
        <v>0.12</v>
      </c>
      <c r="K314" s="6">
        <v>0.1212</v>
      </c>
      <c r="L314" s="6">
        <v>0.74</v>
      </c>
      <c r="M314" s="6">
        <v>0.22389999999999999</v>
      </c>
      <c r="N314" s="6">
        <v>8</v>
      </c>
      <c r="O314" s="6">
        <v>132</v>
      </c>
      <c r="P314" s="6">
        <v>140</v>
      </c>
    </row>
    <row r="315" spans="1:16" x14ac:dyDescent="0.25">
      <c r="A315" s="6">
        <v>932</v>
      </c>
      <c r="B315" s="9">
        <v>40585</v>
      </c>
      <c r="C315" s="6">
        <v>1</v>
      </c>
      <c r="D315" s="6">
        <v>0</v>
      </c>
      <c r="E315" s="6">
        <v>2</v>
      </c>
      <c r="F315" s="6">
        <v>10</v>
      </c>
      <c r="G315" s="6" t="b">
        <v>0</v>
      </c>
      <c r="H315" s="6">
        <v>5</v>
      </c>
      <c r="I315" s="6">
        <v>1</v>
      </c>
      <c r="J315" s="6">
        <v>0.14000000000000001</v>
      </c>
      <c r="K315" s="6">
        <v>0.13639999999999999</v>
      </c>
      <c r="L315" s="6">
        <v>0.69</v>
      </c>
      <c r="M315" s="6">
        <v>0.19400000000000001</v>
      </c>
      <c r="N315" s="6">
        <v>5</v>
      </c>
      <c r="O315" s="6">
        <v>39</v>
      </c>
      <c r="P315" s="6">
        <v>44</v>
      </c>
    </row>
    <row r="316" spans="1:16" x14ac:dyDescent="0.25">
      <c r="A316" s="6">
        <v>933</v>
      </c>
      <c r="B316" s="9">
        <v>40585</v>
      </c>
      <c r="C316" s="6">
        <v>1</v>
      </c>
      <c r="D316" s="6">
        <v>0</v>
      </c>
      <c r="E316" s="6">
        <v>2</v>
      </c>
      <c r="F316" s="6">
        <v>11</v>
      </c>
      <c r="G316" s="6" t="b">
        <v>0</v>
      </c>
      <c r="H316" s="6">
        <v>5</v>
      </c>
      <c r="I316" s="6">
        <v>1</v>
      </c>
      <c r="J316" s="6">
        <v>0.22</v>
      </c>
      <c r="K316" s="6">
        <v>0.2273</v>
      </c>
      <c r="L316" s="6">
        <v>0.47</v>
      </c>
      <c r="M316" s="6">
        <v>0.1343</v>
      </c>
      <c r="N316" s="6">
        <v>12</v>
      </c>
      <c r="O316" s="6">
        <v>52</v>
      </c>
      <c r="P316" s="6">
        <v>64</v>
      </c>
    </row>
    <row r="317" spans="1:16" x14ac:dyDescent="0.25">
      <c r="A317" s="6">
        <v>934</v>
      </c>
      <c r="B317" s="9">
        <v>40585</v>
      </c>
      <c r="C317" s="6">
        <v>1</v>
      </c>
      <c r="D317" s="6">
        <v>0</v>
      </c>
      <c r="E317" s="6">
        <v>2</v>
      </c>
      <c r="F317" s="6">
        <v>12</v>
      </c>
      <c r="G317" s="6" t="b">
        <v>0</v>
      </c>
      <c r="H317" s="6">
        <v>5</v>
      </c>
      <c r="I317" s="6">
        <v>1</v>
      </c>
      <c r="J317" s="6">
        <v>0.22</v>
      </c>
      <c r="K317" s="6">
        <v>0.2273</v>
      </c>
      <c r="L317" s="6">
        <v>0.47</v>
      </c>
      <c r="M317" s="6">
        <v>0.1343</v>
      </c>
      <c r="N317" s="6">
        <v>7</v>
      </c>
      <c r="O317" s="6">
        <v>64</v>
      </c>
      <c r="P317" s="6">
        <v>71</v>
      </c>
    </row>
    <row r="318" spans="1:16" x14ac:dyDescent="0.25">
      <c r="A318" s="6">
        <v>935</v>
      </c>
      <c r="B318" s="9">
        <v>40585</v>
      </c>
      <c r="C318" s="6">
        <v>1</v>
      </c>
      <c r="D318" s="6">
        <v>0</v>
      </c>
      <c r="E318" s="6">
        <v>2</v>
      </c>
      <c r="F318" s="6">
        <v>13</v>
      </c>
      <c r="G318" s="6" t="b">
        <v>0</v>
      </c>
      <c r="H318" s="6">
        <v>5</v>
      </c>
      <c r="I318" s="6">
        <v>1</v>
      </c>
      <c r="J318" s="6">
        <v>0.24</v>
      </c>
      <c r="K318" s="6">
        <v>0.2273</v>
      </c>
      <c r="L318" s="6">
        <v>0.35</v>
      </c>
      <c r="M318" s="6">
        <v>0.19400000000000001</v>
      </c>
      <c r="N318" s="6">
        <v>21</v>
      </c>
      <c r="O318" s="6">
        <v>89</v>
      </c>
      <c r="P318" s="6">
        <v>110</v>
      </c>
    </row>
    <row r="319" spans="1:16" x14ac:dyDescent="0.25">
      <c r="A319" s="6">
        <v>936</v>
      </c>
      <c r="B319" s="9">
        <v>40585</v>
      </c>
      <c r="C319" s="6">
        <v>1</v>
      </c>
      <c r="D319" s="6">
        <v>0</v>
      </c>
      <c r="E319" s="6">
        <v>2</v>
      </c>
      <c r="F319" s="6">
        <v>14</v>
      </c>
      <c r="G319" s="6" t="b">
        <v>0</v>
      </c>
      <c r="H319" s="6">
        <v>5</v>
      </c>
      <c r="I319" s="6">
        <v>1</v>
      </c>
      <c r="J319" s="6">
        <v>0.3</v>
      </c>
      <c r="K319" s="6">
        <v>0.28789999999999999</v>
      </c>
      <c r="L319" s="6">
        <v>0.26</v>
      </c>
      <c r="M319" s="6">
        <v>0.25369999999999998</v>
      </c>
      <c r="N319" s="6">
        <v>17</v>
      </c>
      <c r="O319" s="6">
        <v>67</v>
      </c>
      <c r="P319" s="6">
        <v>84</v>
      </c>
    </row>
    <row r="320" spans="1:16" x14ac:dyDescent="0.25">
      <c r="A320" s="6">
        <v>937</v>
      </c>
      <c r="B320" s="9">
        <v>40585</v>
      </c>
      <c r="C320" s="6">
        <v>1</v>
      </c>
      <c r="D320" s="6">
        <v>0</v>
      </c>
      <c r="E320" s="6">
        <v>2</v>
      </c>
      <c r="F320" s="6">
        <v>15</v>
      </c>
      <c r="G320" s="6" t="b">
        <v>0</v>
      </c>
      <c r="H320" s="6">
        <v>5</v>
      </c>
      <c r="I320" s="6">
        <v>1</v>
      </c>
      <c r="J320" s="6">
        <v>0.32</v>
      </c>
      <c r="K320" s="6">
        <v>0.31819999999999998</v>
      </c>
      <c r="L320" s="6">
        <v>0.21</v>
      </c>
      <c r="M320" s="6">
        <v>0.16420000000000001</v>
      </c>
      <c r="N320" s="6">
        <v>12</v>
      </c>
      <c r="O320" s="6">
        <v>62</v>
      </c>
      <c r="P320" s="6">
        <v>74</v>
      </c>
    </row>
    <row r="321" spans="1:16" x14ac:dyDescent="0.25">
      <c r="A321" s="6">
        <v>938</v>
      </c>
      <c r="B321" s="9">
        <v>40585</v>
      </c>
      <c r="C321" s="6">
        <v>1</v>
      </c>
      <c r="D321" s="6">
        <v>0</v>
      </c>
      <c r="E321" s="6">
        <v>2</v>
      </c>
      <c r="F321" s="6">
        <v>16</v>
      </c>
      <c r="G321" s="6" t="b">
        <v>0</v>
      </c>
      <c r="H321" s="6">
        <v>5</v>
      </c>
      <c r="I321" s="6">
        <v>1</v>
      </c>
      <c r="J321" s="6">
        <v>0.3</v>
      </c>
      <c r="K321" s="6">
        <v>0.28789999999999999</v>
      </c>
      <c r="L321" s="6">
        <v>0.28000000000000003</v>
      </c>
      <c r="M321" s="6">
        <v>0.19400000000000001</v>
      </c>
      <c r="N321" s="6">
        <v>14</v>
      </c>
      <c r="O321" s="6">
        <v>111</v>
      </c>
      <c r="P321" s="6">
        <v>125</v>
      </c>
    </row>
    <row r="322" spans="1:16" x14ac:dyDescent="0.25">
      <c r="A322" s="6">
        <v>939</v>
      </c>
      <c r="B322" s="9">
        <v>40585</v>
      </c>
      <c r="C322" s="6">
        <v>1</v>
      </c>
      <c r="D322" s="6">
        <v>0</v>
      </c>
      <c r="E322" s="6">
        <v>2</v>
      </c>
      <c r="F322" s="6">
        <v>17</v>
      </c>
      <c r="G322" s="6" t="b">
        <v>0</v>
      </c>
      <c r="H322" s="6">
        <v>5</v>
      </c>
      <c r="I322" s="6">
        <v>1</v>
      </c>
      <c r="J322" s="6">
        <v>0.3</v>
      </c>
      <c r="K322" s="6">
        <v>0.33329999999999999</v>
      </c>
      <c r="L322" s="6">
        <v>0.24</v>
      </c>
      <c r="M322" s="6">
        <v>0</v>
      </c>
      <c r="N322" s="6">
        <v>18</v>
      </c>
      <c r="O322" s="6">
        <v>193</v>
      </c>
      <c r="P322" s="6">
        <v>211</v>
      </c>
    </row>
    <row r="323" spans="1:16" x14ac:dyDescent="0.25">
      <c r="A323" s="6">
        <v>940</v>
      </c>
      <c r="B323" s="9">
        <v>40585</v>
      </c>
      <c r="C323" s="6">
        <v>1</v>
      </c>
      <c r="D323" s="6">
        <v>0</v>
      </c>
      <c r="E323" s="6">
        <v>2</v>
      </c>
      <c r="F323" s="6">
        <v>18</v>
      </c>
      <c r="G323" s="6" t="b">
        <v>0</v>
      </c>
      <c r="H323" s="6">
        <v>5</v>
      </c>
      <c r="I323" s="6">
        <v>1</v>
      </c>
      <c r="J323" s="6">
        <v>0.28000000000000003</v>
      </c>
      <c r="K323" s="6">
        <v>0.31819999999999998</v>
      </c>
      <c r="L323" s="6">
        <v>0.28000000000000003</v>
      </c>
      <c r="M323" s="6">
        <v>0</v>
      </c>
      <c r="N323" s="6">
        <v>9</v>
      </c>
      <c r="O323" s="6">
        <v>165</v>
      </c>
      <c r="P323" s="6">
        <v>174</v>
      </c>
    </row>
    <row r="324" spans="1:16" x14ac:dyDescent="0.25">
      <c r="A324" s="6">
        <v>941</v>
      </c>
      <c r="B324" s="9">
        <v>40585</v>
      </c>
      <c r="C324" s="6">
        <v>1</v>
      </c>
      <c r="D324" s="6">
        <v>0</v>
      </c>
      <c r="E324" s="6">
        <v>2</v>
      </c>
      <c r="F324" s="6">
        <v>19</v>
      </c>
      <c r="G324" s="6" t="b">
        <v>0</v>
      </c>
      <c r="H324" s="6">
        <v>5</v>
      </c>
      <c r="I324" s="6">
        <v>1</v>
      </c>
      <c r="J324" s="6">
        <v>0.26</v>
      </c>
      <c r="K324" s="6">
        <v>0.30299999999999999</v>
      </c>
      <c r="L324" s="6">
        <v>0.33</v>
      </c>
      <c r="M324" s="6">
        <v>0</v>
      </c>
      <c r="N324" s="6">
        <v>7</v>
      </c>
      <c r="O324" s="6">
        <v>94</v>
      </c>
      <c r="P324" s="6">
        <v>101</v>
      </c>
    </row>
    <row r="325" spans="1:16" x14ac:dyDescent="0.25">
      <c r="A325" s="6">
        <v>942</v>
      </c>
      <c r="B325" s="9">
        <v>40585</v>
      </c>
      <c r="C325" s="6">
        <v>1</v>
      </c>
      <c r="D325" s="6">
        <v>0</v>
      </c>
      <c r="E325" s="6">
        <v>2</v>
      </c>
      <c r="F325" s="6">
        <v>20</v>
      </c>
      <c r="G325" s="6" t="b">
        <v>0</v>
      </c>
      <c r="H325" s="6">
        <v>5</v>
      </c>
      <c r="I325" s="6">
        <v>1</v>
      </c>
      <c r="J325" s="6">
        <v>0.22</v>
      </c>
      <c r="K325" s="6">
        <v>0.2273</v>
      </c>
      <c r="L325" s="6">
        <v>0.55000000000000004</v>
      </c>
      <c r="M325" s="6">
        <v>0.1343</v>
      </c>
      <c r="N325" s="6">
        <v>2</v>
      </c>
      <c r="O325" s="6">
        <v>61</v>
      </c>
      <c r="P325" s="6">
        <v>63</v>
      </c>
    </row>
    <row r="326" spans="1:16" x14ac:dyDescent="0.25">
      <c r="A326" s="6">
        <v>943</v>
      </c>
      <c r="B326" s="9">
        <v>40585</v>
      </c>
      <c r="C326" s="6">
        <v>1</v>
      </c>
      <c r="D326" s="6">
        <v>0</v>
      </c>
      <c r="E326" s="6">
        <v>2</v>
      </c>
      <c r="F326" s="6">
        <v>21</v>
      </c>
      <c r="G326" s="6" t="b">
        <v>0</v>
      </c>
      <c r="H326" s="6">
        <v>5</v>
      </c>
      <c r="I326" s="6">
        <v>1</v>
      </c>
      <c r="J326" s="6">
        <v>0.2</v>
      </c>
      <c r="K326" s="6">
        <v>0.21210000000000001</v>
      </c>
      <c r="L326" s="6">
        <v>0.59</v>
      </c>
      <c r="M326" s="6">
        <v>0.1343</v>
      </c>
      <c r="N326" s="6">
        <v>1</v>
      </c>
      <c r="O326" s="6">
        <v>46</v>
      </c>
      <c r="P326" s="6">
        <v>47</v>
      </c>
    </row>
    <row r="327" spans="1:16" x14ac:dyDescent="0.25">
      <c r="A327" s="6">
        <v>944</v>
      </c>
      <c r="B327" s="9">
        <v>40585</v>
      </c>
      <c r="C327" s="6">
        <v>1</v>
      </c>
      <c r="D327" s="6">
        <v>0</v>
      </c>
      <c r="E327" s="6">
        <v>2</v>
      </c>
      <c r="F327" s="6">
        <v>22</v>
      </c>
      <c r="G327" s="6" t="b">
        <v>0</v>
      </c>
      <c r="H327" s="6">
        <v>5</v>
      </c>
      <c r="I327" s="6">
        <v>1</v>
      </c>
      <c r="J327" s="6">
        <v>0.2</v>
      </c>
      <c r="K327" s="6">
        <v>0.2273</v>
      </c>
      <c r="L327" s="6">
        <v>0.64</v>
      </c>
      <c r="M327" s="6">
        <v>8.9599999999999999E-2</v>
      </c>
      <c r="N327" s="6">
        <v>2</v>
      </c>
      <c r="O327" s="6">
        <v>41</v>
      </c>
      <c r="P327" s="6">
        <v>43</v>
      </c>
    </row>
    <row r="328" spans="1:16" x14ac:dyDescent="0.25">
      <c r="A328" s="6">
        <v>945</v>
      </c>
      <c r="B328" s="9">
        <v>40585</v>
      </c>
      <c r="C328" s="6">
        <v>1</v>
      </c>
      <c r="D328" s="6">
        <v>0</v>
      </c>
      <c r="E328" s="6">
        <v>2</v>
      </c>
      <c r="F328" s="6">
        <v>23</v>
      </c>
      <c r="G328" s="6" t="b">
        <v>0</v>
      </c>
      <c r="H328" s="6">
        <v>5</v>
      </c>
      <c r="I328" s="6">
        <v>1</v>
      </c>
      <c r="J328" s="6">
        <v>0.18</v>
      </c>
      <c r="K328" s="6">
        <v>0.2424</v>
      </c>
      <c r="L328" s="6">
        <v>0.69</v>
      </c>
      <c r="M328" s="6">
        <v>0</v>
      </c>
      <c r="N328" s="6">
        <v>5</v>
      </c>
      <c r="O328" s="6">
        <v>48</v>
      </c>
      <c r="P328" s="6">
        <v>53</v>
      </c>
    </row>
    <row r="329" spans="1:16" x14ac:dyDescent="0.25">
      <c r="A329" s="6">
        <v>946</v>
      </c>
      <c r="B329" s="9">
        <v>40586</v>
      </c>
      <c r="C329" s="6">
        <v>1</v>
      </c>
      <c r="D329" s="6">
        <v>0</v>
      </c>
      <c r="E329" s="6">
        <v>2</v>
      </c>
      <c r="F329" s="6">
        <v>0</v>
      </c>
      <c r="G329" s="6" t="b">
        <v>0</v>
      </c>
      <c r="H329" s="6">
        <v>6</v>
      </c>
      <c r="I329" s="6">
        <v>1</v>
      </c>
      <c r="J329" s="6">
        <v>0.16</v>
      </c>
      <c r="K329" s="6">
        <v>0.19700000000000001</v>
      </c>
      <c r="L329" s="6">
        <v>0.69</v>
      </c>
      <c r="M329" s="6">
        <v>8.9599999999999999E-2</v>
      </c>
      <c r="N329" s="6">
        <v>3</v>
      </c>
      <c r="O329" s="6">
        <v>27</v>
      </c>
      <c r="P329" s="6">
        <v>30</v>
      </c>
    </row>
    <row r="330" spans="1:16" x14ac:dyDescent="0.25">
      <c r="A330" s="6">
        <v>947</v>
      </c>
      <c r="B330" s="9">
        <v>40586</v>
      </c>
      <c r="C330" s="6">
        <v>1</v>
      </c>
      <c r="D330" s="6">
        <v>0</v>
      </c>
      <c r="E330" s="6">
        <v>2</v>
      </c>
      <c r="F330" s="6">
        <v>1</v>
      </c>
      <c r="G330" s="6" t="b">
        <v>0</v>
      </c>
      <c r="H330" s="6">
        <v>6</v>
      </c>
      <c r="I330" s="6">
        <v>1</v>
      </c>
      <c r="J330" s="6">
        <v>0.14000000000000001</v>
      </c>
      <c r="K330" s="6">
        <v>0.21210000000000001</v>
      </c>
      <c r="L330" s="6">
        <v>0.86</v>
      </c>
      <c r="M330" s="6">
        <v>0</v>
      </c>
      <c r="N330" s="6">
        <v>2</v>
      </c>
      <c r="O330" s="6">
        <v>22</v>
      </c>
      <c r="P330" s="6">
        <v>24</v>
      </c>
    </row>
    <row r="331" spans="1:16" x14ac:dyDescent="0.25">
      <c r="A331" s="6">
        <v>948</v>
      </c>
      <c r="B331" s="9">
        <v>40586</v>
      </c>
      <c r="C331" s="6">
        <v>1</v>
      </c>
      <c r="D331" s="6">
        <v>0</v>
      </c>
      <c r="E331" s="6">
        <v>2</v>
      </c>
      <c r="F331" s="6">
        <v>2</v>
      </c>
      <c r="G331" s="6" t="b">
        <v>0</v>
      </c>
      <c r="H331" s="6">
        <v>6</v>
      </c>
      <c r="I331" s="6">
        <v>1</v>
      </c>
      <c r="J331" s="6">
        <v>0.14000000000000001</v>
      </c>
      <c r="K331" s="6">
        <v>0.21210000000000001</v>
      </c>
      <c r="L331" s="6">
        <v>0.8</v>
      </c>
      <c r="M331" s="6">
        <v>0</v>
      </c>
      <c r="N331" s="6">
        <v>2</v>
      </c>
      <c r="O331" s="6">
        <v>13</v>
      </c>
      <c r="P331" s="6">
        <v>15</v>
      </c>
    </row>
    <row r="332" spans="1:16" x14ac:dyDescent="0.25">
      <c r="A332" s="6">
        <v>949</v>
      </c>
      <c r="B332" s="9">
        <v>40586</v>
      </c>
      <c r="C332" s="6">
        <v>1</v>
      </c>
      <c r="D332" s="6">
        <v>0</v>
      </c>
      <c r="E332" s="6">
        <v>2</v>
      </c>
      <c r="F332" s="6">
        <v>3</v>
      </c>
      <c r="G332" s="6" t="b">
        <v>0</v>
      </c>
      <c r="H332" s="6">
        <v>6</v>
      </c>
      <c r="I332" s="6">
        <v>1</v>
      </c>
      <c r="J332" s="6">
        <v>0.12</v>
      </c>
      <c r="K332" s="6">
        <v>0.19700000000000001</v>
      </c>
      <c r="L332" s="6">
        <v>0.8</v>
      </c>
      <c r="M332" s="6">
        <v>0</v>
      </c>
      <c r="N332" s="6">
        <v>3</v>
      </c>
      <c r="O332" s="6">
        <v>7</v>
      </c>
      <c r="P332" s="6">
        <v>10</v>
      </c>
    </row>
    <row r="333" spans="1:16" x14ac:dyDescent="0.25">
      <c r="A333" s="6">
        <v>950</v>
      </c>
      <c r="B333" s="9">
        <v>40586</v>
      </c>
      <c r="C333" s="6">
        <v>1</v>
      </c>
      <c r="D333" s="6">
        <v>0</v>
      </c>
      <c r="E333" s="6">
        <v>2</v>
      </c>
      <c r="F333" s="6">
        <v>4</v>
      </c>
      <c r="G333" s="6" t="b">
        <v>0</v>
      </c>
      <c r="H333" s="6">
        <v>6</v>
      </c>
      <c r="I333" s="6">
        <v>1</v>
      </c>
      <c r="J333" s="6">
        <v>0.12</v>
      </c>
      <c r="K333" s="6">
        <v>0.16669999999999999</v>
      </c>
      <c r="L333" s="6">
        <v>0.74</v>
      </c>
      <c r="M333" s="6">
        <v>8.9599999999999999E-2</v>
      </c>
      <c r="N333" s="6">
        <v>0</v>
      </c>
      <c r="O333" s="6">
        <v>4</v>
      </c>
      <c r="P333" s="6">
        <v>4</v>
      </c>
    </row>
    <row r="334" spans="1:16" x14ac:dyDescent="0.25">
      <c r="A334" s="6">
        <v>951</v>
      </c>
      <c r="B334" s="9">
        <v>40586</v>
      </c>
      <c r="C334" s="6">
        <v>1</v>
      </c>
      <c r="D334" s="6">
        <v>0</v>
      </c>
      <c r="E334" s="6">
        <v>2</v>
      </c>
      <c r="F334" s="6">
        <v>5</v>
      </c>
      <c r="G334" s="6" t="b">
        <v>0</v>
      </c>
      <c r="H334" s="6">
        <v>6</v>
      </c>
      <c r="I334" s="6">
        <v>1</v>
      </c>
      <c r="J334" s="6">
        <v>0.12</v>
      </c>
      <c r="K334" s="6">
        <v>0.16669999999999999</v>
      </c>
      <c r="L334" s="6">
        <v>0.74</v>
      </c>
      <c r="M334" s="6">
        <v>8.9599999999999999E-2</v>
      </c>
      <c r="N334" s="6">
        <v>0</v>
      </c>
      <c r="O334" s="6">
        <v>1</v>
      </c>
      <c r="P334" s="6">
        <v>1</v>
      </c>
    </row>
    <row r="335" spans="1:16" x14ac:dyDescent="0.25">
      <c r="A335" s="6">
        <v>952</v>
      </c>
      <c r="B335" s="9">
        <v>40586</v>
      </c>
      <c r="C335" s="6">
        <v>1</v>
      </c>
      <c r="D335" s="6">
        <v>0</v>
      </c>
      <c r="E335" s="6">
        <v>2</v>
      </c>
      <c r="F335" s="6">
        <v>6</v>
      </c>
      <c r="G335" s="6" t="b">
        <v>0</v>
      </c>
      <c r="H335" s="6">
        <v>6</v>
      </c>
      <c r="I335" s="6">
        <v>1</v>
      </c>
      <c r="J335" s="6">
        <v>0.12</v>
      </c>
      <c r="K335" s="6">
        <v>0.13639999999999999</v>
      </c>
      <c r="L335" s="6">
        <v>0.93</v>
      </c>
      <c r="M335" s="6">
        <v>0.19400000000000001</v>
      </c>
      <c r="N335" s="6">
        <v>1</v>
      </c>
      <c r="O335" s="6">
        <v>1</v>
      </c>
      <c r="P335" s="6">
        <v>2</v>
      </c>
    </row>
    <row r="336" spans="1:16" x14ac:dyDescent="0.25">
      <c r="A336" s="6">
        <v>953</v>
      </c>
      <c r="B336" s="9">
        <v>40586</v>
      </c>
      <c r="C336" s="6">
        <v>1</v>
      </c>
      <c r="D336" s="6">
        <v>0</v>
      </c>
      <c r="E336" s="6">
        <v>2</v>
      </c>
      <c r="F336" s="6">
        <v>7</v>
      </c>
      <c r="G336" s="6" t="b">
        <v>0</v>
      </c>
      <c r="H336" s="6">
        <v>6</v>
      </c>
      <c r="I336" s="6">
        <v>1</v>
      </c>
      <c r="J336" s="6">
        <v>0.12</v>
      </c>
      <c r="K336" s="6">
        <v>0.1515</v>
      </c>
      <c r="L336" s="6">
        <v>0.8</v>
      </c>
      <c r="M336" s="6">
        <v>0.1045</v>
      </c>
      <c r="N336" s="6">
        <v>2</v>
      </c>
      <c r="O336" s="6">
        <v>9</v>
      </c>
      <c r="P336" s="6">
        <v>11</v>
      </c>
    </row>
    <row r="337" spans="1:16" x14ac:dyDescent="0.25">
      <c r="A337" s="6">
        <v>954</v>
      </c>
      <c r="B337" s="9">
        <v>40586</v>
      </c>
      <c r="C337" s="6">
        <v>1</v>
      </c>
      <c r="D337" s="6">
        <v>0</v>
      </c>
      <c r="E337" s="6">
        <v>2</v>
      </c>
      <c r="F337" s="6">
        <v>8</v>
      </c>
      <c r="G337" s="6" t="b">
        <v>0</v>
      </c>
      <c r="H337" s="6">
        <v>6</v>
      </c>
      <c r="I337" s="6">
        <v>1</v>
      </c>
      <c r="J337" s="6">
        <v>0.14000000000000001</v>
      </c>
      <c r="K337" s="6">
        <v>0.1515</v>
      </c>
      <c r="L337" s="6">
        <v>0.86</v>
      </c>
      <c r="M337" s="6">
        <v>0.1343</v>
      </c>
      <c r="N337" s="6">
        <v>2</v>
      </c>
      <c r="O337" s="6">
        <v>28</v>
      </c>
      <c r="P337" s="6">
        <v>30</v>
      </c>
    </row>
    <row r="338" spans="1:16" x14ac:dyDescent="0.25">
      <c r="A338" s="6">
        <v>955</v>
      </c>
      <c r="B338" s="9">
        <v>40586</v>
      </c>
      <c r="C338" s="6">
        <v>1</v>
      </c>
      <c r="D338" s="6">
        <v>0</v>
      </c>
      <c r="E338" s="6">
        <v>2</v>
      </c>
      <c r="F338" s="6">
        <v>9</v>
      </c>
      <c r="G338" s="6" t="b">
        <v>0</v>
      </c>
      <c r="H338" s="6">
        <v>6</v>
      </c>
      <c r="I338" s="6">
        <v>1</v>
      </c>
      <c r="J338" s="6">
        <v>0.16</v>
      </c>
      <c r="K338" s="6">
        <v>0.18179999999999999</v>
      </c>
      <c r="L338" s="6">
        <v>0.64</v>
      </c>
      <c r="M338" s="6">
        <v>0.1343</v>
      </c>
      <c r="N338" s="6">
        <v>5</v>
      </c>
      <c r="O338" s="6">
        <v>38</v>
      </c>
      <c r="P338" s="6">
        <v>43</v>
      </c>
    </row>
    <row r="339" spans="1:16" x14ac:dyDescent="0.25">
      <c r="A339" s="6">
        <v>956</v>
      </c>
      <c r="B339" s="9">
        <v>40586</v>
      </c>
      <c r="C339" s="6">
        <v>1</v>
      </c>
      <c r="D339" s="6">
        <v>0</v>
      </c>
      <c r="E339" s="6">
        <v>2</v>
      </c>
      <c r="F339" s="6">
        <v>10</v>
      </c>
      <c r="G339" s="6" t="b">
        <v>0</v>
      </c>
      <c r="H339" s="6">
        <v>6</v>
      </c>
      <c r="I339" s="6">
        <v>1</v>
      </c>
      <c r="J339" s="6">
        <v>0.22</v>
      </c>
      <c r="K339" s="6">
        <v>0.21210000000000001</v>
      </c>
      <c r="L339" s="6">
        <v>0.41</v>
      </c>
      <c r="M339" s="6">
        <v>0.25369999999999998</v>
      </c>
      <c r="N339" s="6">
        <v>13</v>
      </c>
      <c r="O339" s="6">
        <v>71</v>
      </c>
      <c r="P339" s="6">
        <v>84</v>
      </c>
    </row>
    <row r="340" spans="1:16" x14ac:dyDescent="0.25">
      <c r="A340" s="6">
        <v>957</v>
      </c>
      <c r="B340" s="9">
        <v>40586</v>
      </c>
      <c r="C340" s="6">
        <v>1</v>
      </c>
      <c r="D340" s="6">
        <v>0</v>
      </c>
      <c r="E340" s="6">
        <v>2</v>
      </c>
      <c r="F340" s="6">
        <v>11</v>
      </c>
      <c r="G340" s="6" t="b">
        <v>0</v>
      </c>
      <c r="H340" s="6">
        <v>6</v>
      </c>
      <c r="I340" s="6">
        <v>1</v>
      </c>
      <c r="J340" s="6">
        <v>0.3</v>
      </c>
      <c r="K340" s="6">
        <v>0.2727</v>
      </c>
      <c r="L340" s="6">
        <v>0.28000000000000003</v>
      </c>
      <c r="M340" s="6">
        <v>0.32840000000000003</v>
      </c>
      <c r="N340" s="6">
        <v>30</v>
      </c>
      <c r="O340" s="6">
        <v>84</v>
      </c>
      <c r="P340" s="6">
        <v>114</v>
      </c>
    </row>
    <row r="341" spans="1:16" x14ac:dyDescent="0.25">
      <c r="A341" s="6">
        <v>958</v>
      </c>
      <c r="B341" s="9">
        <v>40586</v>
      </c>
      <c r="C341" s="6">
        <v>1</v>
      </c>
      <c r="D341" s="6">
        <v>0</v>
      </c>
      <c r="E341" s="6">
        <v>2</v>
      </c>
      <c r="F341" s="6">
        <v>12</v>
      </c>
      <c r="G341" s="6" t="b">
        <v>0</v>
      </c>
      <c r="H341" s="6">
        <v>6</v>
      </c>
      <c r="I341" s="6">
        <v>1</v>
      </c>
      <c r="J341" s="6">
        <v>0.3</v>
      </c>
      <c r="K341" s="6">
        <v>0.2727</v>
      </c>
      <c r="L341" s="6">
        <v>0.39</v>
      </c>
      <c r="M341" s="6">
        <v>0.4627</v>
      </c>
      <c r="N341" s="6">
        <v>27</v>
      </c>
      <c r="O341" s="6">
        <v>93</v>
      </c>
      <c r="P341" s="6">
        <v>120</v>
      </c>
    </row>
    <row r="342" spans="1:16" x14ac:dyDescent="0.25">
      <c r="A342" s="6">
        <v>959</v>
      </c>
      <c r="B342" s="9">
        <v>40586</v>
      </c>
      <c r="C342" s="6">
        <v>1</v>
      </c>
      <c r="D342" s="6">
        <v>0</v>
      </c>
      <c r="E342" s="6">
        <v>2</v>
      </c>
      <c r="F342" s="6">
        <v>13</v>
      </c>
      <c r="G342" s="6" t="b">
        <v>0</v>
      </c>
      <c r="H342" s="6">
        <v>6</v>
      </c>
      <c r="I342" s="6">
        <v>1</v>
      </c>
      <c r="J342" s="6">
        <v>0.3</v>
      </c>
      <c r="K342" s="6">
        <v>0.2727</v>
      </c>
      <c r="L342" s="6">
        <v>0.39</v>
      </c>
      <c r="M342" s="6">
        <v>0.41789999999999999</v>
      </c>
      <c r="N342" s="6">
        <v>32</v>
      </c>
      <c r="O342" s="6">
        <v>103</v>
      </c>
      <c r="P342" s="6">
        <v>135</v>
      </c>
    </row>
    <row r="343" spans="1:16" x14ac:dyDescent="0.25">
      <c r="A343" s="6">
        <v>960</v>
      </c>
      <c r="B343" s="9">
        <v>40586</v>
      </c>
      <c r="C343" s="6">
        <v>1</v>
      </c>
      <c r="D343" s="6">
        <v>0</v>
      </c>
      <c r="E343" s="6">
        <v>2</v>
      </c>
      <c r="F343" s="6">
        <v>14</v>
      </c>
      <c r="G343" s="6" t="b">
        <v>0</v>
      </c>
      <c r="H343" s="6">
        <v>6</v>
      </c>
      <c r="I343" s="6">
        <v>1</v>
      </c>
      <c r="J343" s="6">
        <v>0.34</v>
      </c>
      <c r="K343" s="6">
        <v>0.31819999999999998</v>
      </c>
      <c r="L343" s="6">
        <v>0.31</v>
      </c>
      <c r="M343" s="6">
        <v>0.28360000000000002</v>
      </c>
      <c r="N343" s="6">
        <v>30</v>
      </c>
      <c r="O343" s="6">
        <v>90</v>
      </c>
      <c r="P343" s="6">
        <v>120</v>
      </c>
    </row>
    <row r="344" spans="1:16" x14ac:dyDescent="0.25">
      <c r="A344" s="6">
        <v>961</v>
      </c>
      <c r="B344" s="9">
        <v>40586</v>
      </c>
      <c r="C344" s="6">
        <v>1</v>
      </c>
      <c r="D344" s="6">
        <v>0</v>
      </c>
      <c r="E344" s="6">
        <v>2</v>
      </c>
      <c r="F344" s="6">
        <v>15</v>
      </c>
      <c r="G344" s="6" t="b">
        <v>0</v>
      </c>
      <c r="H344" s="6">
        <v>6</v>
      </c>
      <c r="I344" s="6">
        <v>1</v>
      </c>
      <c r="J344" s="6">
        <v>0.34</v>
      </c>
      <c r="K344" s="6">
        <v>0.30299999999999999</v>
      </c>
      <c r="L344" s="6">
        <v>0.28999999999999998</v>
      </c>
      <c r="M344" s="6">
        <v>0.41789999999999999</v>
      </c>
      <c r="N344" s="6">
        <v>47</v>
      </c>
      <c r="O344" s="6">
        <v>127</v>
      </c>
      <c r="P344" s="6">
        <v>174</v>
      </c>
    </row>
    <row r="345" spans="1:16" x14ac:dyDescent="0.25">
      <c r="A345" s="6">
        <v>962</v>
      </c>
      <c r="B345" s="9">
        <v>40586</v>
      </c>
      <c r="C345" s="6">
        <v>1</v>
      </c>
      <c r="D345" s="6">
        <v>0</v>
      </c>
      <c r="E345" s="6">
        <v>2</v>
      </c>
      <c r="F345" s="6">
        <v>16</v>
      </c>
      <c r="G345" s="6" t="b">
        <v>0</v>
      </c>
      <c r="H345" s="6">
        <v>6</v>
      </c>
      <c r="I345" s="6">
        <v>1</v>
      </c>
      <c r="J345" s="6">
        <v>0.34</v>
      </c>
      <c r="K345" s="6">
        <v>0.30299999999999999</v>
      </c>
      <c r="L345" s="6">
        <v>0.28999999999999998</v>
      </c>
      <c r="M345" s="6">
        <v>0.41789999999999999</v>
      </c>
      <c r="N345" s="6">
        <v>42</v>
      </c>
      <c r="O345" s="6">
        <v>103</v>
      </c>
      <c r="P345" s="6">
        <v>145</v>
      </c>
    </row>
    <row r="346" spans="1:16" x14ac:dyDescent="0.25">
      <c r="A346" s="6">
        <v>963</v>
      </c>
      <c r="B346" s="9">
        <v>40586</v>
      </c>
      <c r="C346" s="6">
        <v>1</v>
      </c>
      <c r="D346" s="6">
        <v>0</v>
      </c>
      <c r="E346" s="6">
        <v>2</v>
      </c>
      <c r="F346" s="6">
        <v>17</v>
      </c>
      <c r="G346" s="6" t="b">
        <v>0</v>
      </c>
      <c r="H346" s="6">
        <v>6</v>
      </c>
      <c r="I346" s="6">
        <v>1</v>
      </c>
      <c r="J346" s="6">
        <v>0.32</v>
      </c>
      <c r="K346" s="6">
        <v>0.28789999999999999</v>
      </c>
      <c r="L346" s="6">
        <v>0.31</v>
      </c>
      <c r="M346" s="6">
        <v>0.52239999999999998</v>
      </c>
      <c r="N346" s="6">
        <v>24</v>
      </c>
      <c r="O346" s="6">
        <v>113</v>
      </c>
      <c r="P346" s="6">
        <v>137</v>
      </c>
    </row>
    <row r="347" spans="1:16" x14ac:dyDescent="0.25">
      <c r="A347" s="6">
        <v>964</v>
      </c>
      <c r="B347" s="9">
        <v>40586</v>
      </c>
      <c r="C347" s="6">
        <v>1</v>
      </c>
      <c r="D347" s="6">
        <v>0</v>
      </c>
      <c r="E347" s="6">
        <v>2</v>
      </c>
      <c r="F347" s="6">
        <v>18</v>
      </c>
      <c r="G347" s="6" t="b">
        <v>0</v>
      </c>
      <c r="H347" s="6">
        <v>6</v>
      </c>
      <c r="I347" s="6">
        <v>1</v>
      </c>
      <c r="J347" s="6">
        <v>0.28000000000000003</v>
      </c>
      <c r="K347" s="6">
        <v>0.2576</v>
      </c>
      <c r="L347" s="6">
        <v>0.38</v>
      </c>
      <c r="M347" s="6">
        <v>0.32840000000000003</v>
      </c>
      <c r="N347" s="6">
        <v>4</v>
      </c>
      <c r="O347" s="6">
        <v>60</v>
      </c>
      <c r="P347" s="6">
        <v>64</v>
      </c>
    </row>
    <row r="348" spans="1:16" x14ac:dyDescent="0.25">
      <c r="A348" s="6">
        <v>965</v>
      </c>
      <c r="B348" s="9">
        <v>40586</v>
      </c>
      <c r="C348" s="6">
        <v>1</v>
      </c>
      <c r="D348" s="6">
        <v>0</v>
      </c>
      <c r="E348" s="6">
        <v>2</v>
      </c>
      <c r="F348" s="6">
        <v>19</v>
      </c>
      <c r="G348" s="6" t="b">
        <v>0</v>
      </c>
      <c r="H348" s="6">
        <v>6</v>
      </c>
      <c r="I348" s="6">
        <v>1</v>
      </c>
      <c r="J348" s="6">
        <v>0.28000000000000003</v>
      </c>
      <c r="K348" s="6">
        <v>0.2727</v>
      </c>
      <c r="L348" s="6">
        <v>0.38</v>
      </c>
      <c r="M348" s="6">
        <v>0.16420000000000001</v>
      </c>
      <c r="N348" s="6">
        <v>2</v>
      </c>
      <c r="O348" s="6">
        <v>39</v>
      </c>
      <c r="P348" s="6">
        <v>41</v>
      </c>
    </row>
    <row r="349" spans="1:16" x14ac:dyDescent="0.25">
      <c r="A349" s="6">
        <v>966</v>
      </c>
      <c r="B349" s="9">
        <v>40586</v>
      </c>
      <c r="C349" s="6">
        <v>1</v>
      </c>
      <c r="D349" s="6">
        <v>0</v>
      </c>
      <c r="E349" s="6">
        <v>2</v>
      </c>
      <c r="F349" s="6">
        <v>20</v>
      </c>
      <c r="G349" s="6" t="b">
        <v>0</v>
      </c>
      <c r="H349" s="6">
        <v>6</v>
      </c>
      <c r="I349" s="6">
        <v>1</v>
      </c>
      <c r="J349" s="6">
        <v>0.26</v>
      </c>
      <c r="K349" s="6">
        <v>0.2576</v>
      </c>
      <c r="L349" s="6">
        <v>0.41</v>
      </c>
      <c r="M349" s="6">
        <v>0.22389999999999999</v>
      </c>
      <c r="N349" s="6">
        <v>1</v>
      </c>
      <c r="O349" s="6">
        <v>39</v>
      </c>
      <c r="P349" s="6">
        <v>40</v>
      </c>
    </row>
    <row r="350" spans="1:16" x14ac:dyDescent="0.25">
      <c r="A350" s="6">
        <v>967</v>
      </c>
      <c r="B350" s="9">
        <v>40586</v>
      </c>
      <c r="C350" s="6">
        <v>1</v>
      </c>
      <c r="D350" s="6">
        <v>0</v>
      </c>
      <c r="E350" s="6">
        <v>2</v>
      </c>
      <c r="F350" s="6">
        <v>21</v>
      </c>
      <c r="G350" s="6" t="b">
        <v>0</v>
      </c>
      <c r="H350" s="6">
        <v>6</v>
      </c>
      <c r="I350" s="6">
        <v>1</v>
      </c>
      <c r="J350" s="6">
        <v>0.26</v>
      </c>
      <c r="K350" s="6">
        <v>0.30299999999999999</v>
      </c>
      <c r="L350" s="6">
        <v>0.41</v>
      </c>
      <c r="M350" s="6">
        <v>0</v>
      </c>
      <c r="N350" s="6">
        <v>9</v>
      </c>
      <c r="O350" s="6">
        <v>42</v>
      </c>
      <c r="P350" s="6">
        <v>51</v>
      </c>
    </row>
    <row r="351" spans="1:16" x14ac:dyDescent="0.25">
      <c r="A351" s="6">
        <v>968</v>
      </c>
      <c r="B351" s="9">
        <v>40586</v>
      </c>
      <c r="C351" s="6">
        <v>1</v>
      </c>
      <c r="D351" s="6">
        <v>0</v>
      </c>
      <c r="E351" s="6">
        <v>2</v>
      </c>
      <c r="F351" s="6">
        <v>22</v>
      </c>
      <c r="G351" s="6" t="b">
        <v>0</v>
      </c>
      <c r="H351" s="6">
        <v>6</v>
      </c>
      <c r="I351" s="6">
        <v>1</v>
      </c>
      <c r="J351" s="6">
        <v>0.24</v>
      </c>
      <c r="K351" s="6">
        <v>0.2576</v>
      </c>
      <c r="L351" s="6">
        <v>0.44</v>
      </c>
      <c r="M351" s="6">
        <v>8.9599999999999999E-2</v>
      </c>
      <c r="N351" s="6">
        <v>6</v>
      </c>
      <c r="O351" s="6">
        <v>39</v>
      </c>
      <c r="P351" s="6">
        <v>45</v>
      </c>
    </row>
    <row r="352" spans="1:16" x14ac:dyDescent="0.25">
      <c r="A352" s="6">
        <v>969</v>
      </c>
      <c r="B352" s="9">
        <v>40586</v>
      </c>
      <c r="C352" s="6">
        <v>1</v>
      </c>
      <c r="D352" s="6">
        <v>0</v>
      </c>
      <c r="E352" s="6">
        <v>2</v>
      </c>
      <c r="F352" s="6">
        <v>23</v>
      </c>
      <c r="G352" s="6" t="b">
        <v>0</v>
      </c>
      <c r="H352" s="6">
        <v>6</v>
      </c>
      <c r="I352" s="6">
        <v>1</v>
      </c>
      <c r="J352" s="6">
        <v>0.22</v>
      </c>
      <c r="K352" s="6">
        <v>0.2273</v>
      </c>
      <c r="L352" s="6">
        <v>0.51</v>
      </c>
      <c r="M352" s="6">
        <v>0.1343</v>
      </c>
      <c r="N352" s="6">
        <v>1</v>
      </c>
      <c r="O352" s="6">
        <v>31</v>
      </c>
      <c r="P352" s="6">
        <v>32</v>
      </c>
    </row>
    <row r="353" spans="1:16" x14ac:dyDescent="0.25">
      <c r="A353" s="6">
        <v>970</v>
      </c>
      <c r="B353" s="9">
        <v>40587</v>
      </c>
      <c r="C353" s="6">
        <v>1</v>
      </c>
      <c r="D353" s="6">
        <v>0</v>
      </c>
      <c r="E353" s="6">
        <v>2</v>
      </c>
      <c r="F353" s="6">
        <v>0</v>
      </c>
      <c r="G353" s="6" t="b">
        <v>0</v>
      </c>
      <c r="H353" s="6">
        <v>0</v>
      </c>
      <c r="I353" s="6">
        <v>1</v>
      </c>
      <c r="J353" s="6">
        <v>0.2</v>
      </c>
      <c r="K353" s="6">
        <v>0.2273</v>
      </c>
      <c r="L353" s="6">
        <v>0.64</v>
      </c>
      <c r="M353" s="6">
        <v>0.1045</v>
      </c>
      <c r="N353" s="6">
        <v>5</v>
      </c>
      <c r="O353" s="6">
        <v>34</v>
      </c>
      <c r="P353" s="6">
        <v>39</v>
      </c>
    </row>
    <row r="354" spans="1:16" x14ac:dyDescent="0.25">
      <c r="A354" s="6">
        <v>971</v>
      </c>
      <c r="B354" s="9">
        <v>40587</v>
      </c>
      <c r="C354" s="6">
        <v>1</v>
      </c>
      <c r="D354" s="6">
        <v>0</v>
      </c>
      <c r="E354" s="6">
        <v>2</v>
      </c>
      <c r="F354" s="6">
        <v>1</v>
      </c>
      <c r="G354" s="6" t="b">
        <v>0</v>
      </c>
      <c r="H354" s="6">
        <v>0</v>
      </c>
      <c r="I354" s="6">
        <v>1</v>
      </c>
      <c r="J354" s="6">
        <v>0.2</v>
      </c>
      <c r="K354" s="6">
        <v>0.2273</v>
      </c>
      <c r="L354" s="6">
        <v>0.59</v>
      </c>
      <c r="M354" s="6">
        <v>8.9599999999999999E-2</v>
      </c>
      <c r="N354" s="6">
        <v>1</v>
      </c>
      <c r="O354" s="6">
        <v>23</v>
      </c>
      <c r="P354" s="6">
        <v>24</v>
      </c>
    </row>
    <row r="355" spans="1:16" x14ac:dyDescent="0.25">
      <c r="A355" s="6">
        <v>972</v>
      </c>
      <c r="B355" s="9">
        <v>40587</v>
      </c>
      <c r="C355" s="6">
        <v>1</v>
      </c>
      <c r="D355" s="6">
        <v>0</v>
      </c>
      <c r="E355" s="6">
        <v>2</v>
      </c>
      <c r="F355" s="6">
        <v>2</v>
      </c>
      <c r="G355" s="6" t="b">
        <v>0</v>
      </c>
      <c r="H355" s="6">
        <v>0</v>
      </c>
      <c r="I355" s="6">
        <v>2</v>
      </c>
      <c r="J355" s="6">
        <v>0.2</v>
      </c>
      <c r="K355" s="6">
        <v>0.2273</v>
      </c>
      <c r="L355" s="6">
        <v>0.75</v>
      </c>
      <c r="M355" s="6">
        <v>8.9599999999999999E-2</v>
      </c>
      <c r="N355" s="6">
        <v>1</v>
      </c>
      <c r="O355" s="6">
        <v>19</v>
      </c>
      <c r="P355" s="6">
        <v>20</v>
      </c>
    </row>
    <row r="356" spans="1:16" x14ac:dyDescent="0.25">
      <c r="A356" s="6">
        <v>973</v>
      </c>
      <c r="B356" s="9">
        <v>40587</v>
      </c>
      <c r="C356" s="6">
        <v>1</v>
      </c>
      <c r="D356" s="6">
        <v>0</v>
      </c>
      <c r="E356" s="6">
        <v>2</v>
      </c>
      <c r="F356" s="6">
        <v>3</v>
      </c>
      <c r="G356" s="6" t="b">
        <v>0</v>
      </c>
      <c r="H356" s="6">
        <v>0</v>
      </c>
      <c r="I356" s="6">
        <v>2</v>
      </c>
      <c r="J356" s="6">
        <v>0.2</v>
      </c>
      <c r="K356" s="6">
        <v>0.2273</v>
      </c>
      <c r="L356" s="6">
        <v>0.69</v>
      </c>
      <c r="M356" s="6">
        <v>0.1045</v>
      </c>
      <c r="N356" s="6">
        <v>4</v>
      </c>
      <c r="O356" s="6">
        <v>8</v>
      </c>
      <c r="P356" s="6">
        <v>12</v>
      </c>
    </row>
    <row r="357" spans="1:16" x14ac:dyDescent="0.25">
      <c r="A357" s="6">
        <v>974</v>
      </c>
      <c r="B357" s="9">
        <v>40587</v>
      </c>
      <c r="C357" s="6">
        <v>1</v>
      </c>
      <c r="D357" s="6">
        <v>0</v>
      </c>
      <c r="E357" s="6">
        <v>2</v>
      </c>
      <c r="F357" s="6">
        <v>4</v>
      </c>
      <c r="G357" s="6" t="b">
        <v>0</v>
      </c>
      <c r="H357" s="6">
        <v>0</v>
      </c>
      <c r="I357" s="6">
        <v>2</v>
      </c>
      <c r="J357" s="6">
        <v>0.2</v>
      </c>
      <c r="K357" s="6">
        <v>0.21210000000000001</v>
      </c>
      <c r="L357" s="6">
        <v>0.69</v>
      </c>
      <c r="M357" s="6">
        <v>0.16420000000000001</v>
      </c>
      <c r="N357" s="6">
        <v>0</v>
      </c>
      <c r="O357" s="6">
        <v>2</v>
      </c>
      <c r="P357" s="6">
        <v>2</v>
      </c>
    </row>
    <row r="358" spans="1:16" x14ac:dyDescent="0.25">
      <c r="A358" s="6">
        <v>975</v>
      </c>
      <c r="B358" s="9">
        <v>40587</v>
      </c>
      <c r="C358" s="6">
        <v>1</v>
      </c>
      <c r="D358" s="6">
        <v>0</v>
      </c>
      <c r="E358" s="6">
        <v>2</v>
      </c>
      <c r="F358" s="6">
        <v>6</v>
      </c>
      <c r="G358" s="6" t="b">
        <v>0</v>
      </c>
      <c r="H358" s="6">
        <v>0</v>
      </c>
      <c r="I358" s="6">
        <v>2</v>
      </c>
      <c r="J358" s="6">
        <v>0.2</v>
      </c>
      <c r="K358" s="6">
        <v>0.21210000000000001</v>
      </c>
      <c r="L358" s="6">
        <v>0.69</v>
      </c>
      <c r="M358" s="6">
        <v>0.1343</v>
      </c>
      <c r="N358" s="6">
        <v>2</v>
      </c>
      <c r="O358" s="6">
        <v>3</v>
      </c>
      <c r="P358" s="6">
        <v>5</v>
      </c>
    </row>
    <row r="359" spans="1:16" x14ac:dyDescent="0.25">
      <c r="A359" s="6">
        <v>976</v>
      </c>
      <c r="B359" s="9">
        <v>40587</v>
      </c>
      <c r="C359" s="6">
        <v>1</v>
      </c>
      <c r="D359" s="6">
        <v>0</v>
      </c>
      <c r="E359" s="6">
        <v>2</v>
      </c>
      <c r="F359" s="6">
        <v>7</v>
      </c>
      <c r="G359" s="6" t="b">
        <v>0</v>
      </c>
      <c r="H359" s="6">
        <v>0</v>
      </c>
      <c r="I359" s="6">
        <v>2</v>
      </c>
      <c r="J359" s="6">
        <v>0.22</v>
      </c>
      <c r="K359" s="6">
        <v>0.2727</v>
      </c>
      <c r="L359" s="6">
        <v>0.55000000000000004</v>
      </c>
      <c r="M359" s="6">
        <v>0</v>
      </c>
      <c r="N359" s="6">
        <v>0</v>
      </c>
      <c r="O359" s="6">
        <v>3</v>
      </c>
      <c r="P359" s="6">
        <v>3</v>
      </c>
    </row>
    <row r="360" spans="1:16" x14ac:dyDescent="0.25">
      <c r="A360" s="6">
        <v>977</v>
      </c>
      <c r="B360" s="9">
        <v>40587</v>
      </c>
      <c r="C360" s="6">
        <v>1</v>
      </c>
      <c r="D360" s="6">
        <v>0</v>
      </c>
      <c r="E360" s="6">
        <v>2</v>
      </c>
      <c r="F360" s="6">
        <v>8</v>
      </c>
      <c r="G360" s="6" t="b">
        <v>0</v>
      </c>
      <c r="H360" s="6">
        <v>0</v>
      </c>
      <c r="I360" s="6">
        <v>2</v>
      </c>
      <c r="J360" s="6">
        <v>0.22</v>
      </c>
      <c r="K360" s="6">
        <v>0.2273</v>
      </c>
      <c r="L360" s="6">
        <v>0.64</v>
      </c>
      <c r="M360" s="6">
        <v>0.19400000000000001</v>
      </c>
      <c r="N360" s="6">
        <v>1</v>
      </c>
      <c r="O360" s="6">
        <v>11</v>
      </c>
      <c r="P360" s="6">
        <v>12</v>
      </c>
    </row>
    <row r="361" spans="1:16" x14ac:dyDescent="0.25">
      <c r="A361" s="6">
        <v>978</v>
      </c>
      <c r="B361" s="9">
        <v>40587</v>
      </c>
      <c r="C361" s="6">
        <v>1</v>
      </c>
      <c r="D361" s="6">
        <v>0</v>
      </c>
      <c r="E361" s="6">
        <v>2</v>
      </c>
      <c r="F361" s="6">
        <v>9</v>
      </c>
      <c r="G361" s="6" t="b">
        <v>0</v>
      </c>
      <c r="H361" s="6">
        <v>0</v>
      </c>
      <c r="I361" s="6">
        <v>2</v>
      </c>
      <c r="J361" s="6">
        <v>0.24</v>
      </c>
      <c r="K361" s="6">
        <v>0.2273</v>
      </c>
      <c r="L361" s="6">
        <v>0.6</v>
      </c>
      <c r="M361" s="6">
        <v>0.22389999999999999</v>
      </c>
      <c r="N361" s="6">
        <v>12</v>
      </c>
      <c r="O361" s="6">
        <v>35</v>
      </c>
      <c r="P361" s="6">
        <v>47</v>
      </c>
    </row>
    <row r="362" spans="1:16" x14ac:dyDescent="0.25">
      <c r="A362" s="6">
        <v>979</v>
      </c>
      <c r="B362" s="9">
        <v>40587</v>
      </c>
      <c r="C362" s="6">
        <v>1</v>
      </c>
      <c r="D362" s="6">
        <v>0</v>
      </c>
      <c r="E362" s="6">
        <v>2</v>
      </c>
      <c r="F362" s="6">
        <v>10</v>
      </c>
      <c r="G362" s="6" t="b">
        <v>0</v>
      </c>
      <c r="H362" s="6">
        <v>0</v>
      </c>
      <c r="I362" s="6">
        <v>1</v>
      </c>
      <c r="J362" s="6">
        <v>0.3</v>
      </c>
      <c r="K362" s="6">
        <v>0.2727</v>
      </c>
      <c r="L362" s="6">
        <v>0.45</v>
      </c>
      <c r="M362" s="6">
        <v>0.32840000000000003</v>
      </c>
      <c r="N362" s="6">
        <v>19</v>
      </c>
      <c r="O362" s="6">
        <v>86</v>
      </c>
      <c r="P362" s="6">
        <v>105</v>
      </c>
    </row>
    <row r="363" spans="1:16" x14ac:dyDescent="0.25">
      <c r="A363" s="6">
        <v>980</v>
      </c>
      <c r="B363" s="9">
        <v>40587</v>
      </c>
      <c r="C363" s="6">
        <v>1</v>
      </c>
      <c r="D363" s="6">
        <v>0</v>
      </c>
      <c r="E363" s="6">
        <v>2</v>
      </c>
      <c r="F363" s="6">
        <v>11</v>
      </c>
      <c r="G363" s="6" t="b">
        <v>0</v>
      </c>
      <c r="H363" s="6">
        <v>0</v>
      </c>
      <c r="I363" s="6">
        <v>1</v>
      </c>
      <c r="J363" s="6">
        <v>0.32</v>
      </c>
      <c r="K363" s="6">
        <v>0.28789999999999999</v>
      </c>
      <c r="L363" s="6">
        <v>0.39</v>
      </c>
      <c r="M363" s="6">
        <v>0.44779999999999998</v>
      </c>
      <c r="N363" s="6">
        <v>26</v>
      </c>
      <c r="O363" s="6">
        <v>86</v>
      </c>
      <c r="P363" s="6">
        <v>112</v>
      </c>
    </row>
    <row r="364" spans="1:16" x14ac:dyDescent="0.25">
      <c r="A364" s="6">
        <v>981</v>
      </c>
      <c r="B364" s="9">
        <v>40587</v>
      </c>
      <c r="C364" s="6">
        <v>1</v>
      </c>
      <c r="D364" s="6">
        <v>0</v>
      </c>
      <c r="E364" s="6">
        <v>2</v>
      </c>
      <c r="F364" s="6">
        <v>12</v>
      </c>
      <c r="G364" s="6" t="b">
        <v>0</v>
      </c>
      <c r="H364" s="6">
        <v>0</v>
      </c>
      <c r="I364" s="6">
        <v>1</v>
      </c>
      <c r="J364" s="6">
        <v>0.36</v>
      </c>
      <c r="K364" s="6">
        <v>0.31819999999999998</v>
      </c>
      <c r="L364" s="6">
        <v>0.32</v>
      </c>
      <c r="M364" s="6">
        <v>0.4627</v>
      </c>
      <c r="N364" s="6">
        <v>58</v>
      </c>
      <c r="O364" s="6">
        <v>94</v>
      </c>
      <c r="P364" s="6">
        <v>152</v>
      </c>
    </row>
    <row r="365" spans="1:16" x14ac:dyDescent="0.25">
      <c r="A365" s="6">
        <v>982</v>
      </c>
      <c r="B365" s="9">
        <v>40587</v>
      </c>
      <c r="C365" s="6">
        <v>1</v>
      </c>
      <c r="D365" s="6">
        <v>0</v>
      </c>
      <c r="E365" s="6">
        <v>2</v>
      </c>
      <c r="F365" s="6">
        <v>13</v>
      </c>
      <c r="G365" s="6" t="b">
        <v>0</v>
      </c>
      <c r="H365" s="6">
        <v>0</v>
      </c>
      <c r="I365" s="6">
        <v>1</v>
      </c>
      <c r="J365" s="6">
        <v>0.38</v>
      </c>
      <c r="K365" s="6">
        <v>0.39389999999999997</v>
      </c>
      <c r="L365" s="6">
        <v>0.28999999999999998</v>
      </c>
      <c r="M365" s="6">
        <v>0.35820000000000002</v>
      </c>
      <c r="N365" s="6">
        <v>62</v>
      </c>
      <c r="O365" s="6">
        <v>92</v>
      </c>
      <c r="P365" s="6">
        <v>154</v>
      </c>
    </row>
    <row r="366" spans="1:16" x14ac:dyDescent="0.25">
      <c r="A366" s="6">
        <v>983</v>
      </c>
      <c r="B366" s="9">
        <v>40587</v>
      </c>
      <c r="C366" s="6">
        <v>1</v>
      </c>
      <c r="D366" s="6">
        <v>0</v>
      </c>
      <c r="E366" s="6">
        <v>2</v>
      </c>
      <c r="F366" s="6">
        <v>14</v>
      </c>
      <c r="G366" s="6" t="b">
        <v>0</v>
      </c>
      <c r="H366" s="6">
        <v>0</v>
      </c>
      <c r="I366" s="6">
        <v>2</v>
      </c>
      <c r="J366" s="6">
        <v>0.4</v>
      </c>
      <c r="K366" s="6">
        <v>0.40910000000000002</v>
      </c>
      <c r="L366" s="6">
        <v>0.3</v>
      </c>
      <c r="M366" s="6">
        <v>0.41789999999999999</v>
      </c>
      <c r="N366" s="6">
        <v>51</v>
      </c>
      <c r="O366" s="6">
        <v>110</v>
      </c>
      <c r="P366" s="6">
        <v>161</v>
      </c>
    </row>
    <row r="367" spans="1:16" x14ac:dyDescent="0.25">
      <c r="A367" s="6">
        <v>984</v>
      </c>
      <c r="B367" s="9">
        <v>40587</v>
      </c>
      <c r="C367" s="6">
        <v>1</v>
      </c>
      <c r="D367" s="6">
        <v>0</v>
      </c>
      <c r="E367" s="6">
        <v>2</v>
      </c>
      <c r="F367" s="6">
        <v>15</v>
      </c>
      <c r="G367" s="6" t="b">
        <v>0</v>
      </c>
      <c r="H367" s="6">
        <v>0</v>
      </c>
      <c r="I367" s="6">
        <v>2</v>
      </c>
      <c r="J367" s="6">
        <v>0.4</v>
      </c>
      <c r="K367" s="6">
        <v>0.40910000000000002</v>
      </c>
      <c r="L367" s="6">
        <v>0.3</v>
      </c>
      <c r="M367" s="6">
        <v>0.29849999999999999</v>
      </c>
      <c r="N367" s="6">
        <v>40</v>
      </c>
      <c r="O367" s="6">
        <v>122</v>
      </c>
      <c r="P367" s="6">
        <v>162</v>
      </c>
    </row>
    <row r="368" spans="1:16" x14ac:dyDescent="0.25">
      <c r="A368" s="6">
        <v>985</v>
      </c>
      <c r="B368" s="9">
        <v>40587</v>
      </c>
      <c r="C368" s="6">
        <v>1</v>
      </c>
      <c r="D368" s="6">
        <v>0</v>
      </c>
      <c r="E368" s="6">
        <v>2</v>
      </c>
      <c r="F368" s="6">
        <v>16</v>
      </c>
      <c r="G368" s="6" t="b">
        <v>0</v>
      </c>
      <c r="H368" s="6">
        <v>0</v>
      </c>
      <c r="I368" s="6">
        <v>2</v>
      </c>
      <c r="J368" s="6">
        <v>0.42</v>
      </c>
      <c r="K368" s="6">
        <v>0.42420000000000002</v>
      </c>
      <c r="L368" s="6">
        <v>0.28000000000000003</v>
      </c>
      <c r="M368" s="6">
        <v>0.32840000000000003</v>
      </c>
      <c r="N368" s="6">
        <v>28</v>
      </c>
      <c r="O368" s="6">
        <v>106</v>
      </c>
      <c r="P368" s="6">
        <v>134</v>
      </c>
    </row>
    <row r="369" spans="1:16" x14ac:dyDescent="0.25">
      <c r="A369" s="6">
        <v>986</v>
      </c>
      <c r="B369" s="9">
        <v>40587</v>
      </c>
      <c r="C369" s="6">
        <v>1</v>
      </c>
      <c r="D369" s="6">
        <v>0</v>
      </c>
      <c r="E369" s="6">
        <v>2</v>
      </c>
      <c r="F369" s="6">
        <v>17</v>
      </c>
      <c r="G369" s="6" t="b">
        <v>0</v>
      </c>
      <c r="H369" s="6">
        <v>0</v>
      </c>
      <c r="I369" s="6">
        <v>1</v>
      </c>
      <c r="J369" s="6">
        <v>0.42</v>
      </c>
      <c r="K369" s="6">
        <v>0.42420000000000002</v>
      </c>
      <c r="L369" s="6">
        <v>0.28000000000000003</v>
      </c>
      <c r="M369" s="6">
        <v>0.32840000000000003</v>
      </c>
      <c r="N369" s="6">
        <v>30</v>
      </c>
      <c r="O369" s="6">
        <v>95</v>
      </c>
      <c r="P369" s="6">
        <v>125</v>
      </c>
    </row>
    <row r="370" spans="1:16" x14ac:dyDescent="0.25">
      <c r="A370" s="6">
        <v>987</v>
      </c>
      <c r="B370" s="9">
        <v>40587</v>
      </c>
      <c r="C370" s="6">
        <v>1</v>
      </c>
      <c r="D370" s="6">
        <v>0</v>
      </c>
      <c r="E370" s="6">
        <v>2</v>
      </c>
      <c r="F370" s="6">
        <v>18</v>
      </c>
      <c r="G370" s="6" t="b">
        <v>0</v>
      </c>
      <c r="H370" s="6">
        <v>0</v>
      </c>
      <c r="I370" s="6">
        <v>1</v>
      </c>
      <c r="J370" s="6">
        <v>0.4</v>
      </c>
      <c r="K370" s="6">
        <v>0.40910000000000002</v>
      </c>
      <c r="L370" s="6">
        <v>0.32</v>
      </c>
      <c r="M370" s="6">
        <v>0.29849999999999999</v>
      </c>
      <c r="N370" s="6">
        <v>17</v>
      </c>
      <c r="O370" s="6">
        <v>78</v>
      </c>
      <c r="P370" s="6">
        <v>95</v>
      </c>
    </row>
    <row r="371" spans="1:16" x14ac:dyDescent="0.25">
      <c r="A371" s="6">
        <v>988</v>
      </c>
      <c r="B371" s="9">
        <v>40587</v>
      </c>
      <c r="C371" s="6">
        <v>1</v>
      </c>
      <c r="D371" s="6">
        <v>0</v>
      </c>
      <c r="E371" s="6">
        <v>2</v>
      </c>
      <c r="F371" s="6">
        <v>19</v>
      </c>
      <c r="G371" s="6" t="b">
        <v>0</v>
      </c>
      <c r="H371" s="6">
        <v>0</v>
      </c>
      <c r="I371" s="6">
        <v>1</v>
      </c>
      <c r="J371" s="6">
        <v>0.4</v>
      </c>
      <c r="K371" s="6">
        <v>0.40910000000000002</v>
      </c>
      <c r="L371" s="6">
        <v>0.35</v>
      </c>
      <c r="M371" s="6">
        <v>0.28360000000000002</v>
      </c>
      <c r="N371" s="6">
        <v>11</v>
      </c>
      <c r="O371" s="6">
        <v>50</v>
      </c>
      <c r="P371" s="6">
        <v>61</v>
      </c>
    </row>
    <row r="372" spans="1:16" x14ac:dyDescent="0.25">
      <c r="A372" s="6">
        <v>989</v>
      </c>
      <c r="B372" s="9">
        <v>40587</v>
      </c>
      <c r="C372" s="6">
        <v>1</v>
      </c>
      <c r="D372" s="6">
        <v>0</v>
      </c>
      <c r="E372" s="6">
        <v>2</v>
      </c>
      <c r="F372" s="6">
        <v>20</v>
      </c>
      <c r="G372" s="6" t="b">
        <v>0</v>
      </c>
      <c r="H372" s="6">
        <v>0</v>
      </c>
      <c r="I372" s="6">
        <v>1</v>
      </c>
      <c r="J372" s="6">
        <v>0.4</v>
      </c>
      <c r="K372" s="6">
        <v>0.40910000000000002</v>
      </c>
      <c r="L372" s="6">
        <v>0.35</v>
      </c>
      <c r="M372" s="6">
        <v>0.32840000000000003</v>
      </c>
      <c r="N372" s="6">
        <v>15</v>
      </c>
      <c r="O372" s="6">
        <v>32</v>
      </c>
      <c r="P372" s="6">
        <v>47</v>
      </c>
    </row>
    <row r="373" spans="1:16" x14ac:dyDescent="0.25">
      <c r="A373" s="6">
        <v>990</v>
      </c>
      <c r="B373" s="9">
        <v>40587</v>
      </c>
      <c r="C373" s="6">
        <v>1</v>
      </c>
      <c r="D373" s="6">
        <v>0</v>
      </c>
      <c r="E373" s="6">
        <v>2</v>
      </c>
      <c r="F373" s="6">
        <v>21</v>
      </c>
      <c r="G373" s="6" t="b">
        <v>0</v>
      </c>
      <c r="H373" s="6">
        <v>0</v>
      </c>
      <c r="I373" s="6">
        <v>1</v>
      </c>
      <c r="J373" s="6">
        <v>0.4</v>
      </c>
      <c r="K373" s="6">
        <v>0.40910000000000002</v>
      </c>
      <c r="L373" s="6">
        <v>0.35</v>
      </c>
      <c r="M373" s="6">
        <v>0.35820000000000002</v>
      </c>
      <c r="N373" s="6">
        <v>6</v>
      </c>
      <c r="O373" s="6">
        <v>45</v>
      </c>
      <c r="P373" s="6">
        <v>51</v>
      </c>
    </row>
    <row r="374" spans="1:16" x14ac:dyDescent="0.25">
      <c r="A374" s="6">
        <v>991</v>
      </c>
      <c r="B374" s="9">
        <v>40587</v>
      </c>
      <c r="C374" s="6">
        <v>1</v>
      </c>
      <c r="D374" s="6">
        <v>0</v>
      </c>
      <c r="E374" s="6">
        <v>2</v>
      </c>
      <c r="F374" s="6">
        <v>22</v>
      </c>
      <c r="G374" s="6" t="b">
        <v>0</v>
      </c>
      <c r="H374" s="6">
        <v>0</v>
      </c>
      <c r="I374" s="6">
        <v>1</v>
      </c>
      <c r="J374" s="6">
        <v>0.4</v>
      </c>
      <c r="K374" s="6">
        <v>0.40910000000000002</v>
      </c>
      <c r="L374" s="6">
        <v>0.35</v>
      </c>
      <c r="M374" s="6">
        <v>0.29849999999999999</v>
      </c>
      <c r="N374" s="6">
        <v>5</v>
      </c>
      <c r="O374" s="6">
        <v>31</v>
      </c>
      <c r="P374" s="6">
        <v>36</v>
      </c>
    </row>
    <row r="375" spans="1:16" x14ac:dyDescent="0.25">
      <c r="A375" s="6">
        <v>992</v>
      </c>
      <c r="B375" s="9">
        <v>40587</v>
      </c>
      <c r="C375" s="6">
        <v>1</v>
      </c>
      <c r="D375" s="6">
        <v>0</v>
      </c>
      <c r="E375" s="6">
        <v>2</v>
      </c>
      <c r="F375" s="6">
        <v>23</v>
      </c>
      <c r="G375" s="6" t="b">
        <v>0</v>
      </c>
      <c r="H375" s="6">
        <v>0</v>
      </c>
      <c r="I375" s="6">
        <v>1</v>
      </c>
      <c r="J375" s="6">
        <v>0.4</v>
      </c>
      <c r="K375" s="6">
        <v>0.40910000000000002</v>
      </c>
      <c r="L375" s="6">
        <v>0.35</v>
      </c>
      <c r="M375" s="6">
        <v>0.35820000000000002</v>
      </c>
      <c r="N375" s="6">
        <v>3</v>
      </c>
      <c r="O375" s="6">
        <v>27</v>
      </c>
      <c r="P375" s="6">
        <v>30</v>
      </c>
    </row>
    <row r="376" spans="1:16" x14ac:dyDescent="0.25">
      <c r="A376" s="6">
        <v>993</v>
      </c>
      <c r="B376" s="9">
        <v>40588</v>
      </c>
      <c r="C376" s="6">
        <v>1</v>
      </c>
      <c r="D376" s="6">
        <v>0</v>
      </c>
      <c r="E376" s="6">
        <v>2</v>
      </c>
      <c r="F376" s="6">
        <v>0</v>
      </c>
      <c r="G376" s="6" t="b">
        <v>0</v>
      </c>
      <c r="H376" s="6">
        <v>1</v>
      </c>
      <c r="I376" s="6">
        <v>1</v>
      </c>
      <c r="J376" s="6">
        <v>0.38</v>
      </c>
      <c r="K376" s="6">
        <v>0.39389999999999997</v>
      </c>
      <c r="L376" s="6">
        <v>0.37</v>
      </c>
      <c r="M376" s="6">
        <v>0.35820000000000002</v>
      </c>
      <c r="N376" s="6">
        <v>3</v>
      </c>
      <c r="O376" s="6">
        <v>8</v>
      </c>
      <c r="P376" s="6">
        <v>11</v>
      </c>
    </row>
    <row r="377" spans="1:16" x14ac:dyDescent="0.25">
      <c r="A377" s="6">
        <v>994</v>
      </c>
      <c r="B377" s="9">
        <v>40588</v>
      </c>
      <c r="C377" s="6">
        <v>1</v>
      </c>
      <c r="D377" s="6">
        <v>0</v>
      </c>
      <c r="E377" s="6">
        <v>2</v>
      </c>
      <c r="F377" s="6">
        <v>1</v>
      </c>
      <c r="G377" s="6" t="b">
        <v>0</v>
      </c>
      <c r="H377" s="6">
        <v>1</v>
      </c>
      <c r="I377" s="6">
        <v>1</v>
      </c>
      <c r="J377" s="6">
        <v>0.38</v>
      </c>
      <c r="K377" s="6">
        <v>0.39389999999999997</v>
      </c>
      <c r="L377" s="6">
        <v>0.37</v>
      </c>
      <c r="M377" s="6">
        <v>0.35820000000000002</v>
      </c>
      <c r="N377" s="6">
        <v>1</v>
      </c>
      <c r="O377" s="6">
        <v>6</v>
      </c>
      <c r="P377" s="6">
        <v>7</v>
      </c>
    </row>
    <row r="378" spans="1:16" x14ac:dyDescent="0.25">
      <c r="A378" s="6">
        <v>995</v>
      </c>
      <c r="B378" s="9">
        <v>40588</v>
      </c>
      <c r="C378" s="6">
        <v>1</v>
      </c>
      <c r="D378" s="6">
        <v>0</v>
      </c>
      <c r="E378" s="6">
        <v>2</v>
      </c>
      <c r="F378" s="6">
        <v>2</v>
      </c>
      <c r="G378" s="6" t="b">
        <v>0</v>
      </c>
      <c r="H378" s="6">
        <v>1</v>
      </c>
      <c r="I378" s="6">
        <v>1</v>
      </c>
      <c r="J378" s="6">
        <v>0.36</v>
      </c>
      <c r="K378" s="6">
        <v>0.33329999999999999</v>
      </c>
      <c r="L378" s="6">
        <v>0.4</v>
      </c>
      <c r="M378" s="6">
        <v>0.29849999999999999</v>
      </c>
      <c r="N378" s="6">
        <v>0</v>
      </c>
      <c r="O378" s="6">
        <v>2</v>
      </c>
      <c r="P378" s="6">
        <v>2</v>
      </c>
    </row>
    <row r="379" spans="1:16" x14ac:dyDescent="0.25">
      <c r="A379" s="6">
        <v>996</v>
      </c>
      <c r="B379" s="9">
        <v>40588</v>
      </c>
      <c r="C379" s="6">
        <v>1</v>
      </c>
      <c r="D379" s="6">
        <v>0</v>
      </c>
      <c r="E379" s="6">
        <v>2</v>
      </c>
      <c r="F379" s="6">
        <v>3</v>
      </c>
      <c r="G379" s="6" t="b">
        <v>0</v>
      </c>
      <c r="H379" s="6">
        <v>1</v>
      </c>
      <c r="I379" s="6">
        <v>1</v>
      </c>
      <c r="J379" s="6">
        <v>0.34</v>
      </c>
      <c r="K379" s="6">
        <v>0.31819999999999998</v>
      </c>
      <c r="L379" s="6">
        <v>0.46</v>
      </c>
      <c r="M379" s="6">
        <v>0.22389999999999999</v>
      </c>
      <c r="N379" s="6">
        <v>1</v>
      </c>
      <c r="O379" s="6">
        <v>1</v>
      </c>
      <c r="P379" s="6">
        <v>2</v>
      </c>
    </row>
    <row r="380" spans="1:16" x14ac:dyDescent="0.25">
      <c r="A380" s="6">
        <v>997</v>
      </c>
      <c r="B380" s="9">
        <v>40588</v>
      </c>
      <c r="C380" s="6">
        <v>1</v>
      </c>
      <c r="D380" s="6">
        <v>0</v>
      </c>
      <c r="E380" s="6">
        <v>2</v>
      </c>
      <c r="F380" s="6">
        <v>4</v>
      </c>
      <c r="G380" s="6" t="b">
        <v>0</v>
      </c>
      <c r="H380" s="6">
        <v>1</v>
      </c>
      <c r="I380" s="6">
        <v>1</v>
      </c>
      <c r="J380" s="6">
        <v>0.32</v>
      </c>
      <c r="K380" s="6">
        <v>0.30299999999999999</v>
      </c>
      <c r="L380" s="6">
        <v>0.53</v>
      </c>
      <c r="M380" s="6">
        <v>0.28360000000000002</v>
      </c>
      <c r="N380" s="6">
        <v>0</v>
      </c>
      <c r="O380" s="6">
        <v>2</v>
      </c>
      <c r="P380" s="6">
        <v>2</v>
      </c>
    </row>
    <row r="381" spans="1:16" x14ac:dyDescent="0.25">
      <c r="A381" s="6">
        <v>998</v>
      </c>
      <c r="B381" s="9">
        <v>40588</v>
      </c>
      <c r="C381" s="6">
        <v>1</v>
      </c>
      <c r="D381" s="6">
        <v>0</v>
      </c>
      <c r="E381" s="6">
        <v>2</v>
      </c>
      <c r="F381" s="6">
        <v>5</v>
      </c>
      <c r="G381" s="6" t="b">
        <v>0</v>
      </c>
      <c r="H381" s="6">
        <v>1</v>
      </c>
      <c r="I381" s="6">
        <v>1</v>
      </c>
      <c r="J381" s="6">
        <v>0.32</v>
      </c>
      <c r="K381" s="6">
        <v>0.30299999999999999</v>
      </c>
      <c r="L381" s="6">
        <v>0.53</v>
      </c>
      <c r="M381" s="6">
        <v>0.28360000000000002</v>
      </c>
      <c r="N381" s="6">
        <v>0</v>
      </c>
      <c r="O381" s="6">
        <v>3</v>
      </c>
      <c r="P381" s="6">
        <v>3</v>
      </c>
    </row>
    <row r="382" spans="1:16" x14ac:dyDescent="0.25">
      <c r="A382" s="6">
        <v>999</v>
      </c>
      <c r="B382" s="9">
        <v>40588</v>
      </c>
      <c r="C382" s="6">
        <v>1</v>
      </c>
      <c r="D382" s="6">
        <v>0</v>
      </c>
      <c r="E382" s="6">
        <v>2</v>
      </c>
      <c r="F382" s="6">
        <v>6</v>
      </c>
      <c r="G382" s="6" t="b">
        <v>0</v>
      </c>
      <c r="H382" s="6">
        <v>1</v>
      </c>
      <c r="I382" s="6">
        <v>1</v>
      </c>
      <c r="J382" s="6">
        <v>0.34</v>
      </c>
      <c r="K382" s="6">
        <v>0.30299999999999999</v>
      </c>
      <c r="L382" s="6">
        <v>0.46</v>
      </c>
      <c r="M382" s="6">
        <v>0.29849999999999999</v>
      </c>
      <c r="N382" s="6">
        <v>1</v>
      </c>
      <c r="O382" s="6">
        <v>25</v>
      </c>
      <c r="P382" s="6">
        <v>26</v>
      </c>
    </row>
    <row r="383" spans="1:16" x14ac:dyDescent="0.25">
      <c r="A383" s="6">
        <v>1000</v>
      </c>
      <c r="B383" s="9">
        <v>40588</v>
      </c>
      <c r="C383" s="6">
        <v>1</v>
      </c>
      <c r="D383" s="6">
        <v>0</v>
      </c>
      <c r="E383" s="6">
        <v>2</v>
      </c>
      <c r="F383" s="6">
        <v>7</v>
      </c>
      <c r="G383" s="6" t="b">
        <v>0</v>
      </c>
      <c r="H383" s="6">
        <v>1</v>
      </c>
      <c r="I383" s="6">
        <v>1</v>
      </c>
      <c r="J383" s="6">
        <v>0.34</v>
      </c>
      <c r="K383" s="6">
        <v>0.30299999999999999</v>
      </c>
      <c r="L383" s="6">
        <v>0.46</v>
      </c>
      <c r="M383" s="6">
        <v>0.29849999999999999</v>
      </c>
      <c r="N383" s="6">
        <v>2</v>
      </c>
      <c r="O383" s="6">
        <v>96</v>
      </c>
      <c r="P383" s="6">
        <v>98</v>
      </c>
    </row>
    <row r="384" spans="1:16" x14ac:dyDescent="0.25">
      <c r="A384" s="6">
        <v>611</v>
      </c>
      <c r="B384" s="9">
        <v>40571</v>
      </c>
      <c r="C384" s="6">
        <v>1</v>
      </c>
      <c r="D384" s="6">
        <v>0</v>
      </c>
      <c r="E384" s="6">
        <v>1</v>
      </c>
      <c r="F384" s="6">
        <v>16</v>
      </c>
      <c r="G384" s="6" t="b">
        <v>0</v>
      </c>
      <c r="H384" s="6">
        <v>5</v>
      </c>
      <c r="I384" s="6">
        <v>1</v>
      </c>
      <c r="J384" s="6">
        <v>0.22</v>
      </c>
      <c r="K384" s="6">
        <v>0.2727</v>
      </c>
      <c r="L384" s="6">
        <v>0.8</v>
      </c>
      <c r="M384" s="6">
        <v>0</v>
      </c>
      <c r="N384" s="6">
        <v>10</v>
      </c>
      <c r="O384" s="6">
        <v>70</v>
      </c>
      <c r="P384" s="6">
        <v>80</v>
      </c>
    </row>
    <row r="385" spans="1:16" x14ac:dyDescent="0.25">
      <c r="A385" s="6">
        <v>612</v>
      </c>
      <c r="B385" s="9">
        <v>40571</v>
      </c>
      <c r="C385" s="6">
        <v>1</v>
      </c>
      <c r="D385" s="6">
        <v>0</v>
      </c>
      <c r="E385" s="6">
        <v>1</v>
      </c>
      <c r="F385" s="6">
        <v>17</v>
      </c>
      <c r="G385" s="6" t="b">
        <v>0</v>
      </c>
      <c r="H385" s="6">
        <v>5</v>
      </c>
      <c r="I385" s="6">
        <v>1</v>
      </c>
      <c r="J385" s="6">
        <v>0.24</v>
      </c>
      <c r="K385" s="6">
        <v>0.2424</v>
      </c>
      <c r="L385" s="6">
        <v>0.75</v>
      </c>
      <c r="M385" s="6">
        <v>0.1343</v>
      </c>
      <c r="N385" s="6">
        <v>2</v>
      </c>
      <c r="O385" s="6">
        <v>147</v>
      </c>
      <c r="P385" s="6">
        <v>149</v>
      </c>
    </row>
    <row r="386" spans="1:16" x14ac:dyDescent="0.25">
      <c r="A386" s="6">
        <v>613</v>
      </c>
      <c r="B386" s="9">
        <v>40571</v>
      </c>
      <c r="C386" s="6">
        <v>1</v>
      </c>
      <c r="D386" s="6">
        <v>0</v>
      </c>
      <c r="E386" s="6">
        <v>1</v>
      </c>
      <c r="F386" s="6">
        <v>18</v>
      </c>
      <c r="G386" s="6" t="b">
        <v>0</v>
      </c>
      <c r="H386" s="6">
        <v>5</v>
      </c>
      <c r="I386" s="6">
        <v>1</v>
      </c>
      <c r="J386" s="6">
        <v>0.24</v>
      </c>
      <c r="K386" s="6">
        <v>0.2273</v>
      </c>
      <c r="L386" s="6">
        <v>0.75</v>
      </c>
      <c r="M386" s="6">
        <v>0.19400000000000001</v>
      </c>
      <c r="N386" s="6">
        <v>2</v>
      </c>
      <c r="O386" s="6">
        <v>107</v>
      </c>
      <c r="P386" s="6">
        <v>109</v>
      </c>
    </row>
    <row r="387" spans="1:16" x14ac:dyDescent="0.25">
      <c r="A387" s="6">
        <v>614</v>
      </c>
      <c r="B387" s="9">
        <v>40571</v>
      </c>
      <c r="C387" s="6">
        <v>1</v>
      </c>
      <c r="D387" s="6">
        <v>0</v>
      </c>
      <c r="E387" s="6">
        <v>1</v>
      </c>
      <c r="F387" s="6">
        <v>19</v>
      </c>
      <c r="G387" s="6" t="b">
        <v>0</v>
      </c>
      <c r="H387" s="6">
        <v>5</v>
      </c>
      <c r="I387" s="6">
        <v>2</v>
      </c>
      <c r="J387" s="6">
        <v>0.24</v>
      </c>
      <c r="K387" s="6">
        <v>0.2424</v>
      </c>
      <c r="L387" s="6">
        <v>0.75</v>
      </c>
      <c r="M387" s="6">
        <v>0.1343</v>
      </c>
      <c r="N387" s="6">
        <v>5</v>
      </c>
      <c r="O387" s="6">
        <v>84</v>
      </c>
      <c r="P387" s="6">
        <v>89</v>
      </c>
    </row>
    <row r="388" spans="1:16" x14ac:dyDescent="0.25">
      <c r="A388" s="6">
        <v>615</v>
      </c>
      <c r="B388" s="9">
        <v>40571</v>
      </c>
      <c r="C388" s="6">
        <v>1</v>
      </c>
      <c r="D388" s="6">
        <v>0</v>
      </c>
      <c r="E388" s="6">
        <v>1</v>
      </c>
      <c r="F388" s="6">
        <v>20</v>
      </c>
      <c r="G388" s="6" t="b">
        <v>0</v>
      </c>
      <c r="H388" s="6">
        <v>5</v>
      </c>
      <c r="I388" s="6">
        <v>2</v>
      </c>
      <c r="J388" s="6">
        <v>0.24</v>
      </c>
      <c r="K388" s="6">
        <v>0.2273</v>
      </c>
      <c r="L388" s="6">
        <v>0.7</v>
      </c>
      <c r="M388" s="6">
        <v>0.19400000000000001</v>
      </c>
      <c r="N388" s="6">
        <v>1</v>
      </c>
      <c r="O388" s="6">
        <v>61</v>
      </c>
      <c r="P388" s="6">
        <v>62</v>
      </c>
    </row>
    <row r="389" spans="1:16" x14ac:dyDescent="0.25">
      <c r="A389" s="6">
        <v>616</v>
      </c>
      <c r="B389" s="9">
        <v>40571</v>
      </c>
      <c r="C389" s="6">
        <v>1</v>
      </c>
      <c r="D389" s="6">
        <v>0</v>
      </c>
      <c r="E389" s="6">
        <v>1</v>
      </c>
      <c r="F389" s="6">
        <v>21</v>
      </c>
      <c r="G389" s="6" t="b">
        <v>0</v>
      </c>
      <c r="H389" s="6">
        <v>5</v>
      </c>
      <c r="I389" s="6">
        <v>2</v>
      </c>
      <c r="J389" s="6">
        <v>0.22</v>
      </c>
      <c r="K389" s="6">
        <v>0.2273</v>
      </c>
      <c r="L389" s="6">
        <v>0.75</v>
      </c>
      <c r="M389" s="6">
        <v>0.1343</v>
      </c>
      <c r="N389" s="6">
        <v>1</v>
      </c>
      <c r="O389" s="6">
        <v>57</v>
      </c>
      <c r="P389" s="6">
        <v>58</v>
      </c>
    </row>
    <row r="390" spans="1:16" x14ac:dyDescent="0.25">
      <c r="A390" s="6">
        <v>617</v>
      </c>
      <c r="B390" s="9">
        <v>40571</v>
      </c>
      <c r="C390" s="6">
        <v>1</v>
      </c>
      <c r="D390" s="6">
        <v>0</v>
      </c>
      <c r="E390" s="6">
        <v>1</v>
      </c>
      <c r="F390" s="6">
        <v>22</v>
      </c>
      <c r="G390" s="6" t="b">
        <v>0</v>
      </c>
      <c r="H390" s="6">
        <v>5</v>
      </c>
      <c r="I390" s="6">
        <v>1</v>
      </c>
      <c r="J390" s="6">
        <v>0.24</v>
      </c>
      <c r="K390" s="6">
        <v>0.21210000000000001</v>
      </c>
      <c r="L390" s="6">
        <v>0.65</v>
      </c>
      <c r="M390" s="6">
        <v>0.35820000000000002</v>
      </c>
      <c r="N390" s="6">
        <v>0</v>
      </c>
      <c r="O390" s="6">
        <v>26</v>
      </c>
      <c r="P390" s="6">
        <v>26</v>
      </c>
    </row>
    <row r="391" spans="1:16" x14ac:dyDescent="0.25">
      <c r="A391" s="6">
        <v>618</v>
      </c>
      <c r="B391" s="9">
        <v>40571</v>
      </c>
      <c r="C391" s="6">
        <v>1</v>
      </c>
      <c r="D391" s="6">
        <v>0</v>
      </c>
      <c r="E391" s="6">
        <v>1</v>
      </c>
      <c r="F391" s="6">
        <v>23</v>
      </c>
      <c r="G391" s="6" t="b">
        <v>0</v>
      </c>
      <c r="H391" s="6">
        <v>5</v>
      </c>
      <c r="I391" s="6">
        <v>1</v>
      </c>
      <c r="J391" s="6">
        <v>0.24</v>
      </c>
      <c r="K391" s="6">
        <v>0.2273</v>
      </c>
      <c r="L391" s="6">
        <v>0.6</v>
      </c>
      <c r="M391" s="6">
        <v>0.22389999999999999</v>
      </c>
      <c r="N391" s="6">
        <v>1</v>
      </c>
      <c r="O391" s="6">
        <v>22</v>
      </c>
      <c r="P391" s="6">
        <v>23</v>
      </c>
    </row>
    <row r="392" spans="1:16" x14ac:dyDescent="0.25">
      <c r="A392" s="6">
        <v>619</v>
      </c>
      <c r="B392" s="9">
        <v>40572</v>
      </c>
      <c r="C392" s="6">
        <v>1</v>
      </c>
      <c r="D392" s="6">
        <v>0</v>
      </c>
      <c r="E392" s="6">
        <v>1</v>
      </c>
      <c r="F392" s="6">
        <v>0</v>
      </c>
      <c r="G392" s="6" t="b">
        <v>0</v>
      </c>
      <c r="H392" s="6">
        <v>6</v>
      </c>
      <c r="I392" s="6">
        <v>1</v>
      </c>
      <c r="J392" s="6">
        <v>0.22</v>
      </c>
      <c r="K392" s="6">
        <v>0.19700000000000001</v>
      </c>
      <c r="L392" s="6">
        <v>0.64</v>
      </c>
      <c r="M392" s="6">
        <v>0.35820000000000002</v>
      </c>
      <c r="N392" s="6">
        <v>2</v>
      </c>
      <c r="O392" s="6">
        <v>26</v>
      </c>
      <c r="P392" s="6">
        <v>28</v>
      </c>
    </row>
  </sheetData>
  <mergeCells count="1">
    <mergeCell ref="A1:K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58655-1783-42DD-8949-6881163202CB}">
  <dimension ref="A1:P612"/>
  <sheetViews>
    <sheetView workbookViewId="0">
      <selection sqref="A1:XFD1048576"/>
    </sheetView>
  </sheetViews>
  <sheetFormatPr defaultRowHeight="15" x14ac:dyDescent="0.25"/>
  <cols>
    <col min="1" max="3" width="11.7109375" style="6" bestFit="1" customWidth="1"/>
    <col min="4" max="4" width="7.28515625" style="6" bestFit="1" customWidth="1"/>
    <col min="5" max="5" width="10.28515625" style="6" bestFit="1" customWidth="1"/>
    <col min="6" max="6" width="7.42578125" style="6" bestFit="1" customWidth="1"/>
    <col min="7" max="7" width="12.140625" style="6" bestFit="1" customWidth="1"/>
    <col min="8" max="8" width="13.5703125" style="6" bestFit="1" customWidth="1"/>
    <col min="9" max="9" width="15.140625" style="6" bestFit="1" customWidth="1"/>
    <col min="10" max="10" width="10.28515625" style="6" bestFit="1" customWidth="1"/>
    <col min="11" max="11" width="9" style="6" bestFit="1" customWidth="1"/>
    <col min="12" max="12" width="7.28515625" style="6" bestFit="1" customWidth="1"/>
    <col min="13" max="13" width="13.140625" style="6" bestFit="1" customWidth="1"/>
    <col min="14" max="14" width="8.7109375" style="6" bestFit="1" customWidth="1"/>
    <col min="15" max="15" width="12.42578125" style="6" bestFit="1" customWidth="1"/>
    <col min="16" max="16" width="6" style="6" bestFit="1" customWidth="1"/>
    <col min="17" max="17" width="18.28515625" style="6" bestFit="1" customWidth="1"/>
    <col min="18" max="18" width="16.5703125" style="6" bestFit="1" customWidth="1"/>
    <col min="19" max="19" width="22.5703125" style="6" bestFit="1" customWidth="1"/>
    <col min="20" max="20" width="18" style="6" bestFit="1" customWidth="1"/>
    <col min="21" max="21" width="21.85546875" style="6" bestFit="1" customWidth="1"/>
    <col min="22" max="22" width="15.140625" style="6" bestFit="1" customWidth="1"/>
    <col min="23" max="16384" width="9.140625" style="6"/>
  </cols>
  <sheetData>
    <row r="1" spans="1:16" ht="30" x14ac:dyDescent="0.45">
      <c r="A1" s="55" t="s">
        <v>24</v>
      </c>
      <c r="B1" s="50"/>
      <c r="C1" s="50"/>
      <c r="D1" s="50"/>
      <c r="E1" s="50"/>
      <c r="F1" s="50"/>
      <c r="G1" s="50"/>
      <c r="H1" s="50"/>
      <c r="I1" s="50"/>
      <c r="J1" s="50"/>
      <c r="K1" s="50"/>
      <c r="L1" s="2"/>
      <c r="M1" s="2"/>
      <c r="N1" s="2"/>
      <c r="O1" s="2"/>
      <c r="P1" s="2"/>
    </row>
    <row r="2" spans="1:16" x14ac:dyDescent="0.25">
      <c r="A2" s="6" t="s">
        <v>1</v>
      </c>
      <c r="B2" s="6" t="s">
        <v>2</v>
      </c>
      <c r="C2" s="6" t="s">
        <v>3</v>
      </c>
      <c r="D2" s="6" t="s">
        <v>4</v>
      </c>
      <c r="E2" s="6" t="s">
        <v>5</v>
      </c>
      <c r="F2" s="6" t="s">
        <v>6</v>
      </c>
      <c r="G2" s="6" t="s">
        <v>7</v>
      </c>
      <c r="H2" s="6" t="s">
        <v>8</v>
      </c>
      <c r="I2" s="6" t="s">
        <v>9</v>
      </c>
      <c r="J2" s="6" t="s">
        <v>10</v>
      </c>
      <c r="K2" t="s">
        <v>17</v>
      </c>
      <c r="L2" t="s">
        <v>18</v>
      </c>
      <c r="M2" t="s">
        <v>19</v>
      </c>
      <c r="N2" t="s">
        <v>20</v>
      </c>
      <c r="O2" t="s">
        <v>21</v>
      </c>
      <c r="P2" t="s">
        <v>22</v>
      </c>
    </row>
    <row r="3" spans="1:16" x14ac:dyDescent="0.25">
      <c r="A3" s="6">
        <v>1</v>
      </c>
      <c r="B3" s="9">
        <v>40544</v>
      </c>
      <c r="C3" s="6">
        <v>1</v>
      </c>
      <c r="D3" s="6">
        <v>0</v>
      </c>
      <c r="E3" s="6">
        <v>1</v>
      </c>
      <c r="F3" s="6">
        <v>0</v>
      </c>
      <c r="G3" s="6" t="b">
        <v>0</v>
      </c>
      <c r="H3" s="6">
        <v>6</v>
      </c>
      <c r="I3" s="6">
        <v>1</v>
      </c>
      <c r="J3" s="6">
        <v>0.24</v>
      </c>
      <c r="K3">
        <v>0.28789999999999999</v>
      </c>
      <c r="L3">
        <v>0.81</v>
      </c>
      <c r="M3">
        <v>0</v>
      </c>
      <c r="N3">
        <v>3</v>
      </c>
      <c r="O3">
        <v>13</v>
      </c>
      <c r="P3">
        <v>16</v>
      </c>
    </row>
    <row r="4" spans="1:16" x14ac:dyDescent="0.25">
      <c r="A4" s="6">
        <v>2</v>
      </c>
      <c r="B4" s="9">
        <v>40544</v>
      </c>
      <c r="C4" s="6">
        <v>1</v>
      </c>
      <c r="D4" s="6">
        <v>0</v>
      </c>
      <c r="E4" s="6">
        <v>1</v>
      </c>
      <c r="F4" s="6">
        <v>1</v>
      </c>
      <c r="G4" s="6" t="b">
        <v>0</v>
      </c>
      <c r="H4" s="6">
        <v>6</v>
      </c>
      <c r="I4" s="6">
        <v>1</v>
      </c>
      <c r="J4" s="6">
        <v>0.22</v>
      </c>
      <c r="K4">
        <v>0.2727</v>
      </c>
      <c r="L4">
        <v>0.8</v>
      </c>
      <c r="M4">
        <v>0</v>
      </c>
      <c r="N4">
        <v>8</v>
      </c>
      <c r="O4">
        <v>32</v>
      </c>
      <c r="P4">
        <v>40</v>
      </c>
    </row>
    <row r="5" spans="1:16" x14ac:dyDescent="0.25">
      <c r="A5" s="6">
        <v>3</v>
      </c>
      <c r="B5" s="9">
        <v>40544</v>
      </c>
      <c r="C5" s="6">
        <v>1</v>
      </c>
      <c r="D5" s="6">
        <v>0</v>
      </c>
      <c r="E5" s="6">
        <v>1</v>
      </c>
      <c r="F5" s="6">
        <v>2</v>
      </c>
      <c r="G5" s="6" t="b">
        <v>0</v>
      </c>
      <c r="H5" s="6">
        <v>6</v>
      </c>
      <c r="I5" s="6">
        <v>1</v>
      </c>
      <c r="J5" s="6">
        <v>0.22</v>
      </c>
      <c r="K5">
        <v>0.2727</v>
      </c>
      <c r="L5">
        <v>0.8</v>
      </c>
      <c r="M5">
        <v>0</v>
      </c>
      <c r="N5">
        <v>5</v>
      </c>
      <c r="O5">
        <v>27</v>
      </c>
      <c r="P5">
        <v>32</v>
      </c>
    </row>
    <row r="6" spans="1:16" x14ac:dyDescent="0.25">
      <c r="A6" s="6">
        <v>4</v>
      </c>
      <c r="B6" s="9">
        <v>40544</v>
      </c>
      <c r="C6" s="6">
        <v>1</v>
      </c>
      <c r="D6" s="6">
        <v>0</v>
      </c>
      <c r="E6" s="6">
        <v>1</v>
      </c>
      <c r="F6" s="6">
        <v>3</v>
      </c>
      <c r="G6" s="6" t="b">
        <v>0</v>
      </c>
      <c r="H6" s="6">
        <v>6</v>
      </c>
      <c r="I6" s="6">
        <v>1</v>
      </c>
      <c r="J6" s="6">
        <v>0.24</v>
      </c>
      <c r="K6">
        <v>0.28789999999999999</v>
      </c>
      <c r="L6">
        <v>0.75</v>
      </c>
      <c r="M6">
        <v>0</v>
      </c>
      <c r="N6">
        <v>3</v>
      </c>
      <c r="O6">
        <v>10</v>
      </c>
      <c r="P6">
        <v>13</v>
      </c>
    </row>
    <row r="7" spans="1:16" x14ac:dyDescent="0.25">
      <c r="A7" s="6">
        <v>5</v>
      </c>
      <c r="B7" s="9">
        <v>40544</v>
      </c>
      <c r="C7" s="6">
        <v>1</v>
      </c>
      <c r="D7" s="6">
        <v>0</v>
      </c>
      <c r="E7" s="6">
        <v>1</v>
      </c>
      <c r="F7" s="6">
        <v>4</v>
      </c>
      <c r="G7" s="6" t="b">
        <v>0</v>
      </c>
      <c r="H7" s="6">
        <v>6</v>
      </c>
      <c r="I7" s="6">
        <v>1</v>
      </c>
      <c r="J7" s="6">
        <v>0.24</v>
      </c>
      <c r="K7">
        <v>0.28789999999999999</v>
      </c>
      <c r="L7">
        <v>0.75</v>
      </c>
      <c r="M7">
        <v>0</v>
      </c>
      <c r="N7">
        <v>0</v>
      </c>
      <c r="O7">
        <v>1</v>
      </c>
      <c r="P7">
        <v>1</v>
      </c>
    </row>
    <row r="8" spans="1:16" x14ac:dyDescent="0.25">
      <c r="A8" s="6">
        <v>6</v>
      </c>
      <c r="B8" s="9">
        <v>40544</v>
      </c>
      <c r="C8" s="6">
        <v>1</v>
      </c>
      <c r="D8" s="6">
        <v>0</v>
      </c>
      <c r="E8" s="6">
        <v>1</v>
      </c>
      <c r="F8" s="6">
        <v>5</v>
      </c>
      <c r="G8" s="6" t="b">
        <v>0</v>
      </c>
      <c r="H8" s="6">
        <v>6</v>
      </c>
      <c r="I8" s="6">
        <v>2</v>
      </c>
      <c r="J8" s="6">
        <v>0.24</v>
      </c>
      <c r="K8">
        <v>0.2576</v>
      </c>
      <c r="L8">
        <v>0.75</v>
      </c>
      <c r="M8">
        <v>8.9599999999999999E-2</v>
      </c>
      <c r="N8">
        <v>0</v>
      </c>
      <c r="O8">
        <v>1</v>
      </c>
      <c r="P8">
        <v>1</v>
      </c>
    </row>
    <row r="9" spans="1:16" x14ac:dyDescent="0.25">
      <c r="A9" s="6">
        <v>7</v>
      </c>
      <c r="B9" s="9">
        <v>40544</v>
      </c>
      <c r="C9" s="6">
        <v>1</v>
      </c>
      <c r="D9" s="6">
        <v>0</v>
      </c>
      <c r="E9" s="6">
        <v>1</v>
      </c>
      <c r="F9" s="6">
        <v>6</v>
      </c>
      <c r="G9" s="6" t="b">
        <v>0</v>
      </c>
      <c r="H9" s="6">
        <v>6</v>
      </c>
      <c r="I9" s="6">
        <v>1</v>
      </c>
      <c r="J9" s="6">
        <v>0.22</v>
      </c>
      <c r="K9">
        <v>0.2727</v>
      </c>
      <c r="L9">
        <v>0.8</v>
      </c>
      <c r="M9">
        <v>0</v>
      </c>
      <c r="N9">
        <v>2</v>
      </c>
      <c r="O9">
        <v>0</v>
      </c>
      <c r="P9">
        <v>2</v>
      </c>
    </row>
    <row r="10" spans="1:16" x14ac:dyDescent="0.25">
      <c r="A10" s="6">
        <v>8</v>
      </c>
      <c r="B10" s="9">
        <v>40544</v>
      </c>
      <c r="C10" s="6">
        <v>1</v>
      </c>
      <c r="D10" s="6">
        <v>0</v>
      </c>
      <c r="E10" s="6">
        <v>1</v>
      </c>
      <c r="F10" s="6">
        <v>7</v>
      </c>
      <c r="G10" s="6" t="b">
        <v>0</v>
      </c>
      <c r="H10" s="6">
        <v>6</v>
      </c>
      <c r="I10" s="6">
        <v>1</v>
      </c>
      <c r="J10" s="6">
        <v>0.2</v>
      </c>
      <c r="K10">
        <v>0.2576</v>
      </c>
      <c r="L10">
        <v>0.86</v>
      </c>
      <c r="M10">
        <v>0</v>
      </c>
      <c r="N10">
        <v>1</v>
      </c>
      <c r="O10">
        <v>2</v>
      </c>
      <c r="P10">
        <v>3</v>
      </c>
    </row>
    <row r="11" spans="1:16" x14ac:dyDescent="0.25">
      <c r="A11" s="6">
        <v>9</v>
      </c>
      <c r="B11" s="9">
        <v>40544</v>
      </c>
      <c r="C11" s="6">
        <v>1</v>
      </c>
      <c r="D11" s="6">
        <v>0</v>
      </c>
      <c r="E11" s="6">
        <v>1</v>
      </c>
      <c r="F11" s="6">
        <v>8</v>
      </c>
      <c r="G11" s="6" t="b">
        <v>0</v>
      </c>
      <c r="H11" s="6">
        <v>6</v>
      </c>
      <c r="I11" s="6">
        <v>1</v>
      </c>
      <c r="J11" s="6">
        <v>0.24</v>
      </c>
      <c r="K11">
        <v>0</v>
      </c>
      <c r="L11">
        <v>0.75</v>
      </c>
      <c r="M11">
        <v>0</v>
      </c>
      <c r="N11">
        <v>1</v>
      </c>
      <c r="O11">
        <v>7</v>
      </c>
      <c r="P11">
        <v>8</v>
      </c>
    </row>
    <row r="12" spans="1:16" x14ac:dyDescent="0.25">
      <c r="A12" s="6">
        <v>10</v>
      </c>
      <c r="B12" s="9">
        <v>40544</v>
      </c>
      <c r="C12" s="6">
        <v>1</v>
      </c>
      <c r="D12" s="6">
        <v>0</v>
      </c>
      <c r="E12" s="6">
        <v>1</v>
      </c>
      <c r="F12" s="6">
        <v>9</v>
      </c>
      <c r="G12" s="6" t="b">
        <v>0</v>
      </c>
      <c r="H12" s="6">
        <v>6</v>
      </c>
      <c r="I12" s="6">
        <v>1</v>
      </c>
      <c r="J12" s="6">
        <v>0.32</v>
      </c>
      <c r="K12">
        <v>0.34849999999999998</v>
      </c>
      <c r="L12">
        <v>0.76</v>
      </c>
      <c r="M12">
        <v>0</v>
      </c>
      <c r="N12">
        <v>8</v>
      </c>
      <c r="O12">
        <v>6</v>
      </c>
      <c r="P12">
        <v>14</v>
      </c>
    </row>
    <row r="13" spans="1:16" x14ac:dyDescent="0.25">
      <c r="A13" s="6">
        <v>11</v>
      </c>
      <c r="B13" s="9">
        <v>40544</v>
      </c>
      <c r="C13" s="6">
        <v>1</v>
      </c>
      <c r="D13" s="6">
        <v>0</v>
      </c>
      <c r="E13" s="6">
        <v>1</v>
      </c>
      <c r="F13" s="6">
        <v>10</v>
      </c>
      <c r="G13" s="6" t="b">
        <v>0</v>
      </c>
      <c r="H13" s="6">
        <v>6</v>
      </c>
      <c r="I13" s="6">
        <v>1</v>
      </c>
      <c r="J13" s="6">
        <v>0.38</v>
      </c>
      <c r="K13">
        <v>0.39389999999999997</v>
      </c>
      <c r="L13">
        <v>0.76</v>
      </c>
      <c r="M13">
        <v>0.25369999999999998</v>
      </c>
      <c r="N13">
        <v>12</v>
      </c>
      <c r="O13">
        <v>24</v>
      </c>
      <c r="P13">
        <v>36</v>
      </c>
    </row>
    <row r="14" spans="1:16" x14ac:dyDescent="0.25">
      <c r="A14" s="6">
        <v>12</v>
      </c>
      <c r="B14" s="9">
        <v>40544</v>
      </c>
      <c r="C14" s="6">
        <v>1</v>
      </c>
      <c r="D14" s="6">
        <v>0</v>
      </c>
      <c r="E14" s="6">
        <v>1</v>
      </c>
      <c r="F14" s="6">
        <v>11</v>
      </c>
      <c r="G14" s="6" t="b">
        <v>0</v>
      </c>
      <c r="H14" s="6">
        <v>6</v>
      </c>
      <c r="I14" s="6">
        <v>1</v>
      </c>
      <c r="J14" s="6">
        <v>0.36</v>
      </c>
      <c r="K14">
        <v>0.33329999999999999</v>
      </c>
      <c r="L14">
        <v>0.81</v>
      </c>
      <c r="M14">
        <v>0.28360000000000002</v>
      </c>
      <c r="N14">
        <v>26</v>
      </c>
      <c r="O14">
        <v>30</v>
      </c>
      <c r="P14">
        <v>56</v>
      </c>
    </row>
    <row r="15" spans="1:16" x14ac:dyDescent="0.25">
      <c r="A15" s="6">
        <v>13</v>
      </c>
      <c r="B15" s="9">
        <v>40544</v>
      </c>
      <c r="C15" s="6">
        <v>1</v>
      </c>
      <c r="D15" s="6">
        <v>0</v>
      </c>
      <c r="E15" s="6">
        <v>1</v>
      </c>
      <c r="F15" s="6">
        <v>12</v>
      </c>
      <c r="G15" s="6" t="b">
        <v>0</v>
      </c>
      <c r="H15" s="6">
        <v>6</v>
      </c>
      <c r="I15" s="6">
        <v>1</v>
      </c>
      <c r="J15" s="6">
        <v>0.42</v>
      </c>
      <c r="K15">
        <v>0.42420000000000002</v>
      </c>
      <c r="L15">
        <v>0.77</v>
      </c>
      <c r="M15">
        <v>0.28360000000000002</v>
      </c>
      <c r="N15">
        <v>29</v>
      </c>
      <c r="O15">
        <v>55</v>
      </c>
      <c r="P15">
        <v>84</v>
      </c>
    </row>
    <row r="16" spans="1:16" x14ac:dyDescent="0.25">
      <c r="A16" s="6">
        <v>14</v>
      </c>
      <c r="B16" s="9">
        <v>40544</v>
      </c>
      <c r="C16" s="6">
        <v>1</v>
      </c>
      <c r="D16" s="6">
        <v>0</v>
      </c>
      <c r="E16" s="6">
        <v>1</v>
      </c>
      <c r="F16" s="6">
        <v>13</v>
      </c>
      <c r="G16" s="6" t="b">
        <v>0</v>
      </c>
      <c r="H16" s="6">
        <v>6</v>
      </c>
      <c r="I16" s="6">
        <v>2</v>
      </c>
      <c r="J16" s="6">
        <v>0.46</v>
      </c>
      <c r="K16">
        <v>0.45450000000000002</v>
      </c>
      <c r="L16">
        <v>0.72</v>
      </c>
      <c r="M16">
        <v>0.29849999999999999</v>
      </c>
      <c r="N16">
        <v>47</v>
      </c>
      <c r="O16">
        <v>47</v>
      </c>
      <c r="P16">
        <v>94</v>
      </c>
    </row>
    <row r="17" spans="1:16" x14ac:dyDescent="0.25">
      <c r="A17" s="6">
        <v>15</v>
      </c>
      <c r="B17" s="9">
        <v>40544</v>
      </c>
      <c r="C17" s="6">
        <v>1</v>
      </c>
      <c r="D17" s="6">
        <v>0</v>
      </c>
      <c r="E17" s="6">
        <v>1</v>
      </c>
      <c r="F17" s="6">
        <v>14</v>
      </c>
      <c r="G17" s="6" t="b">
        <v>0</v>
      </c>
      <c r="H17" s="6">
        <v>6</v>
      </c>
      <c r="I17" s="6">
        <v>2</v>
      </c>
      <c r="J17" s="6">
        <v>0.46</v>
      </c>
      <c r="K17">
        <v>0.45450000000000002</v>
      </c>
      <c r="L17">
        <v>0.72</v>
      </c>
      <c r="M17">
        <v>0.28360000000000002</v>
      </c>
      <c r="N17">
        <v>35</v>
      </c>
      <c r="O17">
        <v>71</v>
      </c>
      <c r="P17">
        <v>106</v>
      </c>
    </row>
    <row r="18" spans="1:16" x14ac:dyDescent="0.25">
      <c r="A18" s="6">
        <v>16</v>
      </c>
      <c r="B18" s="9">
        <v>40544</v>
      </c>
      <c r="C18" s="6">
        <v>1</v>
      </c>
      <c r="D18" s="6">
        <v>0</v>
      </c>
      <c r="E18" s="6">
        <v>1</v>
      </c>
      <c r="F18" s="6">
        <v>15</v>
      </c>
      <c r="G18" s="6" t="b">
        <v>0</v>
      </c>
      <c r="H18" s="6">
        <v>6</v>
      </c>
      <c r="I18" s="6">
        <v>2</v>
      </c>
      <c r="J18" s="6">
        <v>0.44</v>
      </c>
      <c r="K18">
        <v>0.43940000000000001</v>
      </c>
      <c r="L18">
        <v>0.77</v>
      </c>
      <c r="M18">
        <v>0.29849999999999999</v>
      </c>
      <c r="N18">
        <v>40</v>
      </c>
      <c r="O18">
        <v>70</v>
      </c>
      <c r="P18">
        <v>110</v>
      </c>
    </row>
    <row r="19" spans="1:16" x14ac:dyDescent="0.25">
      <c r="A19" s="6">
        <v>17</v>
      </c>
      <c r="B19" s="9">
        <v>40544</v>
      </c>
      <c r="C19" s="6">
        <v>1</v>
      </c>
      <c r="D19" s="6">
        <v>0</v>
      </c>
      <c r="E19" s="6">
        <v>1</v>
      </c>
      <c r="F19" s="6">
        <v>16</v>
      </c>
      <c r="G19" s="6" t="b">
        <v>0</v>
      </c>
      <c r="H19" s="6">
        <v>6</v>
      </c>
      <c r="I19" s="6">
        <v>2</v>
      </c>
      <c r="J19" s="6">
        <v>0.42</v>
      </c>
      <c r="K19">
        <v>0.42420000000000002</v>
      </c>
      <c r="L19">
        <v>0.82</v>
      </c>
      <c r="M19">
        <v>0.29849999999999999</v>
      </c>
      <c r="N19">
        <v>41</v>
      </c>
      <c r="O19">
        <v>52</v>
      </c>
      <c r="P19">
        <v>93</v>
      </c>
    </row>
    <row r="20" spans="1:16" x14ac:dyDescent="0.25">
      <c r="A20" s="6">
        <v>18</v>
      </c>
      <c r="B20" s="9">
        <v>40544</v>
      </c>
      <c r="C20" s="6">
        <v>1</v>
      </c>
      <c r="D20" s="6">
        <v>0</v>
      </c>
      <c r="E20" s="6">
        <v>1</v>
      </c>
      <c r="F20" s="6">
        <v>17</v>
      </c>
      <c r="G20" s="6" t="b">
        <v>0</v>
      </c>
      <c r="H20" s="6">
        <v>6</v>
      </c>
      <c r="I20" s="6">
        <v>2</v>
      </c>
      <c r="J20" s="6">
        <v>0.44</v>
      </c>
      <c r="K20">
        <v>0</v>
      </c>
      <c r="L20">
        <v>0.82</v>
      </c>
      <c r="M20">
        <v>0.28360000000000002</v>
      </c>
      <c r="N20">
        <v>15</v>
      </c>
      <c r="O20">
        <v>52</v>
      </c>
      <c r="P20">
        <v>67</v>
      </c>
    </row>
    <row r="21" spans="1:16" x14ac:dyDescent="0.25">
      <c r="A21" s="6">
        <v>19</v>
      </c>
      <c r="B21" s="9">
        <v>40544</v>
      </c>
      <c r="C21" s="6">
        <v>1</v>
      </c>
      <c r="D21" s="6">
        <v>0</v>
      </c>
      <c r="E21" s="6">
        <v>1</v>
      </c>
      <c r="F21" s="6">
        <v>18</v>
      </c>
      <c r="G21" s="6" t="b">
        <v>0</v>
      </c>
      <c r="H21" s="6">
        <v>6</v>
      </c>
      <c r="I21" s="6">
        <v>3</v>
      </c>
      <c r="J21" s="6">
        <v>0.42</v>
      </c>
      <c r="K21">
        <v>0.42420000000000002</v>
      </c>
      <c r="L21">
        <v>0.88</v>
      </c>
      <c r="M21">
        <v>0.25369999999999998</v>
      </c>
      <c r="N21">
        <v>9</v>
      </c>
      <c r="O21">
        <v>26</v>
      </c>
      <c r="P21">
        <v>35</v>
      </c>
    </row>
    <row r="22" spans="1:16" x14ac:dyDescent="0.25">
      <c r="A22" s="6">
        <v>20</v>
      </c>
      <c r="B22" s="9">
        <v>40544</v>
      </c>
      <c r="C22" s="6">
        <v>1</v>
      </c>
      <c r="D22" s="6">
        <v>0</v>
      </c>
      <c r="E22" s="6">
        <v>1</v>
      </c>
      <c r="F22" s="6">
        <v>19</v>
      </c>
      <c r="G22" s="6" t="b">
        <v>0</v>
      </c>
      <c r="H22" s="6">
        <v>6</v>
      </c>
      <c r="I22" s="6">
        <v>3</v>
      </c>
      <c r="J22" s="6">
        <v>0.42</v>
      </c>
      <c r="K22">
        <v>0.42420000000000002</v>
      </c>
      <c r="L22">
        <v>0.88</v>
      </c>
      <c r="M22">
        <v>0.25369999999999998</v>
      </c>
      <c r="N22">
        <v>6</v>
      </c>
      <c r="O22">
        <v>31</v>
      </c>
      <c r="P22">
        <v>37</v>
      </c>
    </row>
    <row r="23" spans="1:16" x14ac:dyDescent="0.25">
      <c r="A23" s="6">
        <v>21</v>
      </c>
      <c r="B23" s="9">
        <v>40544</v>
      </c>
      <c r="C23" s="6">
        <v>1</v>
      </c>
      <c r="D23" s="6">
        <v>0</v>
      </c>
      <c r="E23" s="6">
        <v>1</v>
      </c>
      <c r="F23" s="6">
        <v>20</v>
      </c>
      <c r="G23" s="6" t="b">
        <v>0</v>
      </c>
      <c r="H23" s="6">
        <v>6</v>
      </c>
      <c r="I23" s="6">
        <v>2</v>
      </c>
      <c r="J23" s="6">
        <v>0.4</v>
      </c>
      <c r="K23">
        <v>0.40910000000000002</v>
      </c>
      <c r="L23">
        <v>0.87</v>
      </c>
      <c r="M23">
        <v>0.25369999999999998</v>
      </c>
      <c r="N23">
        <v>11</v>
      </c>
      <c r="O23">
        <v>25</v>
      </c>
      <c r="P23">
        <v>36</v>
      </c>
    </row>
    <row r="24" spans="1:16" x14ac:dyDescent="0.25">
      <c r="A24" s="6">
        <v>22</v>
      </c>
      <c r="B24" s="9">
        <v>40544</v>
      </c>
      <c r="C24" s="6">
        <v>1</v>
      </c>
      <c r="D24" s="6">
        <v>0</v>
      </c>
      <c r="E24" s="6">
        <v>1</v>
      </c>
      <c r="F24" s="6">
        <v>21</v>
      </c>
      <c r="G24" s="6" t="b">
        <v>0</v>
      </c>
      <c r="H24" s="6">
        <v>6</v>
      </c>
      <c r="I24" s="6">
        <v>2</v>
      </c>
      <c r="J24" s="6">
        <v>0.4</v>
      </c>
      <c r="K24">
        <v>0.40910000000000002</v>
      </c>
      <c r="L24">
        <v>0.87</v>
      </c>
      <c r="M24">
        <v>0.19400000000000001</v>
      </c>
      <c r="N24">
        <v>3</v>
      </c>
      <c r="O24">
        <v>31</v>
      </c>
      <c r="P24">
        <v>34</v>
      </c>
    </row>
    <row r="25" spans="1:16" x14ac:dyDescent="0.25">
      <c r="A25" s="6">
        <v>23</v>
      </c>
      <c r="B25" s="9">
        <v>40544</v>
      </c>
      <c r="C25" s="6">
        <v>1</v>
      </c>
      <c r="D25" s="6">
        <v>0</v>
      </c>
      <c r="E25" s="6">
        <v>1</v>
      </c>
      <c r="F25" s="6">
        <v>22</v>
      </c>
      <c r="G25" s="6" t="b">
        <v>0</v>
      </c>
      <c r="H25" s="6">
        <v>6</v>
      </c>
      <c r="I25" s="6">
        <v>2</v>
      </c>
      <c r="J25" s="6">
        <v>0.4</v>
      </c>
      <c r="K25">
        <v>0.40910000000000002</v>
      </c>
      <c r="L25">
        <v>0.94</v>
      </c>
      <c r="M25">
        <v>0.22389999999999999</v>
      </c>
      <c r="N25">
        <v>11</v>
      </c>
      <c r="O25">
        <v>17</v>
      </c>
      <c r="P25">
        <v>28</v>
      </c>
    </row>
    <row r="26" spans="1:16" x14ac:dyDescent="0.25">
      <c r="A26" s="6">
        <v>24</v>
      </c>
      <c r="B26" s="9">
        <v>40544</v>
      </c>
      <c r="C26" s="6">
        <v>1</v>
      </c>
      <c r="D26" s="6">
        <v>0</v>
      </c>
      <c r="E26" s="6">
        <v>1</v>
      </c>
      <c r="F26" s="6">
        <v>23</v>
      </c>
      <c r="G26" s="6" t="b">
        <v>0</v>
      </c>
      <c r="H26" s="6">
        <v>6</v>
      </c>
      <c r="I26" s="6">
        <v>2</v>
      </c>
      <c r="J26" s="6">
        <v>0.46</v>
      </c>
      <c r="K26">
        <v>0</v>
      </c>
      <c r="L26">
        <v>0.88</v>
      </c>
      <c r="M26">
        <v>0.29849999999999999</v>
      </c>
      <c r="N26">
        <v>15</v>
      </c>
      <c r="O26">
        <v>24</v>
      </c>
      <c r="P26">
        <v>39</v>
      </c>
    </row>
    <row r="27" spans="1:16" x14ac:dyDescent="0.25">
      <c r="A27" s="6">
        <v>25</v>
      </c>
      <c r="B27" s="9">
        <v>40545</v>
      </c>
      <c r="C27" s="6">
        <v>1</v>
      </c>
      <c r="D27" s="6">
        <v>0</v>
      </c>
      <c r="E27" s="6">
        <v>1</v>
      </c>
      <c r="F27" s="6">
        <v>0</v>
      </c>
      <c r="G27" s="6" t="b">
        <v>0</v>
      </c>
      <c r="H27" s="6">
        <v>0</v>
      </c>
      <c r="I27" s="6">
        <v>2</v>
      </c>
      <c r="J27" s="6">
        <v>0.46</v>
      </c>
      <c r="K27">
        <v>0.45450000000000002</v>
      </c>
      <c r="L27">
        <v>0.88</v>
      </c>
      <c r="M27">
        <v>0.29849999999999999</v>
      </c>
      <c r="N27">
        <v>4</v>
      </c>
      <c r="O27">
        <v>13</v>
      </c>
      <c r="P27">
        <v>17</v>
      </c>
    </row>
    <row r="28" spans="1:16" x14ac:dyDescent="0.25">
      <c r="A28" s="6">
        <v>26</v>
      </c>
      <c r="B28" s="9">
        <v>40545</v>
      </c>
      <c r="C28" s="6">
        <v>1</v>
      </c>
      <c r="D28" s="6">
        <v>0</v>
      </c>
      <c r="E28" s="6">
        <v>1</v>
      </c>
      <c r="F28" s="6">
        <v>1</v>
      </c>
      <c r="G28" s="6" t="b">
        <v>0</v>
      </c>
      <c r="H28" s="6">
        <v>0</v>
      </c>
      <c r="I28" s="6">
        <v>2</v>
      </c>
      <c r="J28" s="6">
        <v>0.44</v>
      </c>
      <c r="K28">
        <v>0.43940000000000001</v>
      </c>
      <c r="L28">
        <v>0.94</v>
      </c>
      <c r="M28">
        <v>0.25369999999999998</v>
      </c>
      <c r="N28">
        <v>1</v>
      </c>
      <c r="O28">
        <v>16</v>
      </c>
      <c r="P28">
        <v>17</v>
      </c>
    </row>
    <row r="29" spans="1:16" x14ac:dyDescent="0.25">
      <c r="A29" s="6">
        <v>27</v>
      </c>
      <c r="B29" s="9">
        <v>40545</v>
      </c>
      <c r="C29" s="6">
        <v>1</v>
      </c>
      <c r="D29" s="6">
        <v>0</v>
      </c>
      <c r="E29" s="6">
        <v>1</v>
      </c>
      <c r="F29" s="6">
        <v>2</v>
      </c>
      <c r="G29" s="6" t="b">
        <v>0</v>
      </c>
      <c r="H29" s="6">
        <v>0</v>
      </c>
      <c r="I29" s="6">
        <v>2</v>
      </c>
      <c r="J29" s="6">
        <v>0.42</v>
      </c>
      <c r="K29">
        <v>0.42420000000000002</v>
      </c>
      <c r="L29">
        <v>1</v>
      </c>
      <c r="M29">
        <v>0.28360000000000002</v>
      </c>
      <c r="N29">
        <v>1</v>
      </c>
      <c r="O29">
        <v>8</v>
      </c>
      <c r="P29">
        <v>9</v>
      </c>
    </row>
    <row r="30" spans="1:16" x14ac:dyDescent="0.25">
      <c r="A30" s="6">
        <v>28</v>
      </c>
      <c r="B30" s="9">
        <v>40545</v>
      </c>
      <c r="C30" s="6">
        <v>1</v>
      </c>
      <c r="D30" s="6">
        <v>0</v>
      </c>
      <c r="E30" s="6">
        <v>1</v>
      </c>
      <c r="F30" s="6">
        <v>3</v>
      </c>
      <c r="G30" s="6" t="b">
        <v>0</v>
      </c>
      <c r="H30" s="6">
        <v>0</v>
      </c>
      <c r="I30" s="6">
        <v>2</v>
      </c>
      <c r="J30" s="6">
        <v>0.46</v>
      </c>
      <c r="K30">
        <v>0.45450000000000002</v>
      </c>
      <c r="L30">
        <v>0.94</v>
      </c>
      <c r="M30">
        <v>0.19400000000000001</v>
      </c>
      <c r="N30">
        <v>2</v>
      </c>
      <c r="O30">
        <v>4</v>
      </c>
      <c r="P30">
        <v>6</v>
      </c>
    </row>
    <row r="31" spans="1:16" x14ac:dyDescent="0.25">
      <c r="A31" s="6">
        <v>29</v>
      </c>
      <c r="B31" s="9">
        <v>40545</v>
      </c>
      <c r="C31" s="6">
        <v>1</v>
      </c>
      <c r="D31" s="6">
        <v>0</v>
      </c>
      <c r="E31" s="6">
        <v>1</v>
      </c>
      <c r="F31" s="6">
        <v>4</v>
      </c>
      <c r="G31" s="6" t="b">
        <v>0</v>
      </c>
      <c r="H31" s="6">
        <v>0</v>
      </c>
      <c r="I31" s="6">
        <v>2</v>
      </c>
      <c r="J31" s="6">
        <v>0.46</v>
      </c>
      <c r="K31">
        <v>0</v>
      </c>
      <c r="L31">
        <v>0.94</v>
      </c>
      <c r="M31">
        <v>0.19400000000000001</v>
      </c>
      <c r="N31">
        <v>2</v>
      </c>
      <c r="O31">
        <v>1</v>
      </c>
      <c r="P31">
        <v>3</v>
      </c>
    </row>
    <row r="32" spans="1:16" x14ac:dyDescent="0.25">
      <c r="A32" s="6">
        <v>30</v>
      </c>
      <c r="B32" s="9">
        <v>40545</v>
      </c>
      <c r="C32" s="6">
        <v>1</v>
      </c>
      <c r="D32" s="6">
        <v>0</v>
      </c>
      <c r="E32" s="6">
        <v>1</v>
      </c>
      <c r="F32" s="6">
        <v>6</v>
      </c>
      <c r="G32" s="6" t="b">
        <v>0</v>
      </c>
      <c r="H32" s="6">
        <v>0</v>
      </c>
      <c r="I32" s="6">
        <v>3</v>
      </c>
      <c r="J32" s="6">
        <v>0.42</v>
      </c>
      <c r="K32">
        <v>0.42420000000000002</v>
      </c>
      <c r="L32">
        <v>0.77</v>
      </c>
      <c r="M32">
        <v>0.29849999999999999</v>
      </c>
      <c r="N32">
        <v>0</v>
      </c>
      <c r="O32">
        <v>2</v>
      </c>
      <c r="P32">
        <v>2</v>
      </c>
    </row>
    <row r="33" spans="1:16" x14ac:dyDescent="0.25">
      <c r="A33" s="6">
        <v>31</v>
      </c>
      <c r="B33" s="9">
        <v>40545</v>
      </c>
      <c r="C33" s="6">
        <v>1</v>
      </c>
      <c r="D33" s="6">
        <v>0</v>
      </c>
      <c r="E33" s="6">
        <v>1</v>
      </c>
      <c r="F33" s="6">
        <v>7</v>
      </c>
      <c r="G33" s="6" t="b">
        <v>0</v>
      </c>
      <c r="H33" s="6">
        <v>0</v>
      </c>
      <c r="I33" s="6">
        <v>2</v>
      </c>
      <c r="J33" s="6">
        <v>0.4</v>
      </c>
      <c r="K33">
        <v>0.40910000000000002</v>
      </c>
      <c r="L33">
        <v>0.76</v>
      </c>
      <c r="M33">
        <v>0.19400000000000001</v>
      </c>
      <c r="N33">
        <v>0</v>
      </c>
      <c r="O33">
        <v>1</v>
      </c>
      <c r="P33">
        <v>1</v>
      </c>
    </row>
    <row r="34" spans="1:16" x14ac:dyDescent="0.25">
      <c r="A34" s="6">
        <v>32</v>
      </c>
      <c r="B34" s="9">
        <v>40545</v>
      </c>
      <c r="C34" s="6">
        <v>1</v>
      </c>
      <c r="D34" s="6">
        <v>0</v>
      </c>
      <c r="E34" s="6">
        <v>1</v>
      </c>
      <c r="F34" s="6">
        <v>8</v>
      </c>
      <c r="G34" s="6" t="b">
        <v>0</v>
      </c>
      <c r="H34" s="6">
        <v>0</v>
      </c>
      <c r="I34" s="6">
        <v>3</v>
      </c>
      <c r="J34" s="6">
        <v>0.4</v>
      </c>
      <c r="K34">
        <v>0.40910000000000002</v>
      </c>
      <c r="L34">
        <v>0.71</v>
      </c>
      <c r="M34">
        <v>0.22389999999999999</v>
      </c>
      <c r="N34">
        <v>0</v>
      </c>
      <c r="O34">
        <v>8</v>
      </c>
      <c r="P34">
        <v>8</v>
      </c>
    </row>
    <row r="35" spans="1:16" x14ac:dyDescent="0.25">
      <c r="A35" s="6">
        <v>33</v>
      </c>
      <c r="B35" s="9">
        <v>40545</v>
      </c>
      <c r="C35" s="6">
        <v>1</v>
      </c>
      <c r="D35" s="6">
        <v>0</v>
      </c>
      <c r="E35" s="6">
        <v>1</v>
      </c>
      <c r="F35" s="6">
        <v>9</v>
      </c>
      <c r="G35" s="6" t="b">
        <v>0</v>
      </c>
      <c r="H35" s="6">
        <v>0</v>
      </c>
      <c r="I35" s="6">
        <v>2</v>
      </c>
      <c r="J35" s="6">
        <v>0.38</v>
      </c>
      <c r="K35">
        <v>0</v>
      </c>
      <c r="L35">
        <v>0.76</v>
      </c>
      <c r="M35">
        <v>0.22389999999999999</v>
      </c>
      <c r="N35">
        <v>1</v>
      </c>
      <c r="O35">
        <v>19</v>
      </c>
      <c r="P35">
        <v>20</v>
      </c>
    </row>
    <row r="36" spans="1:16" x14ac:dyDescent="0.25">
      <c r="A36" s="6">
        <v>34</v>
      </c>
      <c r="B36" s="9">
        <v>40545</v>
      </c>
      <c r="C36" s="6">
        <v>1</v>
      </c>
      <c r="D36" s="6">
        <v>0</v>
      </c>
      <c r="E36" s="6">
        <v>1</v>
      </c>
      <c r="F36" s="6">
        <v>10</v>
      </c>
      <c r="G36" s="6" t="b">
        <v>0</v>
      </c>
      <c r="H36" s="6">
        <v>0</v>
      </c>
      <c r="I36" s="6">
        <v>2</v>
      </c>
      <c r="J36" s="6">
        <v>0.36</v>
      </c>
      <c r="K36">
        <v>0.34849999999999998</v>
      </c>
      <c r="L36">
        <v>0.81</v>
      </c>
      <c r="M36">
        <v>0.22389999999999999</v>
      </c>
      <c r="N36">
        <v>7</v>
      </c>
      <c r="O36">
        <v>46</v>
      </c>
      <c r="P36">
        <v>53</v>
      </c>
    </row>
    <row r="37" spans="1:16" x14ac:dyDescent="0.25">
      <c r="A37" s="6">
        <v>35</v>
      </c>
      <c r="B37" s="9">
        <v>40545</v>
      </c>
      <c r="C37" s="6">
        <v>1</v>
      </c>
      <c r="D37" s="6">
        <v>0</v>
      </c>
      <c r="E37" s="6">
        <v>1</v>
      </c>
      <c r="F37" s="6">
        <v>11</v>
      </c>
      <c r="G37" s="6" t="b">
        <v>0</v>
      </c>
      <c r="H37" s="6">
        <v>0</v>
      </c>
      <c r="I37" s="6">
        <v>2</v>
      </c>
      <c r="J37" s="6">
        <v>0.36</v>
      </c>
      <c r="K37">
        <v>0.33329999999999999</v>
      </c>
      <c r="L37">
        <v>0.71</v>
      </c>
      <c r="M37">
        <v>0.25369999999999998</v>
      </c>
      <c r="N37">
        <v>16</v>
      </c>
      <c r="O37">
        <v>54</v>
      </c>
      <c r="P37">
        <v>70</v>
      </c>
    </row>
    <row r="38" spans="1:16" x14ac:dyDescent="0.25">
      <c r="A38" s="6">
        <v>36</v>
      </c>
      <c r="B38" s="9">
        <v>40545</v>
      </c>
      <c r="C38" s="6">
        <v>1</v>
      </c>
      <c r="D38" s="6">
        <v>0</v>
      </c>
      <c r="E38" s="6">
        <v>1</v>
      </c>
      <c r="F38" s="6">
        <v>12</v>
      </c>
      <c r="G38" s="6" t="b">
        <v>0</v>
      </c>
      <c r="H38" s="6">
        <v>0</v>
      </c>
      <c r="I38" s="6">
        <v>2</v>
      </c>
      <c r="J38" s="6">
        <v>0.36</v>
      </c>
      <c r="K38">
        <v>0.33329999999999999</v>
      </c>
      <c r="L38">
        <v>0.66</v>
      </c>
      <c r="M38">
        <v>0.29849999999999999</v>
      </c>
      <c r="N38">
        <v>20</v>
      </c>
      <c r="O38">
        <v>73</v>
      </c>
      <c r="P38">
        <v>93</v>
      </c>
    </row>
    <row r="39" spans="1:16" x14ac:dyDescent="0.25">
      <c r="A39" s="6">
        <v>37</v>
      </c>
      <c r="B39" s="9">
        <v>40545</v>
      </c>
      <c r="C39" s="6">
        <v>1</v>
      </c>
      <c r="D39" s="6">
        <v>0</v>
      </c>
      <c r="E39" s="6">
        <v>1</v>
      </c>
      <c r="F39" s="6">
        <v>13</v>
      </c>
      <c r="G39" s="6" t="b">
        <v>0</v>
      </c>
      <c r="H39" s="6">
        <v>0</v>
      </c>
      <c r="I39" s="6">
        <v>2</v>
      </c>
      <c r="J39" s="6">
        <v>0.36</v>
      </c>
      <c r="K39">
        <v>0.34849999999999998</v>
      </c>
      <c r="L39">
        <v>0.66</v>
      </c>
      <c r="M39">
        <v>0.1343</v>
      </c>
      <c r="N39">
        <v>11</v>
      </c>
      <c r="O39">
        <v>64</v>
      </c>
      <c r="P39">
        <v>75</v>
      </c>
    </row>
    <row r="40" spans="1:16" x14ac:dyDescent="0.25">
      <c r="A40" s="6">
        <v>38</v>
      </c>
      <c r="B40" s="9">
        <v>40545</v>
      </c>
      <c r="C40" s="6">
        <v>1</v>
      </c>
      <c r="D40" s="6">
        <v>0</v>
      </c>
      <c r="E40" s="6">
        <v>1</v>
      </c>
      <c r="F40" s="6">
        <v>14</v>
      </c>
      <c r="G40" s="6" t="b">
        <v>0</v>
      </c>
      <c r="H40" s="6">
        <v>0</v>
      </c>
      <c r="I40" s="6">
        <v>3</v>
      </c>
      <c r="J40" s="6">
        <v>0.36</v>
      </c>
      <c r="K40">
        <v>0</v>
      </c>
      <c r="L40">
        <v>0.76</v>
      </c>
      <c r="M40">
        <v>0.19400000000000001</v>
      </c>
      <c r="N40">
        <v>4</v>
      </c>
      <c r="O40">
        <v>55</v>
      </c>
      <c r="P40">
        <v>59</v>
      </c>
    </row>
    <row r="41" spans="1:16" x14ac:dyDescent="0.25">
      <c r="A41" s="6">
        <v>39</v>
      </c>
      <c r="B41" s="9">
        <v>40545</v>
      </c>
      <c r="C41" s="6">
        <v>1</v>
      </c>
      <c r="D41" s="6">
        <v>0</v>
      </c>
      <c r="E41" s="6">
        <v>1</v>
      </c>
      <c r="F41" s="6">
        <v>15</v>
      </c>
      <c r="G41" s="6" t="b">
        <v>0</v>
      </c>
      <c r="H41" s="6">
        <v>0</v>
      </c>
      <c r="I41" s="6">
        <v>3</v>
      </c>
      <c r="J41" s="6">
        <v>0.34</v>
      </c>
      <c r="K41">
        <v>0.33329999999999999</v>
      </c>
      <c r="L41">
        <v>0.81</v>
      </c>
      <c r="M41">
        <v>0.16420000000000001</v>
      </c>
      <c r="N41">
        <v>19</v>
      </c>
      <c r="O41">
        <v>55</v>
      </c>
      <c r="P41">
        <v>74</v>
      </c>
    </row>
    <row r="42" spans="1:16" x14ac:dyDescent="0.25">
      <c r="A42" s="6">
        <v>40</v>
      </c>
      <c r="B42" s="9">
        <v>40545</v>
      </c>
      <c r="C42" s="6">
        <v>1</v>
      </c>
      <c r="D42" s="6">
        <v>0</v>
      </c>
      <c r="E42" s="6">
        <v>1</v>
      </c>
      <c r="F42" s="6">
        <v>16</v>
      </c>
      <c r="G42" s="6" t="b">
        <v>0</v>
      </c>
      <c r="H42" s="6">
        <v>0</v>
      </c>
      <c r="I42" s="6">
        <v>3</v>
      </c>
      <c r="J42" s="6">
        <v>0.34</v>
      </c>
      <c r="K42">
        <v>0.33329999999999999</v>
      </c>
      <c r="L42">
        <v>0.71</v>
      </c>
      <c r="M42">
        <v>0.16420000000000001</v>
      </c>
      <c r="N42">
        <v>9</v>
      </c>
      <c r="O42">
        <v>67</v>
      </c>
      <c r="P42">
        <v>76</v>
      </c>
    </row>
    <row r="43" spans="1:16" x14ac:dyDescent="0.25">
      <c r="A43" s="6">
        <v>41</v>
      </c>
      <c r="B43" s="9">
        <v>40545</v>
      </c>
      <c r="C43" s="6">
        <v>1</v>
      </c>
      <c r="D43" s="6">
        <v>0</v>
      </c>
      <c r="E43" s="6">
        <v>1</v>
      </c>
      <c r="F43" s="6">
        <v>17</v>
      </c>
      <c r="G43" s="6" t="b">
        <v>0</v>
      </c>
      <c r="H43" s="6">
        <v>0</v>
      </c>
      <c r="I43" s="6">
        <v>1</v>
      </c>
      <c r="J43" s="6">
        <v>0.34</v>
      </c>
      <c r="K43">
        <v>0.33329999999999999</v>
      </c>
      <c r="L43">
        <v>0.56999999999999995</v>
      </c>
      <c r="M43">
        <v>0.19400000000000001</v>
      </c>
      <c r="N43">
        <v>7</v>
      </c>
      <c r="O43">
        <v>58</v>
      </c>
      <c r="P43">
        <v>65</v>
      </c>
    </row>
    <row r="44" spans="1:16" x14ac:dyDescent="0.25">
      <c r="A44" s="6">
        <v>42</v>
      </c>
      <c r="B44" s="9">
        <v>40545</v>
      </c>
      <c r="C44" s="6">
        <v>1</v>
      </c>
      <c r="D44" s="6">
        <v>0</v>
      </c>
      <c r="E44" s="6">
        <v>1</v>
      </c>
      <c r="F44" s="6">
        <v>18</v>
      </c>
      <c r="G44" s="6" t="b">
        <v>0</v>
      </c>
      <c r="H44" s="6">
        <v>0</v>
      </c>
      <c r="I44" s="6">
        <v>2</v>
      </c>
      <c r="J44" s="6">
        <v>0.36</v>
      </c>
      <c r="K44">
        <v>0.33329999999999999</v>
      </c>
      <c r="L44">
        <v>0.46</v>
      </c>
      <c r="M44">
        <v>0.32840000000000003</v>
      </c>
      <c r="N44">
        <v>10</v>
      </c>
      <c r="O44">
        <v>43</v>
      </c>
      <c r="P44">
        <v>53</v>
      </c>
    </row>
    <row r="45" spans="1:16" x14ac:dyDescent="0.25">
      <c r="A45" s="6">
        <v>43</v>
      </c>
      <c r="B45" s="9">
        <v>40545</v>
      </c>
      <c r="C45" s="6">
        <v>1</v>
      </c>
      <c r="D45" s="6">
        <v>0</v>
      </c>
      <c r="E45" s="6">
        <v>1</v>
      </c>
      <c r="F45" s="6">
        <v>19</v>
      </c>
      <c r="G45" s="6" t="b">
        <v>0</v>
      </c>
      <c r="H45" s="6">
        <v>0</v>
      </c>
      <c r="I45" s="6">
        <v>1</v>
      </c>
      <c r="J45" s="6">
        <v>0.32</v>
      </c>
      <c r="K45">
        <v>0.28789999999999999</v>
      </c>
      <c r="L45">
        <v>0.42</v>
      </c>
      <c r="M45">
        <v>0.44779999999999998</v>
      </c>
      <c r="N45">
        <v>1</v>
      </c>
      <c r="O45">
        <v>29</v>
      </c>
      <c r="P45">
        <v>30</v>
      </c>
    </row>
    <row r="46" spans="1:16" x14ac:dyDescent="0.25">
      <c r="A46" s="6">
        <v>44</v>
      </c>
      <c r="B46" s="9">
        <v>40545</v>
      </c>
      <c r="C46" s="6">
        <v>1</v>
      </c>
      <c r="D46" s="6">
        <v>0</v>
      </c>
      <c r="E46" s="6">
        <v>1</v>
      </c>
      <c r="F46" s="6">
        <v>20</v>
      </c>
      <c r="G46" s="6" t="b">
        <v>0</v>
      </c>
      <c r="H46" s="6">
        <v>0</v>
      </c>
      <c r="I46" s="6">
        <v>1</v>
      </c>
      <c r="J46" s="6">
        <v>0.3</v>
      </c>
      <c r="K46">
        <v>0</v>
      </c>
      <c r="L46">
        <v>0.39</v>
      </c>
      <c r="M46">
        <v>0.35820000000000002</v>
      </c>
      <c r="N46">
        <v>5</v>
      </c>
      <c r="O46">
        <v>17</v>
      </c>
      <c r="P46">
        <v>22</v>
      </c>
    </row>
    <row r="47" spans="1:16" x14ac:dyDescent="0.25">
      <c r="A47" s="6">
        <v>45</v>
      </c>
      <c r="B47" s="9">
        <v>40545</v>
      </c>
      <c r="C47" s="6">
        <v>1</v>
      </c>
      <c r="D47" s="6">
        <v>0</v>
      </c>
      <c r="E47" s="6">
        <v>1</v>
      </c>
      <c r="F47" s="6">
        <v>21</v>
      </c>
      <c r="G47" s="6" t="b">
        <v>0</v>
      </c>
      <c r="H47" s="6">
        <v>0</v>
      </c>
      <c r="I47" s="6">
        <v>1</v>
      </c>
      <c r="J47" s="6">
        <v>0.26</v>
      </c>
      <c r="K47">
        <v>0.2273</v>
      </c>
      <c r="L47">
        <v>0.44</v>
      </c>
      <c r="M47">
        <v>0.32840000000000003</v>
      </c>
      <c r="N47">
        <v>11</v>
      </c>
      <c r="O47">
        <v>20</v>
      </c>
      <c r="P47">
        <v>31</v>
      </c>
    </row>
    <row r="48" spans="1:16" x14ac:dyDescent="0.25">
      <c r="A48" s="6">
        <v>46</v>
      </c>
      <c r="B48" s="9">
        <v>40545</v>
      </c>
      <c r="C48" s="6">
        <v>1</v>
      </c>
      <c r="D48" s="6">
        <v>0</v>
      </c>
      <c r="E48" s="6">
        <v>1</v>
      </c>
      <c r="F48" s="6">
        <v>22</v>
      </c>
      <c r="G48" s="6" t="b">
        <v>0</v>
      </c>
      <c r="H48" s="6">
        <v>0</v>
      </c>
      <c r="I48" s="6">
        <v>1</v>
      </c>
      <c r="J48" s="6">
        <v>0.24</v>
      </c>
      <c r="K48">
        <v>0.21210000000000001</v>
      </c>
      <c r="L48">
        <v>0.44</v>
      </c>
      <c r="M48">
        <v>0.29849999999999999</v>
      </c>
      <c r="N48">
        <v>0</v>
      </c>
      <c r="O48">
        <v>9</v>
      </c>
      <c r="P48">
        <v>9</v>
      </c>
    </row>
    <row r="49" spans="1:16" x14ac:dyDescent="0.25">
      <c r="A49" s="6">
        <v>47</v>
      </c>
      <c r="B49" s="9">
        <v>40545</v>
      </c>
      <c r="C49" s="6">
        <v>1</v>
      </c>
      <c r="D49" s="6">
        <v>0</v>
      </c>
      <c r="E49" s="6">
        <v>1</v>
      </c>
      <c r="F49" s="6">
        <v>23</v>
      </c>
      <c r="G49" s="6" t="b">
        <v>0</v>
      </c>
      <c r="H49" s="6">
        <v>0</v>
      </c>
      <c r="I49" s="6">
        <v>1</v>
      </c>
      <c r="J49" s="6">
        <v>0.22</v>
      </c>
      <c r="K49">
        <v>0.2273</v>
      </c>
      <c r="L49">
        <v>0.47</v>
      </c>
      <c r="M49">
        <v>0.16420000000000001</v>
      </c>
      <c r="N49">
        <v>0</v>
      </c>
      <c r="O49">
        <v>8</v>
      </c>
      <c r="P49">
        <v>8</v>
      </c>
    </row>
    <row r="50" spans="1:16" x14ac:dyDescent="0.25">
      <c r="A50" s="6">
        <v>48</v>
      </c>
      <c r="B50" s="9">
        <v>40546</v>
      </c>
      <c r="C50" s="6">
        <v>1</v>
      </c>
      <c r="D50" s="6">
        <v>0</v>
      </c>
      <c r="E50" s="6">
        <v>1</v>
      </c>
      <c r="F50" s="6">
        <v>0</v>
      </c>
      <c r="G50" s="6" t="b">
        <v>0</v>
      </c>
      <c r="H50" s="6">
        <v>1</v>
      </c>
      <c r="I50" s="6">
        <v>1</v>
      </c>
      <c r="J50" s="6">
        <v>0.22</v>
      </c>
      <c r="K50">
        <v>0.19700000000000001</v>
      </c>
      <c r="L50">
        <v>0.44</v>
      </c>
      <c r="M50">
        <v>0.35820000000000002</v>
      </c>
      <c r="N50">
        <v>0</v>
      </c>
      <c r="O50">
        <v>5</v>
      </c>
      <c r="P50">
        <v>5</v>
      </c>
    </row>
    <row r="51" spans="1:16" x14ac:dyDescent="0.25">
      <c r="A51" s="6">
        <v>49</v>
      </c>
      <c r="B51" s="9">
        <v>40546</v>
      </c>
      <c r="C51" s="6">
        <v>1</v>
      </c>
      <c r="D51" s="6">
        <v>0</v>
      </c>
      <c r="E51" s="6">
        <v>1</v>
      </c>
      <c r="F51" s="6">
        <v>1</v>
      </c>
      <c r="G51" s="6" t="b">
        <v>0</v>
      </c>
      <c r="H51" s="6">
        <v>1</v>
      </c>
      <c r="I51" s="6">
        <v>1</v>
      </c>
      <c r="J51" s="6">
        <v>0.2</v>
      </c>
      <c r="K51">
        <v>0</v>
      </c>
      <c r="L51">
        <v>0.44</v>
      </c>
      <c r="M51">
        <v>0.41789999999999999</v>
      </c>
      <c r="N51">
        <v>0</v>
      </c>
      <c r="O51">
        <v>2</v>
      </c>
      <c r="P51">
        <v>2</v>
      </c>
    </row>
    <row r="52" spans="1:16" x14ac:dyDescent="0.25">
      <c r="A52" s="6">
        <v>50</v>
      </c>
      <c r="B52" s="9">
        <v>40546</v>
      </c>
      <c r="C52" s="6">
        <v>1</v>
      </c>
      <c r="D52" s="6">
        <v>0</v>
      </c>
      <c r="E52" s="6">
        <v>1</v>
      </c>
      <c r="F52" s="6">
        <v>4</v>
      </c>
      <c r="G52" s="6" t="b">
        <v>0</v>
      </c>
      <c r="H52" s="6">
        <v>1</v>
      </c>
      <c r="I52" s="6">
        <v>1</v>
      </c>
      <c r="J52" s="6">
        <v>0.16</v>
      </c>
      <c r="K52">
        <v>0.13639999999999999</v>
      </c>
      <c r="L52">
        <v>0.47</v>
      </c>
      <c r="M52">
        <v>0.3881</v>
      </c>
      <c r="N52">
        <v>0</v>
      </c>
      <c r="O52">
        <v>1</v>
      </c>
      <c r="P52">
        <v>1</v>
      </c>
    </row>
    <row r="53" spans="1:16" x14ac:dyDescent="0.25">
      <c r="A53" s="6">
        <v>51</v>
      </c>
      <c r="B53" s="9">
        <v>40546</v>
      </c>
      <c r="C53" s="6">
        <v>1</v>
      </c>
      <c r="D53" s="6">
        <v>0</v>
      </c>
      <c r="E53" s="6">
        <v>1</v>
      </c>
      <c r="F53" s="6">
        <v>5</v>
      </c>
      <c r="G53" s="6" t="b">
        <v>0</v>
      </c>
      <c r="H53" s="6">
        <v>1</v>
      </c>
      <c r="I53" s="6">
        <v>1</v>
      </c>
      <c r="J53" s="6">
        <v>0.16</v>
      </c>
      <c r="K53">
        <v>0.13639999999999999</v>
      </c>
      <c r="L53">
        <v>0.47</v>
      </c>
      <c r="M53">
        <v>0.28360000000000002</v>
      </c>
      <c r="N53">
        <v>0</v>
      </c>
      <c r="O53">
        <v>3</v>
      </c>
      <c r="P53">
        <v>3</v>
      </c>
    </row>
    <row r="54" spans="1:16" x14ac:dyDescent="0.25">
      <c r="A54" s="6">
        <v>52</v>
      </c>
      <c r="B54" s="9">
        <v>40546</v>
      </c>
      <c r="C54" s="6">
        <v>1</v>
      </c>
      <c r="D54" s="6">
        <v>0</v>
      </c>
      <c r="E54" s="6">
        <v>1</v>
      </c>
      <c r="F54" s="6">
        <v>6</v>
      </c>
      <c r="G54" s="6" t="b">
        <v>0</v>
      </c>
      <c r="H54" s="6">
        <v>1</v>
      </c>
      <c r="I54" s="6">
        <v>1</v>
      </c>
      <c r="J54" s="6">
        <v>0.14000000000000001</v>
      </c>
      <c r="K54">
        <v>0.1061</v>
      </c>
      <c r="L54">
        <v>0.5</v>
      </c>
      <c r="M54">
        <v>0.3881</v>
      </c>
      <c r="N54">
        <v>0</v>
      </c>
      <c r="O54">
        <v>30</v>
      </c>
      <c r="P54">
        <v>30</v>
      </c>
    </row>
    <row r="55" spans="1:16" x14ac:dyDescent="0.25">
      <c r="A55" s="6">
        <v>53</v>
      </c>
      <c r="B55" s="9">
        <v>40546</v>
      </c>
      <c r="C55" s="6">
        <v>1</v>
      </c>
      <c r="D55" s="6">
        <v>0</v>
      </c>
      <c r="E55" s="6">
        <v>1</v>
      </c>
      <c r="F55" s="6">
        <v>7</v>
      </c>
      <c r="G55" s="6" t="b">
        <v>0</v>
      </c>
      <c r="H55" s="6">
        <v>1</v>
      </c>
      <c r="I55" s="6">
        <v>1</v>
      </c>
      <c r="J55" s="6">
        <v>0.14000000000000001</v>
      </c>
      <c r="K55">
        <v>0.13639999999999999</v>
      </c>
      <c r="L55">
        <v>0.5</v>
      </c>
      <c r="M55">
        <v>0.19400000000000001</v>
      </c>
      <c r="N55">
        <v>1</v>
      </c>
      <c r="O55">
        <v>63</v>
      </c>
      <c r="P55">
        <v>64</v>
      </c>
    </row>
    <row r="56" spans="1:16" x14ac:dyDescent="0.25">
      <c r="A56" s="6">
        <v>54</v>
      </c>
      <c r="B56" s="9">
        <v>40546</v>
      </c>
      <c r="C56" s="6">
        <v>1</v>
      </c>
      <c r="D56" s="6">
        <v>0</v>
      </c>
      <c r="E56" s="6">
        <v>1</v>
      </c>
      <c r="F56" s="6">
        <v>8</v>
      </c>
      <c r="G56" s="6" t="b">
        <v>0</v>
      </c>
      <c r="H56" s="6">
        <v>1</v>
      </c>
      <c r="I56" s="6">
        <v>1</v>
      </c>
      <c r="J56" s="6">
        <v>0.14000000000000001</v>
      </c>
      <c r="K56">
        <v>0.1212</v>
      </c>
      <c r="L56">
        <v>0.5</v>
      </c>
      <c r="M56">
        <v>0.28360000000000002</v>
      </c>
      <c r="N56">
        <v>1</v>
      </c>
      <c r="O56">
        <v>153</v>
      </c>
      <c r="P56">
        <v>154</v>
      </c>
    </row>
    <row r="57" spans="1:16" x14ac:dyDescent="0.25">
      <c r="A57" s="6">
        <v>55</v>
      </c>
      <c r="B57" s="9">
        <v>40546</v>
      </c>
      <c r="C57" s="6">
        <v>1</v>
      </c>
      <c r="D57" s="6">
        <v>0</v>
      </c>
      <c r="E57" s="6">
        <v>1</v>
      </c>
      <c r="F57" s="6">
        <v>9</v>
      </c>
      <c r="G57" s="6" t="b">
        <v>0</v>
      </c>
      <c r="H57" s="6">
        <v>1</v>
      </c>
      <c r="I57" s="6">
        <v>1</v>
      </c>
      <c r="J57" s="6">
        <v>0.16</v>
      </c>
      <c r="K57">
        <v>0.13639999999999999</v>
      </c>
      <c r="L57">
        <v>0.43</v>
      </c>
      <c r="M57">
        <v>0.3881</v>
      </c>
      <c r="N57">
        <v>7</v>
      </c>
      <c r="O57">
        <v>81</v>
      </c>
      <c r="P57">
        <v>88</v>
      </c>
    </row>
    <row r="58" spans="1:16" x14ac:dyDescent="0.25">
      <c r="A58" s="6">
        <v>56</v>
      </c>
      <c r="B58" s="9">
        <v>40546</v>
      </c>
      <c r="C58" s="6">
        <v>1</v>
      </c>
      <c r="D58" s="6">
        <v>0</v>
      </c>
      <c r="E58" s="6">
        <v>1</v>
      </c>
      <c r="F58" s="6">
        <v>10</v>
      </c>
      <c r="G58" s="6" t="b">
        <v>0</v>
      </c>
      <c r="H58" s="6">
        <v>1</v>
      </c>
      <c r="I58" s="6">
        <v>1</v>
      </c>
      <c r="J58" s="6">
        <v>0.18</v>
      </c>
      <c r="K58">
        <v>0.16669999999999999</v>
      </c>
      <c r="L58">
        <v>0.43</v>
      </c>
      <c r="M58">
        <v>0.25369999999999998</v>
      </c>
      <c r="N58">
        <v>11</v>
      </c>
      <c r="O58">
        <v>33</v>
      </c>
      <c r="P58">
        <v>44</v>
      </c>
    </row>
    <row r="59" spans="1:16" x14ac:dyDescent="0.25">
      <c r="A59" s="6">
        <v>57</v>
      </c>
      <c r="B59" s="9">
        <v>40546</v>
      </c>
      <c r="C59" s="6">
        <v>1</v>
      </c>
      <c r="D59" s="6">
        <v>0</v>
      </c>
      <c r="E59" s="6">
        <v>1</v>
      </c>
      <c r="F59" s="6">
        <v>11</v>
      </c>
      <c r="G59" s="6" t="b">
        <v>0</v>
      </c>
      <c r="H59" s="6">
        <v>1</v>
      </c>
      <c r="I59" s="6">
        <v>1</v>
      </c>
      <c r="J59" s="6">
        <v>0.2</v>
      </c>
      <c r="K59">
        <v>0.18179999999999999</v>
      </c>
      <c r="L59">
        <v>0.4</v>
      </c>
      <c r="M59">
        <v>0.32840000000000003</v>
      </c>
      <c r="N59">
        <v>10</v>
      </c>
      <c r="O59">
        <v>41</v>
      </c>
      <c r="P59">
        <v>51</v>
      </c>
    </row>
    <row r="60" spans="1:16" x14ac:dyDescent="0.25">
      <c r="A60" s="6">
        <v>58</v>
      </c>
      <c r="B60" s="9">
        <v>40546</v>
      </c>
      <c r="C60" s="6">
        <v>1</v>
      </c>
      <c r="D60" s="6">
        <v>0</v>
      </c>
      <c r="E60" s="6">
        <v>1</v>
      </c>
      <c r="F60" s="6">
        <v>12</v>
      </c>
      <c r="G60" s="6" t="b">
        <v>0</v>
      </c>
      <c r="H60" s="6">
        <v>1</v>
      </c>
      <c r="I60" s="6">
        <v>1</v>
      </c>
      <c r="J60" s="6">
        <v>0.22</v>
      </c>
      <c r="K60">
        <v>0.21210000000000001</v>
      </c>
      <c r="L60">
        <v>0.35</v>
      </c>
      <c r="M60">
        <v>0.29849999999999999</v>
      </c>
      <c r="N60">
        <v>13</v>
      </c>
      <c r="O60">
        <v>48</v>
      </c>
      <c r="P60">
        <v>61</v>
      </c>
    </row>
    <row r="61" spans="1:16" x14ac:dyDescent="0.25">
      <c r="A61" s="6">
        <v>59</v>
      </c>
      <c r="B61" s="9">
        <v>40546</v>
      </c>
      <c r="C61" s="6">
        <v>1</v>
      </c>
      <c r="D61" s="6">
        <v>0</v>
      </c>
      <c r="E61" s="6">
        <v>1</v>
      </c>
      <c r="F61" s="6">
        <v>13</v>
      </c>
      <c r="G61" s="6" t="b">
        <v>0</v>
      </c>
      <c r="H61" s="6">
        <v>1</v>
      </c>
      <c r="I61" s="6">
        <v>1</v>
      </c>
      <c r="J61" s="6">
        <v>0.24</v>
      </c>
      <c r="K61">
        <v>0</v>
      </c>
      <c r="L61">
        <v>0.35</v>
      </c>
      <c r="M61">
        <v>0.28360000000000002</v>
      </c>
      <c r="N61">
        <v>8</v>
      </c>
      <c r="O61">
        <v>53</v>
      </c>
      <c r="P61">
        <v>61</v>
      </c>
    </row>
    <row r="62" spans="1:16" x14ac:dyDescent="0.25">
      <c r="A62" s="6">
        <v>60</v>
      </c>
      <c r="B62" s="9">
        <v>40546</v>
      </c>
      <c r="C62" s="6">
        <v>1</v>
      </c>
      <c r="D62" s="6">
        <v>0</v>
      </c>
      <c r="E62" s="6">
        <v>1</v>
      </c>
      <c r="F62" s="6">
        <v>14</v>
      </c>
      <c r="G62" s="6" t="b">
        <v>0</v>
      </c>
      <c r="H62" s="6">
        <v>1</v>
      </c>
      <c r="I62" s="6">
        <v>1</v>
      </c>
      <c r="J62" s="6">
        <v>0.26</v>
      </c>
      <c r="K62">
        <v>0.2424</v>
      </c>
      <c r="L62">
        <v>0.3</v>
      </c>
      <c r="M62">
        <v>0.28360000000000002</v>
      </c>
      <c r="N62">
        <v>11</v>
      </c>
      <c r="O62">
        <v>66</v>
      </c>
      <c r="P62">
        <v>77</v>
      </c>
    </row>
    <row r="63" spans="1:16" x14ac:dyDescent="0.25">
      <c r="A63" s="6">
        <v>61</v>
      </c>
      <c r="B63" s="9">
        <v>40546</v>
      </c>
      <c r="C63" s="6">
        <v>1</v>
      </c>
      <c r="D63" s="6">
        <v>0</v>
      </c>
      <c r="E63" s="6">
        <v>1</v>
      </c>
      <c r="F63" s="6">
        <v>15</v>
      </c>
      <c r="G63" s="6" t="b">
        <v>0</v>
      </c>
      <c r="H63" s="6">
        <v>1</v>
      </c>
      <c r="I63" s="6">
        <v>1</v>
      </c>
      <c r="J63" s="6">
        <v>0.26</v>
      </c>
      <c r="K63">
        <v>0.2424</v>
      </c>
      <c r="L63">
        <v>0.3</v>
      </c>
      <c r="M63">
        <v>0.25369999999999998</v>
      </c>
      <c r="N63">
        <v>14</v>
      </c>
      <c r="O63">
        <v>58</v>
      </c>
      <c r="P63">
        <v>72</v>
      </c>
    </row>
    <row r="64" spans="1:16" x14ac:dyDescent="0.25">
      <c r="A64" s="6">
        <v>62</v>
      </c>
      <c r="B64" s="9">
        <v>40546</v>
      </c>
      <c r="C64" s="6">
        <v>1</v>
      </c>
      <c r="D64" s="6">
        <v>0</v>
      </c>
      <c r="E64" s="6">
        <v>1</v>
      </c>
      <c r="F64" s="6">
        <v>16</v>
      </c>
      <c r="G64" s="6" t="b">
        <v>0</v>
      </c>
      <c r="H64" s="6">
        <v>1</v>
      </c>
      <c r="I64" s="6">
        <v>1</v>
      </c>
      <c r="J64" s="6">
        <v>0.26</v>
      </c>
      <c r="K64">
        <v>0.2424</v>
      </c>
      <c r="L64">
        <v>0.3</v>
      </c>
      <c r="M64">
        <v>0.25369999999999998</v>
      </c>
      <c r="N64">
        <v>9</v>
      </c>
      <c r="O64">
        <v>67</v>
      </c>
      <c r="P64">
        <v>76</v>
      </c>
    </row>
    <row r="65" spans="1:16" x14ac:dyDescent="0.25">
      <c r="A65" s="6">
        <v>63</v>
      </c>
      <c r="B65" s="9">
        <v>40546</v>
      </c>
      <c r="C65" s="6">
        <v>1</v>
      </c>
      <c r="D65" s="6">
        <v>0</v>
      </c>
      <c r="E65" s="6">
        <v>1</v>
      </c>
      <c r="F65" s="6">
        <v>17</v>
      </c>
      <c r="G65" s="6" t="b">
        <v>0</v>
      </c>
      <c r="H65" s="6">
        <v>1</v>
      </c>
      <c r="I65" s="6">
        <v>1</v>
      </c>
      <c r="J65" s="6">
        <v>0.24</v>
      </c>
      <c r="K65">
        <v>0.2273</v>
      </c>
      <c r="L65">
        <v>0.3</v>
      </c>
      <c r="M65">
        <v>0.22389999999999999</v>
      </c>
      <c r="N65">
        <v>11</v>
      </c>
      <c r="O65">
        <v>146</v>
      </c>
      <c r="P65">
        <v>157</v>
      </c>
    </row>
    <row r="66" spans="1:16" x14ac:dyDescent="0.25">
      <c r="A66" s="6">
        <v>64</v>
      </c>
      <c r="B66" s="9">
        <v>40546</v>
      </c>
      <c r="C66" s="6">
        <v>1</v>
      </c>
      <c r="D66" s="6">
        <v>0</v>
      </c>
      <c r="E66" s="6">
        <v>1</v>
      </c>
      <c r="F66" s="6">
        <v>18</v>
      </c>
      <c r="G66" s="6" t="b">
        <v>0</v>
      </c>
      <c r="H66" s="6">
        <v>1</v>
      </c>
      <c r="I66" s="6">
        <v>1</v>
      </c>
      <c r="J66" s="6">
        <v>0.24</v>
      </c>
      <c r="K66">
        <v>0.2576</v>
      </c>
      <c r="L66">
        <v>0.32</v>
      </c>
      <c r="M66">
        <v>0.1045</v>
      </c>
      <c r="N66">
        <v>9</v>
      </c>
      <c r="O66">
        <v>148</v>
      </c>
      <c r="P66">
        <v>157</v>
      </c>
    </row>
    <row r="67" spans="1:16" x14ac:dyDescent="0.25">
      <c r="A67" s="6">
        <v>65</v>
      </c>
      <c r="B67" s="9">
        <v>40546</v>
      </c>
      <c r="C67" s="6">
        <v>1</v>
      </c>
      <c r="D67" s="6">
        <v>0</v>
      </c>
      <c r="E67" s="6">
        <v>1</v>
      </c>
      <c r="F67" s="6">
        <v>19</v>
      </c>
      <c r="G67" s="6" t="b">
        <v>0</v>
      </c>
      <c r="H67" s="6">
        <v>1</v>
      </c>
      <c r="I67" s="6">
        <v>1</v>
      </c>
      <c r="J67" s="6">
        <v>0.2</v>
      </c>
      <c r="K67">
        <v>0.2576</v>
      </c>
      <c r="L67">
        <v>0.47</v>
      </c>
      <c r="M67">
        <v>0</v>
      </c>
      <c r="N67">
        <v>8</v>
      </c>
      <c r="O67">
        <v>102</v>
      </c>
      <c r="P67">
        <v>110</v>
      </c>
    </row>
    <row r="68" spans="1:16" x14ac:dyDescent="0.25">
      <c r="A68" s="6">
        <v>66</v>
      </c>
      <c r="B68" s="9">
        <v>40546</v>
      </c>
      <c r="C68" s="6">
        <v>1</v>
      </c>
      <c r="D68" s="6">
        <v>0</v>
      </c>
      <c r="E68" s="6">
        <v>1</v>
      </c>
      <c r="F68" s="6">
        <v>20</v>
      </c>
      <c r="G68" s="6" t="b">
        <v>0</v>
      </c>
      <c r="H68" s="6">
        <v>1</v>
      </c>
      <c r="I68" s="6">
        <v>1</v>
      </c>
      <c r="J68" s="6">
        <v>0.2</v>
      </c>
      <c r="K68">
        <v>0</v>
      </c>
      <c r="L68">
        <v>0.47</v>
      </c>
      <c r="M68">
        <v>0.1045</v>
      </c>
      <c r="N68">
        <v>3</v>
      </c>
      <c r="O68">
        <v>49</v>
      </c>
      <c r="P68">
        <v>52</v>
      </c>
    </row>
    <row r="69" spans="1:16" x14ac:dyDescent="0.25">
      <c r="A69" s="6">
        <v>67</v>
      </c>
      <c r="B69" s="9">
        <v>40546</v>
      </c>
      <c r="C69" s="6">
        <v>1</v>
      </c>
      <c r="D69" s="6">
        <v>0</v>
      </c>
      <c r="E69" s="6">
        <v>1</v>
      </c>
      <c r="F69" s="6">
        <v>21</v>
      </c>
      <c r="G69" s="6" t="b">
        <v>0</v>
      </c>
      <c r="H69" s="6">
        <v>1</v>
      </c>
      <c r="I69" s="6">
        <v>1</v>
      </c>
      <c r="J69" s="6">
        <v>0.18</v>
      </c>
      <c r="K69">
        <v>0.19700000000000001</v>
      </c>
      <c r="L69">
        <v>0.64</v>
      </c>
      <c r="M69">
        <v>0.1343</v>
      </c>
      <c r="N69">
        <v>3</v>
      </c>
      <c r="O69">
        <v>49</v>
      </c>
      <c r="P69">
        <v>52</v>
      </c>
    </row>
    <row r="70" spans="1:16" x14ac:dyDescent="0.25">
      <c r="A70" s="6">
        <v>68</v>
      </c>
      <c r="B70" s="9">
        <v>40546</v>
      </c>
      <c r="C70" s="6">
        <v>1</v>
      </c>
      <c r="D70" s="6">
        <v>0</v>
      </c>
      <c r="E70" s="6">
        <v>1</v>
      </c>
      <c r="F70" s="6">
        <v>22</v>
      </c>
      <c r="G70" s="6" t="b">
        <v>0</v>
      </c>
      <c r="H70" s="6">
        <v>1</v>
      </c>
      <c r="I70" s="6">
        <v>1</v>
      </c>
      <c r="J70" s="6">
        <v>0.14000000000000001</v>
      </c>
      <c r="K70">
        <v>0.1515</v>
      </c>
      <c r="L70">
        <v>0.69</v>
      </c>
      <c r="M70">
        <v>0.1343</v>
      </c>
      <c r="N70">
        <v>0</v>
      </c>
      <c r="O70">
        <v>20</v>
      </c>
      <c r="P70">
        <v>20</v>
      </c>
    </row>
    <row r="71" spans="1:16" x14ac:dyDescent="0.25">
      <c r="A71" s="6">
        <v>69</v>
      </c>
      <c r="B71" s="9">
        <v>40546</v>
      </c>
      <c r="C71" s="6">
        <v>1</v>
      </c>
      <c r="D71" s="6">
        <v>0</v>
      </c>
      <c r="E71" s="6">
        <v>1</v>
      </c>
      <c r="F71" s="6">
        <v>23</v>
      </c>
      <c r="G71" s="6" t="b">
        <v>0</v>
      </c>
      <c r="H71" s="6">
        <v>1</v>
      </c>
      <c r="I71" s="6">
        <v>1</v>
      </c>
      <c r="J71" s="6">
        <v>0.18</v>
      </c>
      <c r="K71">
        <v>0.21210000000000001</v>
      </c>
      <c r="L71">
        <v>0.55000000000000004</v>
      </c>
      <c r="M71">
        <v>0.1045</v>
      </c>
      <c r="N71">
        <v>1</v>
      </c>
      <c r="O71">
        <v>11</v>
      </c>
      <c r="P71">
        <v>12</v>
      </c>
    </row>
    <row r="72" spans="1:16" x14ac:dyDescent="0.25">
      <c r="A72" s="6">
        <v>70</v>
      </c>
      <c r="B72" s="9">
        <v>40547</v>
      </c>
      <c r="C72" s="6">
        <v>1</v>
      </c>
      <c r="D72" s="6">
        <v>0</v>
      </c>
      <c r="E72" s="6">
        <v>1</v>
      </c>
      <c r="F72" s="6">
        <v>0</v>
      </c>
      <c r="G72" s="6" t="b">
        <v>0</v>
      </c>
      <c r="H72" s="6">
        <v>2</v>
      </c>
      <c r="I72" s="6">
        <v>1</v>
      </c>
      <c r="J72" s="6">
        <v>0.16</v>
      </c>
      <c r="K72">
        <v>0</v>
      </c>
      <c r="L72">
        <v>0.55000000000000004</v>
      </c>
      <c r="M72">
        <v>0.1045</v>
      </c>
      <c r="N72">
        <v>0</v>
      </c>
      <c r="O72">
        <v>5</v>
      </c>
      <c r="P72">
        <v>5</v>
      </c>
    </row>
    <row r="73" spans="1:16" x14ac:dyDescent="0.25">
      <c r="A73" s="6">
        <v>71</v>
      </c>
      <c r="B73" s="9">
        <v>40547</v>
      </c>
      <c r="C73" s="6">
        <v>1</v>
      </c>
      <c r="D73" s="6">
        <v>0</v>
      </c>
      <c r="E73" s="6">
        <v>1</v>
      </c>
      <c r="F73" s="6">
        <v>1</v>
      </c>
      <c r="G73" s="6" t="b">
        <v>0</v>
      </c>
      <c r="H73" s="6">
        <v>2</v>
      </c>
      <c r="I73" s="6">
        <v>1</v>
      </c>
      <c r="J73" s="6">
        <v>0.16</v>
      </c>
      <c r="K73">
        <v>0.18179999999999999</v>
      </c>
      <c r="L73">
        <v>0.59</v>
      </c>
      <c r="M73">
        <v>0.1045</v>
      </c>
      <c r="N73">
        <v>0</v>
      </c>
      <c r="O73">
        <v>2</v>
      </c>
      <c r="P73">
        <v>2</v>
      </c>
    </row>
    <row r="74" spans="1:16" x14ac:dyDescent="0.25">
      <c r="A74" s="6">
        <v>72</v>
      </c>
      <c r="B74" s="9">
        <v>40547</v>
      </c>
      <c r="C74" s="6">
        <v>1</v>
      </c>
      <c r="D74" s="6">
        <v>0</v>
      </c>
      <c r="E74" s="6">
        <v>1</v>
      </c>
      <c r="F74" s="6">
        <v>2</v>
      </c>
      <c r="G74" s="6" t="b">
        <v>0</v>
      </c>
      <c r="H74" s="6">
        <v>2</v>
      </c>
      <c r="I74" s="6">
        <v>1</v>
      </c>
      <c r="J74" s="6">
        <v>0.14000000000000001</v>
      </c>
      <c r="K74">
        <v>0.1515</v>
      </c>
      <c r="L74">
        <v>0.63</v>
      </c>
      <c r="M74">
        <v>0.1343</v>
      </c>
      <c r="N74">
        <v>0</v>
      </c>
      <c r="O74">
        <v>1</v>
      </c>
      <c r="P74">
        <v>1</v>
      </c>
    </row>
    <row r="75" spans="1:16" x14ac:dyDescent="0.25">
      <c r="A75" s="6">
        <v>73</v>
      </c>
      <c r="B75" s="9">
        <v>40547</v>
      </c>
      <c r="C75" s="6">
        <v>1</v>
      </c>
      <c r="D75" s="6">
        <v>0</v>
      </c>
      <c r="E75" s="6">
        <v>1</v>
      </c>
      <c r="F75" s="6">
        <v>4</v>
      </c>
      <c r="G75" s="6" t="b">
        <v>0</v>
      </c>
      <c r="H75" s="6">
        <v>2</v>
      </c>
      <c r="I75" s="6">
        <v>1</v>
      </c>
      <c r="J75" s="6">
        <v>0.14000000000000001</v>
      </c>
      <c r="K75">
        <v>0.18179999999999999</v>
      </c>
      <c r="L75">
        <v>0.63</v>
      </c>
      <c r="M75">
        <v>8.9599999999999999E-2</v>
      </c>
      <c r="N75">
        <v>0</v>
      </c>
      <c r="O75">
        <v>2</v>
      </c>
      <c r="P75">
        <v>2</v>
      </c>
    </row>
    <row r="76" spans="1:16" x14ac:dyDescent="0.25">
      <c r="A76" s="6">
        <v>74</v>
      </c>
      <c r="B76" s="9">
        <v>40547</v>
      </c>
      <c r="C76" s="6">
        <v>1</v>
      </c>
      <c r="D76" s="6">
        <v>0</v>
      </c>
      <c r="E76" s="6">
        <v>1</v>
      </c>
      <c r="F76" s="6">
        <v>5</v>
      </c>
      <c r="G76" s="6" t="b">
        <v>0</v>
      </c>
      <c r="H76" s="6">
        <v>2</v>
      </c>
      <c r="I76" s="6">
        <v>1</v>
      </c>
      <c r="J76" s="6">
        <v>0.12</v>
      </c>
      <c r="K76">
        <v>0.1515</v>
      </c>
      <c r="L76">
        <v>0.68</v>
      </c>
      <c r="M76">
        <v>0.1045</v>
      </c>
      <c r="N76">
        <v>0</v>
      </c>
      <c r="O76">
        <v>4</v>
      </c>
      <c r="P76">
        <v>4</v>
      </c>
    </row>
    <row r="77" spans="1:16" x14ac:dyDescent="0.25">
      <c r="A77" s="6">
        <v>75</v>
      </c>
      <c r="B77" s="9">
        <v>40547</v>
      </c>
      <c r="C77" s="6">
        <v>1</v>
      </c>
      <c r="D77" s="6">
        <v>0</v>
      </c>
      <c r="E77" s="6">
        <v>1</v>
      </c>
      <c r="F77" s="6">
        <v>6</v>
      </c>
      <c r="G77" s="6" t="b">
        <v>0</v>
      </c>
      <c r="H77" s="6">
        <v>2</v>
      </c>
      <c r="I77" s="6">
        <v>1</v>
      </c>
      <c r="J77" s="6">
        <v>0.12</v>
      </c>
      <c r="K77">
        <v>0.1515</v>
      </c>
      <c r="L77">
        <v>0.74</v>
      </c>
      <c r="M77">
        <v>0.1045</v>
      </c>
      <c r="N77">
        <v>0</v>
      </c>
      <c r="O77">
        <v>36</v>
      </c>
      <c r="P77">
        <v>36</v>
      </c>
    </row>
    <row r="78" spans="1:16" x14ac:dyDescent="0.25">
      <c r="A78" s="6">
        <v>76</v>
      </c>
      <c r="B78" s="9">
        <v>40547</v>
      </c>
      <c r="C78" s="6">
        <v>1</v>
      </c>
      <c r="D78" s="6">
        <v>0</v>
      </c>
      <c r="E78" s="6">
        <v>1</v>
      </c>
      <c r="F78" s="6">
        <v>7</v>
      </c>
      <c r="G78" s="6" t="b">
        <v>0</v>
      </c>
      <c r="H78" s="6">
        <v>2</v>
      </c>
      <c r="I78" s="6">
        <v>1</v>
      </c>
      <c r="J78" s="6">
        <v>0.12</v>
      </c>
      <c r="K78">
        <v>0.1515</v>
      </c>
      <c r="L78">
        <v>0.74</v>
      </c>
      <c r="M78">
        <v>0.1343</v>
      </c>
      <c r="N78">
        <v>2</v>
      </c>
      <c r="O78">
        <v>92</v>
      </c>
      <c r="P78">
        <v>94</v>
      </c>
    </row>
    <row r="79" spans="1:16" x14ac:dyDescent="0.25">
      <c r="A79" s="6">
        <v>77</v>
      </c>
      <c r="B79" s="9">
        <v>40547</v>
      </c>
      <c r="C79" s="6">
        <v>1</v>
      </c>
      <c r="D79" s="6">
        <v>0</v>
      </c>
      <c r="E79" s="6">
        <v>1</v>
      </c>
      <c r="F79" s="6">
        <v>8</v>
      </c>
      <c r="G79" s="6" t="b">
        <v>0</v>
      </c>
      <c r="H79" s="6">
        <v>2</v>
      </c>
      <c r="I79" s="6">
        <v>1</v>
      </c>
      <c r="J79" s="6">
        <v>0.14000000000000001</v>
      </c>
      <c r="K79">
        <v>0.1515</v>
      </c>
      <c r="L79">
        <v>0.69</v>
      </c>
      <c r="M79">
        <v>0.16420000000000001</v>
      </c>
      <c r="N79">
        <v>2</v>
      </c>
      <c r="O79">
        <v>177</v>
      </c>
      <c r="P79">
        <v>179</v>
      </c>
    </row>
    <row r="80" spans="1:16" x14ac:dyDescent="0.25">
      <c r="A80" s="6">
        <v>78</v>
      </c>
      <c r="B80" s="9">
        <v>40547</v>
      </c>
      <c r="C80" s="6">
        <v>1</v>
      </c>
      <c r="D80" s="6">
        <v>0</v>
      </c>
      <c r="E80" s="6">
        <v>1</v>
      </c>
      <c r="F80" s="6">
        <v>9</v>
      </c>
      <c r="G80" s="6" t="b">
        <v>0</v>
      </c>
      <c r="H80" s="6">
        <v>2</v>
      </c>
      <c r="I80" s="6">
        <v>1</v>
      </c>
      <c r="J80" s="6">
        <v>0.16</v>
      </c>
      <c r="K80">
        <v>0.1515</v>
      </c>
      <c r="L80">
        <v>0.64</v>
      </c>
      <c r="M80">
        <v>0.22389999999999999</v>
      </c>
      <c r="N80">
        <v>2</v>
      </c>
      <c r="O80">
        <v>98</v>
      </c>
      <c r="P80">
        <v>100</v>
      </c>
    </row>
    <row r="81" spans="1:16" x14ac:dyDescent="0.25">
      <c r="A81" s="6">
        <v>79</v>
      </c>
      <c r="B81" s="9">
        <v>40547</v>
      </c>
      <c r="C81" s="6">
        <v>1</v>
      </c>
      <c r="D81" s="6">
        <v>0</v>
      </c>
      <c r="E81" s="6">
        <v>1</v>
      </c>
      <c r="F81" s="6">
        <v>10</v>
      </c>
      <c r="G81" s="6" t="b">
        <v>0</v>
      </c>
      <c r="H81" s="6">
        <v>2</v>
      </c>
      <c r="I81" s="6">
        <v>2</v>
      </c>
      <c r="J81" s="6">
        <v>0.16</v>
      </c>
      <c r="K81">
        <v>0.13639999999999999</v>
      </c>
      <c r="L81">
        <v>0.69</v>
      </c>
      <c r="M81">
        <v>0.32840000000000003</v>
      </c>
      <c r="N81">
        <v>5</v>
      </c>
      <c r="O81">
        <v>37</v>
      </c>
      <c r="P81">
        <v>42</v>
      </c>
    </row>
    <row r="82" spans="1:16" x14ac:dyDescent="0.25">
      <c r="A82" s="6">
        <v>80</v>
      </c>
      <c r="B82" s="9">
        <v>40547</v>
      </c>
      <c r="C82" s="6">
        <v>1</v>
      </c>
      <c r="D82" s="6">
        <v>0</v>
      </c>
      <c r="E82" s="6">
        <v>1</v>
      </c>
      <c r="F82" s="6">
        <v>11</v>
      </c>
      <c r="G82" s="6" t="b">
        <v>0</v>
      </c>
      <c r="H82" s="6">
        <v>2</v>
      </c>
      <c r="I82" s="6">
        <v>1</v>
      </c>
      <c r="J82" s="6">
        <v>0.22</v>
      </c>
      <c r="K82">
        <v>0.21210000000000001</v>
      </c>
      <c r="L82">
        <v>0.51</v>
      </c>
      <c r="M82">
        <v>0.29849999999999999</v>
      </c>
      <c r="N82">
        <v>7</v>
      </c>
      <c r="O82">
        <v>50</v>
      </c>
      <c r="P82">
        <v>57</v>
      </c>
    </row>
    <row r="83" spans="1:16" x14ac:dyDescent="0.25">
      <c r="A83" s="6">
        <v>81</v>
      </c>
      <c r="B83" s="9">
        <v>40547</v>
      </c>
      <c r="C83" s="6">
        <v>1</v>
      </c>
      <c r="D83" s="6">
        <v>0</v>
      </c>
      <c r="E83" s="6">
        <v>1</v>
      </c>
      <c r="F83" s="6">
        <v>12</v>
      </c>
      <c r="G83" s="6" t="b">
        <v>0</v>
      </c>
      <c r="H83" s="6">
        <v>2</v>
      </c>
      <c r="I83" s="6">
        <v>1</v>
      </c>
      <c r="J83" s="6">
        <v>0.22</v>
      </c>
      <c r="K83">
        <v>0.2273</v>
      </c>
      <c r="L83">
        <v>0.51</v>
      </c>
      <c r="M83">
        <v>0.16420000000000001</v>
      </c>
      <c r="N83">
        <v>12</v>
      </c>
      <c r="O83">
        <v>66</v>
      </c>
      <c r="P83">
        <v>78</v>
      </c>
    </row>
    <row r="84" spans="1:16" x14ac:dyDescent="0.25">
      <c r="A84" s="6">
        <v>82</v>
      </c>
      <c r="B84" s="9">
        <v>40547</v>
      </c>
      <c r="C84" s="6">
        <v>1</v>
      </c>
      <c r="D84" s="6">
        <v>0</v>
      </c>
      <c r="E84" s="6">
        <v>1</v>
      </c>
      <c r="F84" s="6">
        <v>13</v>
      </c>
      <c r="G84" s="6" t="b">
        <v>0</v>
      </c>
      <c r="H84" s="6">
        <v>2</v>
      </c>
      <c r="I84" s="6">
        <v>1</v>
      </c>
      <c r="J84" s="6">
        <v>0.24</v>
      </c>
      <c r="K84">
        <v>0.2273</v>
      </c>
      <c r="L84">
        <v>0.56000000000000005</v>
      </c>
      <c r="M84">
        <v>0.19400000000000001</v>
      </c>
      <c r="N84">
        <v>18</v>
      </c>
      <c r="O84">
        <v>79</v>
      </c>
      <c r="P84">
        <v>97</v>
      </c>
    </row>
    <row r="85" spans="1:16" x14ac:dyDescent="0.25">
      <c r="A85" s="6">
        <v>83</v>
      </c>
      <c r="B85" s="9">
        <v>40547</v>
      </c>
      <c r="C85" s="6">
        <v>1</v>
      </c>
      <c r="D85" s="6">
        <v>0</v>
      </c>
      <c r="E85" s="6">
        <v>1</v>
      </c>
      <c r="F85" s="6">
        <v>14</v>
      </c>
      <c r="G85" s="6" t="b">
        <v>0</v>
      </c>
      <c r="H85" s="6">
        <v>2</v>
      </c>
      <c r="I85" s="6">
        <v>1</v>
      </c>
      <c r="J85" s="6">
        <v>0.26</v>
      </c>
      <c r="K85">
        <v>0.2576</v>
      </c>
      <c r="L85">
        <v>0.52</v>
      </c>
      <c r="M85">
        <v>0.22389999999999999</v>
      </c>
      <c r="N85">
        <v>9</v>
      </c>
      <c r="O85">
        <v>54</v>
      </c>
      <c r="P85">
        <v>63</v>
      </c>
    </row>
    <row r="86" spans="1:16" x14ac:dyDescent="0.25">
      <c r="A86" s="6">
        <v>84</v>
      </c>
      <c r="B86" s="9">
        <v>40547</v>
      </c>
      <c r="C86" s="6">
        <v>1</v>
      </c>
      <c r="D86" s="6">
        <v>0</v>
      </c>
      <c r="E86" s="6">
        <v>1</v>
      </c>
      <c r="F86" s="6">
        <v>15</v>
      </c>
      <c r="G86" s="6" t="b">
        <v>0</v>
      </c>
      <c r="H86" s="6">
        <v>2</v>
      </c>
      <c r="I86" s="6">
        <v>1</v>
      </c>
      <c r="J86" s="6">
        <v>0.28000000000000003</v>
      </c>
      <c r="K86">
        <v>0.2727</v>
      </c>
      <c r="L86">
        <v>0.52</v>
      </c>
      <c r="M86">
        <v>0.25369999999999998</v>
      </c>
      <c r="N86">
        <v>17</v>
      </c>
      <c r="O86">
        <v>48</v>
      </c>
      <c r="P86">
        <v>65</v>
      </c>
    </row>
    <row r="87" spans="1:16" x14ac:dyDescent="0.25">
      <c r="A87" s="6">
        <v>85</v>
      </c>
      <c r="B87" s="9">
        <v>40547</v>
      </c>
      <c r="C87" s="6">
        <v>1</v>
      </c>
      <c r="D87" s="6">
        <v>0</v>
      </c>
      <c r="E87" s="6">
        <v>1</v>
      </c>
      <c r="F87" s="6">
        <v>16</v>
      </c>
      <c r="G87" s="6" t="b">
        <v>0</v>
      </c>
      <c r="H87" s="6">
        <v>2</v>
      </c>
      <c r="I87" s="6">
        <v>1</v>
      </c>
      <c r="J87" s="6">
        <v>0.3</v>
      </c>
      <c r="K87">
        <v>0.28789999999999999</v>
      </c>
      <c r="L87">
        <v>0.49</v>
      </c>
      <c r="M87">
        <v>0.25369999999999998</v>
      </c>
      <c r="N87">
        <v>15</v>
      </c>
      <c r="O87">
        <v>68</v>
      </c>
      <c r="P87">
        <v>83</v>
      </c>
    </row>
    <row r="88" spans="1:16" x14ac:dyDescent="0.25">
      <c r="A88" s="6">
        <v>86</v>
      </c>
      <c r="B88" s="9">
        <v>40547</v>
      </c>
      <c r="C88" s="6">
        <v>1</v>
      </c>
      <c r="D88" s="6">
        <v>0</v>
      </c>
      <c r="E88" s="6">
        <v>1</v>
      </c>
      <c r="F88" s="6">
        <v>17</v>
      </c>
      <c r="G88" s="6" t="b">
        <v>0</v>
      </c>
      <c r="H88" s="6">
        <v>2</v>
      </c>
      <c r="I88" s="6">
        <v>1</v>
      </c>
      <c r="J88" s="6">
        <v>0.28000000000000003</v>
      </c>
      <c r="K88">
        <v>0.2727</v>
      </c>
      <c r="L88">
        <v>0.48</v>
      </c>
      <c r="M88">
        <v>0.22389999999999999</v>
      </c>
      <c r="N88">
        <v>10</v>
      </c>
      <c r="O88">
        <v>202</v>
      </c>
      <c r="P88">
        <v>212</v>
      </c>
    </row>
    <row r="89" spans="1:16" x14ac:dyDescent="0.25">
      <c r="A89" s="6">
        <v>87</v>
      </c>
      <c r="B89" s="9">
        <v>40547</v>
      </c>
      <c r="C89" s="6">
        <v>1</v>
      </c>
      <c r="D89" s="6">
        <v>0</v>
      </c>
      <c r="E89" s="6">
        <v>1</v>
      </c>
      <c r="F89" s="6">
        <v>18</v>
      </c>
      <c r="G89" s="6" t="b">
        <v>0</v>
      </c>
      <c r="H89" s="6">
        <v>2</v>
      </c>
      <c r="I89" s="6">
        <v>1</v>
      </c>
      <c r="J89" s="6">
        <v>0.26</v>
      </c>
      <c r="K89">
        <v>0.2576</v>
      </c>
      <c r="L89">
        <v>0.48</v>
      </c>
      <c r="M89">
        <v>0.19400000000000001</v>
      </c>
      <c r="N89">
        <v>3</v>
      </c>
      <c r="O89">
        <v>179</v>
      </c>
      <c r="P89">
        <v>182</v>
      </c>
    </row>
    <row r="90" spans="1:16" x14ac:dyDescent="0.25">
      <c r="A90" s="6">
        <v>88</v>
      </c>
      <c r="B90" s="9">
        <v>40547</v>
      </c>
      <c r="C90" s="6">
        <v>1</v>
      </c>
      <c r="D90" s="6">
        <v>0</v>
      </c>
      <c r="E90" s="6">
        <v>1</v>
      </c>
      <c r="F90" s="6">
        <v>19</v>
      </c>
      <c r="G90" s="6" t="b">
        <v>0</v>
      </c>
      <c r="H90" s="6">
        <v>2</v>
      </c>
      <c r="I90" s="6">
        <v>1</v>
      </c>
      <c r="J90" s="6">
        <v>0.24</v>
      </c>
      <c r="K90">
        <v>0.2576</v>
      </c>
      <c r="L90">
        <v>0.48</v>
      </c>
      <c r="M90">
        <v>0.1045</v>
      </c>
      <c r="N90">
        <v>2</v>
      </c>
      <c r="O90">
        <v>110</v>
      </c>
      <c r="P90">
        <v>112</v>
      </c>
    </row>
    <row r="91" spans="1:16" x14ac:dyDescent="0.25">
      <c r="A91" s="6">
        <v>89</v>
      </c>
      <c r="B91" s="9">
        <v>40547</v>
      </c>
      <c r="C91" s="6">
        <v>1</v>
      </c>
      <c r="D91" s="6">
        <v>0</v>
      </c>
      <c r="E91" s="6">
        <v>1</v>
      </c>
      <c r="F91" s="6">
        <v>20</v>
      </c>
      <c r="G91" s="6" t="b">
        <v>0</v>
      </c>
      <c r="H91" s="6">
        <v>2</v>
      </c>
      <c r="I91" s="6">
        <v>1</v>
      </c>
      <c r="J91" s="6">
        <v>0.24</v>
      </c>
      <c r="K91">
        <v>0.2576</v>
      </c>
      <c r="L91">
        <v>0.48</v>
      </c>
      <c r="M91">
        <v>0.1045</v>
      </c>
      <c r="N91">
        <v>1</v>
      </c>
      <c r="O91">
        <v>53</v>
      </c>
      <c r="P91">
        <v>54</v>
      </c>
    </row>
    <row r="92" spans="1:16" x14ac:dyDescent="0.25">
      <c r="A92" s="6">
        <v>90</v>
      </c>
      <c r="B92" s="9">
        <v>40547</v>
      </c>
      <c r="C92" s="6">
        <v>1</v>
      </c>
      <c r="D92" s="6">
        <v>0</v>
      </c>
      <c r="E92" s="6">
        <v>1</v>
      </c>
      <c r="F92" s="6">
        <v>21</v>
      </c>
      <c r="G92" s="6" t="b">
        <v>0</v>
      </c>
      <c r="H92" s="6">
        <v>2</v>
      </c>
      <c r="I92" s="6">
        <v>1</v>
      </c>
      <c r="J92" s="6">
        <v>0.22</v>
      </c>
      <c r="K92">
        <v>0.2727</v>
      </c>
      <c r="L92">
        <v>0.64</v>
      </c>
      <c r="M92">
        <v>0</v>
      </c>
      <c r="N92">
        <v>0</v>
      </c>
      <c r="O92">
        <v>48</v>
      </c>
      <c r="P92">
        <v>48</v>
      </c>
    </row>
    <row r="93" spans="1:16" x14ac:dyDescent="0.25">
      <c r="A93" s="6">
        <v>91</v>
      </c>
      <c r="B93" s="9">
        <v>40547</v>
      </c>
      <c r="C93" s="6">
        <v>1</v>
      </c>
      <c r="D93" s="6">
        <v>0</v>
      </c>
      <c r="E93" s="6">
        <v>1</v>
      </c>
      <c r="F93" s="6">
        <v>22</v>
      </c>
      <c r="G93" s="6" t="b">
        <v>0</v>
      </c>
      <c r="H93" s="6">
        <v>2</v>
      </c>
      <c r="I93" s="6">
        <v>1</v>
      </c>
      <c r="J93" s="6">
        <v>0.22</v>
      </c>
      <c r="K93">
        <v>0.2576</v>
      </c>
      <c r="L93">
        <v>0.64</v>
      </c>
      <c r="M93">
        <v>8.9599999999999999E-2</v>
      </c>
      <c r="N93">
        <v>1</v>
      </c>
      <c r="O93">
        <v>34</v>
      </c>
      <c r="P93">
        <v>35</v>
      </c>
    </row>
    <row r="94" spans="1:16" x14ac:dyDescent="0.25">
      <c r="A94" s="6">
        <v>92</v>
      </c>
      <c r="B94" s="9">
        <v>40547</v>
      </c>
      <c r="C94" s="6">
        <v>1</v>
      </c>
      <c r="D94" s="6">
        <v>0</v>
      </c>
      <c r="E94" s="6">
        <v>1</v>
      </c>
      <c r="F94" s="6">
        <v>23</v>
      </c>
      <c r="G94" s="6" t="b">
        <v>0</v>
      </c>
      <c r="H94" s="6">
        <v>2</v>
      </c>
      <c r="I94" s="6">
        <v>1</v>
      </c>
      <c r="J94" s="6">
        <v>0.2</v>
      </c>
      <c r="K94">
        <v>0.2273</v>
      </c>
      <c r="L94">
        <v>0.69</v>
      </c>
      <c r="M94">
        <v>8.9599999999999999E-2</v>
      </c>
      <c r="N94">
        <v>2</v>
      </c>
      <c r="O94">
        <v>9</v>
      </c>
      <c r="P94">
        <v>11</v>
      </c>
    </row>
    <row r="95" spans="1:16" x14ac:dyDescent="0.25">
      <c r="A95" s="6">
        <v>93</v>
      </c>
      <c r="B95" s="9">
        <v>40548</v>
      </c>
      <c r="C95" s="6">
        <v>1</v>
      </c>
      <c r="D95" s="6">
        <v>0</v>
      </c>
      <c r="E95" s="6">
        <v>1</v>
      </c>
      <c r="F95" s="6">
        <v>0</v>
      </c>
      <c r="G95" s="6" t="b">
        <v>0</v>
      </c>
      <c r="H95" s="6">
        <v>3</v>
      </c>
      <c r="I95" s="6">
        <v>1</v>
      </c>
      <c r="J95" s="6">
        <v>0.2</v>
      </c>
      <c r="K95">
        <v>0.2576</v>
      </c>
      <c r="L95">
        <v>0.64</v>
      </c>
      <c r="M95">
        <v>0</v>
      </c>
      <c r="N95">
        <v>0</v>
      </c>
      <c r="O95">
        <v>6</v>
      </c>
      <c r="P95">
        <v>6</v>
      </c>
    </row>
    <row r="96" spans="1:16" x14ac:dyDescent="0.25">
      <c r="A96" s="6">
        <v>94</v>
      </c>
      <c r="B96" s="9">
        <v>40548</v>
      </c>
      <c r="C96" s="6">
        <v>1</v>
      </c>
      <c r="D96" s="6">
        <v>0</v>
      </c>
      <c r="E96" s="6">
        <v>1</v>
      </c>
      <c r="F96" s="6">
        <v>1</v>
      </c>
      <c r="G96" s="6" t="b">
        <v>0</v>
      </c>
      <c r="H96" s="6">
        <v>3</v>
      </c>
      <c r="I96" s="6">
        <v>1</v>
      </c>
      <c r="J96" s="6">
        <v>0.16</v>
      </c>
      <c r="K96">
        <v>0.19700000000000001</v>
      </c>
      <c r="L96">
        <v>0.74</v>
      </c>
      <c r="M96">
        <v>8.9599999999999999E-2</v>
      </c>
      <c r="N96">
        <v>0</v>
      </c>
      <c r="O96">
        <v>6</v>
      </c>
      <c r="P96">
        <v>6</v>
      </c>
    </row>
    <row r="97" spans="1:16" x14ac:dyDescent="0.25">
      <c r="A97" s="6">
        <v>95</v>
      </c>
      <c r="B97" s="9">
        <v>40548</v>
      </c>
      <c r="C97" s="6">
        <v>1</v>
      </c>
      <c r="D97" s="6">
        <v>0</v>
      </c>
      <c r="E97" s="6">
        <v>1</v>
      </c>
      <c r="F97" s="6">
        <v>2</v>
      </c>
      <c r="G97" s="6" t="b">
        <v>0</v>
      </c>
      <c r="H97" s="6">
        <v>3</v>
      </c>
      <c r="I97" s="6">
        <v>1</v>
      </c>
      <c r="J97" s="6">
        <v>0.16</v>
      </c>
      <c r="K97">
        <v>0.19700000000000001</v>
      </c>
      <c r="L97">
        <v>0.74</v>
      </c>
      <c r="M97">
        <v>8.9599999999999999E-2</v>
      </c>
      <c r="N97">
        <v>0</v>
      </c>
      <c r="O97">
        <v>2</v>
      </c>
      <c r="P97">
        <v>2</v>
      </c>
    </row>
    <row r="98" spans="1:16" x14ac:dyDescent="0.25">
      <c r="A98" s="6">
        <v>96</v>
      </c>
      <c r="B98" s="9">
        <v>40548</v>
      </c>
      <c r="C98" s="6">
        <v>1</v>
      </c>
      <c r="D98" s="6">
        <v>0</v>
      </c>
      <c r="E98" s="6">
        <v>1</v>
      </c>
      <c r="F98" s="6">
        <v>4</v>
      </c>
      <c r="G98" s="6" t="b">
        <v>0</v>
      </c>
      <c r="H98" s="6">
        <v>3</v>
      </c>
      <c r="I98" s="6">
        <v>1</v>
      </c>
      <c r="J98" s="6">
        <v>0.24</v>
      </c>
      <c r="K98">
        <v>0.2273</v>
      </c>
      <c r="L98">
        <v>0.48</v>
      </c>
      <c r="M98">
        <v>0.22389999999999999</v>
      </c>
      <c r="N98">
        <v>0</v>
      </c>
      <c r="O98">
        <v>2</v>
      </c>
      <c r="P98">
        <v>2</v>
      </c>
    </row>
    <row r="99" spans="1:16" x14ac:dyDescent="0.25">
      <c r="A99" s="6">
        <v>97</v>
      </c>
      <c r="B99" s="9">
        <v>40548</v>
      </c>
      <c r="C99" s="6">
        <v>1</v>
      </c>
      <c r="D99" s="6">
        <v>0</v>
      </c>
      <c r="E99" s="6">
        <v>1</v>
      </c>
      <c r="F99" s="6">
        <v>5</v>
      </c>
      <c r="G99" s="6" t="b">
        <v>0</v>
      </c>
      <c r="H99" s="6">
        <v>3</v>
      </c>
      <c r="I99" s="6">
        <v>1</v>
      </c>
      <c r="J99" s="6">
        <v>0.22</v>
      </c>
      <c r="K99">
        <v>0.2273</v>
      </c>
      <c r="L99">
        <v>0.47</v>
      </c>
      <c r="M99">
        <v>0.16420000000000001</v>
      </c>
      <c r="N99">
        <v>0</v>
      </c>
      <c r="O99">
        <v>3</v>
      </c>
      <c r="P99">
        <v>3</v>
      </c>
    </row>
    <row r="100" spans="1:16" x14ac:dyDescent="0.25">
      <c r="A100" s="6">
        <v>98</v>
      </c>
      <c r="B100" s="9">
        <v>40548</v>
      </c>
      <c r="C100" s="6">
        <v>1</v>
      </c>
      <c r="D100" s="6">
        <v>0</v>
      </c>
      <c r="E100" s="6">
        <v>1</v>
      </c>
      <c r="F100" s="6">
        <v>6</v>
      </c>
      <c r="G100" s="6" t="b">
        <v>0</v>
      </c>
      <c r="H100" s="6">
        <v>3</v>
      </c>
      <c r="I100" s="6">
        <v>1</v>
      </c>
      <c r="J100" s="6">
        <v>0.2</v>
      </c>
      <c r="K100">
        <v>0.19700000000000001</v>
      </c>
      <c r="L100">
        <v>0.47</v>
      </c>
      <c r="M100">
        <v>0.22389999999999999</v>
      </c>
      <c r="N100">
        <v>0</v>
      </c>
      <c r="O100">
        <v>33</v>
      </c>
      <c r="P100">
        <v>33</v>
      </c>
    </row>
    <row r="101" spans="1:16" x14ac:dyDescent="0.25">
      <c r="A101" s="6">
        <v>99</v>
      </c>
      <c r="B101" s="9">
        <v>40548</v>
      </c>
      <c r="C101" s="6">
        <v>1</v>
      </c>
      <c r="D101" s="6">
        <v>0</v>
      </c>
      <c r="E101" s="6">
        <v>1</v>
      </c>
      <c r="F101" s="6">
        <v>7</v>
      </c>
      <c r="G101" s="6" t="b">
        <v>0</v>
      </c>
      <c r="H101" s="6">
        <v>3</v>
      </c>
      <c r="I101" s="6">
        <v>1</v>
      </c>
      <c r="J101" s="6">
        <v>0.18</v>
      </c>
      <c r="K101">
        <v>0.18179999999999999</v>
      </c>
      <c r="L101">
        <v>0.43</v>
      </c>
      <c r="M101">
        <v>0.19400000000000001</v>
      </c>
      <c r="N101">
        <v>1</v>
      </c>
      <c r="O101">
        <v>87</v>
      </c>
      <c r="P101">
        <v>88</v>
      </c>
    </row>
    <row r="102" spans="1:16" x14ac:dyDescent="0.25">
      <c r="A102" s="6">
        <v>100</v>
      </c>
      <c r="B102" s="9">
        <v>40548</v>
      </c>
      <c r="C102" s="6">
        <v>1</v>
      </c>
      <c r="D102" s="6">
        <v>0</v>
      </c>
      <c r="E102" s="6">
        <v>1</v>
      </c>
      <c r="F102" s="6">
        <v>8</v>
      </c>
      <c r="G102" s="6" t="b">
        <v>0</v>
      </c>
      <c r="H102" s="6">
        <v>3</v>
      </c>
      <c r="I102" s="6">
        <v>1</v>
      </c>
      <c r="J102" s="6">
        <v>0.2</v>
      </c>
      <c r="K102">
        <v>0.18179999999999999</v>
      </c>
      <c r="L102">
        <v>0.4</v>
      </c>
      <c r="M102">
        <v>0.29849999999999999</v>
      </c>
      <c r="N102">
        <v>3</v>
      </c>
      <c r="O102">
        <v>192</v>
      </c>
      <c r="P102">
        <v>195</v>
      </c>
    </row>
    <row r="103" spans="1:16" x14ac:dyDescent="0.25">
      <c r="A103" s="6">
        <v>101</v>
      </c>
      <c r="B103" s="9">
        <v>40548</v>
      </c>
      <c r="C103" s="6">
        <v>1</v>
      </c>
      <c r="D103" s="6">
        <v>0</v>
      </c>
      <c r="E103" s="6">
        <v>1</v>
      </c>
      <c r="F103" s="6">
        <v>9</v>
      </c>
      <c r="G103" s="6" t="b">
        <v>0</v>
      </c>
      <c r="H103" s="6">
        <v>3</v>
      </c>
      <c r="I103" s="6">
        <v>1</v>
      </c>
      <c r="J103" s="6">
        <v>0.22</v>
      </c>
      <c r="K103">
        <v>0.19700000000000001</v>
      </c>
      <c r="L103">
        <v>0.37</v>
      </c>
      <c r="M103">
        <v>0.32840000000000003</v>
      </c>
      <c r="N103">
        <v>6</v>
      </c>
      <c r="O103">
        <v>109</v>
      </c>
      <c r="P103">
        <v>115</v>
      </c>
    </row>
    <row r="104" spans="1:16" x14ac:dyDescent="0.25">
      <c r="A104" s="6">
        <v>102</v>
      </c>
      <c r="B104" s="9">
        <v>40548</v>
      </c>
      <c r="C104" s="6">
        <v>1</v>
      </c>
      <c r="D104" s="6">
        <v>0</v>
      </c>
      <c r="E104" s="6">
        <v>1</v>
      </c>
      <c r="F104" s="6">
        <v>10</v>
      </c>
      <c r="G104" s="6" t="b">
        <v>0</v>
      </c>
      <c r="H104" s="6">
        <v>3</v>
      </c>
      <c r="I104" s="6">
        <v>1</v>
      </c>
      <c r="J104" s="6">
        <v>0.22</v>
      </c>
      <c r="K104">
        <v>0.19700000000000001</v>
      </c>
      <c r="L104">
        <v>0.37</v>
      </c>
      <c r="M104">
        <v>0.32840000000000003</v>
      </c>
      <c r="N104">
        <v>4</v>
      </c>
      <c r="O104">
        <v>53</v>
      </c>
      <c r="P104">
        <v>57</v>
      </c>
    </row>
    <row r="105" spans="1:16" x14ac:dyDescent="0.25">
      <c r="A105" s="6">
        <v>103</v>
      </c>
      <c r="B105" s="9">
        <v>40548</v>
      </c>
      <c r="C105" s="6">
        <v>1</v>
      </c>
      <c r="D105" s="6">
        <v>0</v>
      </c>
      <c r="E105" s="6">
        <v>1</v>
      </c>
      <c r="F105" s="6">
        <v>11</v>
      </c>
      <c r="G105" s="6" t="b">
        <v>0</v>
      </c>
      <c r="H105" s="6">
        <v>3</v>
      </c>
      <c r="I105" s="6">
        <v>1</v>
      </c>
      <c r="J105" s="6">
        <v>0.26</v>
      </c>
      <c r="K105">
        <v>0.2273</v>
      </c>
      <c r="L105">
        <v>0.33</v>
      </c>
      <c r="M105">
        <v>0.32840000000000003</v>
      </c>
      <c r="N105">
        <v>12</v>
      </c>
      <c r="O105">
        <v>34</v>
      </c>
      <c r="P105">
        <v>46</v>
      </c>
    </row>
    <row r="106" spans="1:16" x14ac:dyDescent="0.25">
      <c r="A106" s="6">
        <v>104</v>
      </c>
      <c r="B106" s="9">
        <v>40548</v>
      </c>
      <c r="C106" s="6">
        <v>1</v>
      </c>
      <c r="D106" s="6">
        <v>0</v>
      </c>
      <c r="E106" s="6">
        <v>1</v>
      </c>
      <c r="F106" s="6">
        <v>12</v>
      </c>
      <c r="G106" s="6" t="b">
        <v>0</v>
      </c>
      <c r="H106" s="6">
        <v>3</v>
      </c>
      <c r="I106" s="6">
        <v>1</v>
      </c>
      <c r="J106" s="6">
        <v>0.26</v>
      </c>
      <c r="K106">
        <v>0.2273</v>
      </c>
      <c r="L106">
        <v>0.33</v>
      </c>
      <c r="M106">
        <v>0.32840000000000003</v>
      </c>
      <c r="N106">
        <v>5</v>
      </c>
      <c r="O106">
        <v>74</v>
      </c>
      <c r="P106">
        <v>79</v>
      </c>
    </row>
    <row r="107" spans="1:16" x14ac:dyDescent="0.25">
      <c r="A107" s="6">
        <v>105</v>
      </c>
      <c r="B107" s="9">
        <v>40548</v>
      </c>
      <c r="C107" s="6">
        <v>1</v>
      </c>
      <c r="D107" s="6">
        <v>0</v>
      </c>
      <c r="E107" s="6">
        <v>1</v>
      </c>
      <c r="F107" s="6">
        <v>13</v>
      </c>
      <c r="G107" s="6" t="b">
        <v>0</v>
      </c>
      <c r="H107" s="6">
        <v>3</v>
      </c>
      <c r="I107" s="6">
        <v>1</v>
      </c>
      <c r="J107" s="6">
        <v>0.28000000000000003</v>
      </c>
      <c r="K107">
        <v>0.2576</v>
      </c>
      <c r="L107">
        <v>0.3</v>
      </c>
      <c r="M107">
        <v>0.29849999999999999</v>
      </c>
      <c r="N107">
        <v>6</v>
      </c>
      <c r="O107">
        <v>65</v>
      </c>
      <c r="P107">
        <v>71</v>
      </c>
    </row>
    <row r="108" spans="1:16" x14ac:dyDescent="0.25">
      <c r="A108" s="6">
        <v>106</v>
      </c>
      <c r="B108" s="9">
        <v>40548</v>
      </c>
      <c r="C108" s="6">
        <v>1</v>
      </c>
      <c r="D108" s="6">
        <v>0</v>
      </c>
      <c r="E108" s="6">
        <v>1</v>
      </c>
      <c r="F108" s="6">
        <v>14</v>
      </c>
      <c r="G108" s="6" t="b">
        <v>0</v>
      </c>
      <c r="H108" s="6">
        <v>3</v>
      </c>
      <c r="I108" s="6">
        <v>1</v>
      </c>
      <c r="J108" s="6">
        <v>0.3</v>
      </c>
      <c r="K108">
        <v>0.28789999999999999</v>
      </c>
      <c r="L108">
        <v>0.28000000000000003</v>
      </c>
      <c r="M108">
        <v>0.19400000000000001</v>
      </c>
      <c r="N108">
        <v>10</v>
      </c>
      <c r="O108">
        <v>52</v>
      </c>
      <c r="P108">
        <v>62</v>
      </c>
    </row>
    <row r="109" spans="1:16" x14ac:dyDescent="0.25">
      <c r="A109" s="6">
        <v>107</v>
      </c>
      <c r="B109" s="9">
        <v>40548</v>
      </c>
      <c r="C109" s="6">
        <v>1</v>
      </c>
      <c r="D109" s="6">
        <v>0</v>
      </c>
      <c r="E109" s="6">
        <v>1</v>
      </c>
      <c r="F109" s="6">
        <v>15</v>
      </c>
      <c r="G109" s="6" t="b">
        <v>0</v>
      </c>
      <c r="H109" s="6">
        <v>3</v>
      </c>
      <c r="I109" s="6">
        <v>1</v>
      </c>
      <c r="J109" s="6">
        <v>0.3</v>
      </c>
      <c r="K109">
        <v>0.28789999999999999</v>
      </c>
      <c r="L109">
        <v>0.28000000000000003</v>
      </c>
      <c r="M109">
        <v>0.19400000000000001</v>
      </c>
      <c r="N109">
        <v>7</v>
      </c>
      <c r="O109">
        <v>55</v>
      </c>
      <c r="P109">
        <v>62</v>
      </c>
    </row>
    <row r="110" spans="1:16" x14ac:dyDescent="0.25">
      <c r="A110" s="6">
        <v>108</v>
      </c>
      <c r="B110" s="9">
        <v>40548</v>
      </c>
      <c r="C110" s="6">
        <v>1</v>
      </c>
      <c r="D110" s="6">
        <v>0</v>
      </c>
      <c r="E110" s="6">
        <v>1</v>
      </c>
      <c r="F110" s="6">
        <v>16</v>
      </c>
      <c r="G110" s="6" t="b">
        <v>0</v>
      </c>
      <c r="H110" s="6">
        <v>3</v>
      </c>
      <c r="I110" s="6">
        <v>1</v>
      </c>
      <c r="J110" s="6">
        <v>0.3</v>
      </c>
      <c r="K110">
        <v>0.31819999999999998</v>
      </c>
      <c r="L110">
        <v>0.28000000000000003</v>
      </c>
      <c r="M110">
        <v>8.9599999999999999E-2</v>
      </c>
      <c r="N110">
        <v>4</v>
      </c>
      <c r="O110">
        <v>85</v>
      </c>
      <c r="P110">
        <v>89</v>
      </c>
    </row>
    <row r="111" spans="1:16" x14ac:dyDescent="0.25">
      <c r="A111" s="6">
        <v>109</v>
      </c>
      <c r="B111" s="9">
        <v>40548</v>
      </c>
      <c r="C111" s="6">
        <v>1</v>
      </c>
      <c r="D111" s="6">
        <v>0</v>
      </c>
      <c r="E111" s="6">
        <v>1</v>
      </c>
      <c r="F111" s="6">
        <v>17</v>
      </c>
      <c r="G111" s="6" t="b">
        <v>0</v>
      </c>
      <c r="H111" s="6">
        <v>3</v>
      </c>
      <c r="I111" s="6">
        <v>1</v>
      </c>
      <c r="J111" s="6">
        <v>0.24</v>
      </c>
      <c r="K111">
        <v>0.2273</v>
      </c>
      <c r="L111">
        <v>0.38</v>
      </c>
      <c r="M111">
        <v>0.19400000000000001</v>
      </c>
      <c r="N111">
        <v>4</v>
      </c>
      <c r="O111">
        <v>186</v>
      </c>
      <c r="P111">
        <v>190</v>
      </c>
    </row>
    <row r="112" spans="1:16" x14ac:dyDescent="0.25">
      <c r="A112" s="6">
        <v>110</v>
      </c>
      <c r="B112" s="9">
        <v>40548</v>
      </c>
      <c r="C112" s="6">
        <v>1</v>
      </c>
      <c r="D112" s="6">
        <v>0</v>
      </c>
      <c r="E112" s="6">
        <v>1</v>
      </c>
      <c r="F112" s="6">
        <v>18</v>
      </c>
      <c r="G112" s="6" t="b">
        <v>0</v>
      </c>
      <c r="H112" s="6">
        <v>3</v>
      </c>
      <c r="I112" s="6">
        <v>1</v>
      </c>
      <c r="J112" s="6">
        <v>0.24</v>
      </c>
      <c r="K112">
        <v>0.2424</v>
      </c>
      <c r="L112">
        <v>0.38</v>
      </c>
      <c r="M112">
        <v>0.1343</v>
      </c>
      <c r="N112">
        <v>3</v>
      </c>
      <c r="O112">
        <v>166</v>
      </c>
      <c r="P112">
        <v>169</v>
      </c>
    </row>
    <row r="113" spans="1:16" x14ac:dyDescent="0.25">
      <c r="A113" s="6">
        <v>111</v>
      </c>
      <c r="B113" s="9">
        <v>40548</v>
      </c>
      <c r="C113" s="6">
        <v>1</v>
      </c>
      <c r="D113" s="6">
        <v>0</v>
      </c>
      <c r="E113" s="6">
        <v>1</v>
      </c>
      <c r="F113" s="6">
        <v>19</v>
      </c>
      <c r="G113" s="6" t="b">
        <v>0</v>
      </c>
      <c r="H113" s="6">
        <v>3</v>
      </c>
      <c r="I113" s="6">
        <v>1</v>
      </c>
      <c r="J113" s="6">
        <v>0.24</v>
      </c>
      <c r="K113">
        <v>0.2576</v>
      </c>
      <c r="L113">
        <v>0.38</v>
      </c>
      <c r="M113">
        <v>0.1045</v>
      </c>
      <c r="N113">
        <v>5</v>
      </c>
      <c r="O113">
        <v>127</v>
      </c>
      <c r="P113">
        <v>132</v>
      </c>
    </row>
    <row r="114" spans="1:16" x14ac:dyDescent="0.25">
      <c r="A114" s="6">
        <v>112</v>
      </c>
      <c r="B114" s="9">
        <v>40548</v>
      </c>
      <c r="C114" s="6">
        <v>1</v>
      </c>
      <c r="D114" s="6">
        <v>0</v>
      </c>
      <c r="E114" s="6">
        <v>1</v>
      </c>
      <c r="F114" s="6">
        <v>20</v>
      </c>
      <c r="G114" s="6" t="b">
        <v>0</v>
      </c>
      <c r="H114" s="6">
        <v>3</v>
      </c>
      <c r="I114" s="6">
        <v>1</v>
      </c>
      <c r="J114" s="6">
        <v>0.22</v>
      </c>
      <c r="K114">
        <v>0.2273</v>
      </c>
      <c r="L114">
        <v>0.47</v>
      </c>
      <c r="M114">
        <v>0.16420000000000001</v>
      </c>
      <c r="N114">
        <v>7</v>
      </c>
      <c r="O114">
        <v>82</v>
      </c>
      <c r="P114">
        <v>89</v>
      </c>
    </row>
    <row r="115" spans="1:16" x14ac:dyDescent="0.25">
      <c r="A115" s="6">
        <v>113</v>
      </c>
      <c r="B115" s="9">
        <v>40548</v>
      </c>
      <c r="C115" s="6">
        <v>1</v>
      </c>
      <c r="D115" s="6">
        <v>0</v>
      </c>
      <c r="E115" s="6">
        <v>1</v>
      </c>
      <c r="F115" s="6">
        <v>21</v>
      </c>
      <c r="G115" s="6" t="b">
        <v>0</v>
      </c>
      <c r="H115" s="6">
        <v>3</v>
      </c>
      <c r="I115" s="6">
        <v>1</v>
      </c>
      <c r="J115" s="6">
        <v>0.2</v>
      </c>
      <c r="K115">
        <v>0.19700000000000001</v>
      </c>
      <c r="L115">
        <v>0.51</v>
      </c>
      <c r="M115">
        <v>0.19400000000000001</v>
      </c>
      <c r="N115">
        <v>3</v>
      </c>
      <c r="O115">
        <v>40</v>
      </c>
      <c r="P115">
        <v>43</v>
      </c>
    </row>
    <row r="116" spans="1:16" x14ac:dyDescent="0.25">
      <c r="A116" s="6">
        <v>114</v>
      </c>
      <c r="B116" s="9">
        <v>40548</v>
      </c>
      <c r="C116" s="6">
        <v>1</v>
      </c>
      <c r="D116" s="6">
        <v>0</v>
      </c>
      <c r="E116" s="6">
        <v>1</v>
      </c>
      <c r="F116" s="6">
        <v>22</v>
      </c>
      <c r="G116" s="6" t="b">
        <v>0</v>
      </c>
      <c r="H116" s="6">
        <v>3</v>
      </c>
      <c r="I116" s="6">
        <v>1</v>
      </c>
      <c r="J116" s="6">
        <v>0.18</v>
      </c>
      <c r="K116">
        <v>0.19700000000000001</v>
      </c>
      <c r="L116">
        <v>0.55000000000000004</v>
      </c>
      <c r="M116">
        <v>0.1343</v>
      </c>
      <c r="N116">
        <v>1</v>
      </c>
      <c r="O116">
        <v>41</v>
      </c>
      <c r="P116">
        <v>42</v>
      </c>
    </row>
    <row r="117" spans="1:16" x14ac:dyDescent="0.25">
      <c r="A117" s="6">
        <v>115</v>
      </c>
      <c r="B117" s="9">
        <v>40548</v>
      </c>
      <c r="C117" s="6">
        <v>1</v>
      </c>
      <c r="D117" s="6">
        <v>0</v>
      </c>
      <c r="E117" s="6">
        <v>1</v>
      </c>
      <c r="F117" s="6">
        <v>23</v>
      </c>
      <c r="G117" s="6" t="b">
        <v>0</v>
      </c>
      <c r="H117" s="6">
        <v>3</v>
      </c>
      <c r="I117" s="6">
        <v>1</v>
      </c>
      <c r="J117" s="6">
        <v>0.2</v>
      </c>
      <c r="K117">
        <v>0.2576</v>
      </c>
      <c r="L117">
        <v>0.47</v>
      </c>
      <c r="M117">
        <v>0</v>
      </c>
      <c r="N117">
        <v>1</v>
      </c>
      <c r="O117">
        <v>18</v>
      </c>
      <c r="P117">
        <v>19</v>
      </c>
    </row>
    <row r="118" spans="1:16" x14ac:dyDescent="0.25">
      <c r="A118" s="6">
        <v>116</v>
      </c>
      <c r="B118" s="9">
        <v>40549</v>
      </c>
      <c r="C118" s="6">
        <v>1</v>
      </c>
      <c r="D118" s="6">
        <v>0</v>
      </c>
      <c r="E118" s="6">
        <v>1</v>
      </c>
      <c r="F118" s="6">
        <v>0</v>
      </c>
      <c r="G118" s="6" t="b">
        <v>0</v>
      </c>
      <c r="H118" s="6">
        <v>4</v>
      </c>
      <c r="I118" s="6">
        <v>1</v>
      </c>
      <c r="J118" s="6">
        <v>0.18</v>
      </c>
      <c r="K118">
        <v>0.2424</v>
      </c>
      <c r="L118">
        <v>0.55000000000000004</v>
      </c>
      <c r="M118">
        <v>0</v>
      </c>
      <c r="N118">
        <v>0</v>
      </c>
      <c r="O118">
        <v>11</v>
      </c>
      <c r="P118">
        <v>11</v>
      </c>
    </row>
    <row r="119" spans="1:16" x14ac:dyDescent="0.25">
      <c r="A119" s="6">
        <v>117</v>
      </c>
      <c r="B119" s="9">
        <v>40549</v>
      </c>
      <c r="C119" s="6">
        <v>1</v>
      </c>
      <c r="D119" s="6">
        <v>0</v>
      </c>
      <c r="E119" s="6">
        <v>1</v>
      </c>
      <c r="F119" s="6">
        <v>1</v>
      </c>
      <c r="G119" s="6" t="b">
        <v>0</v>
      </c>
      <c r="H119" s="6">
        <v>4</v>
      </c>
      <c r="I119" s="6">
        <v>1</v>
      </c>
      <c r="J119" s="6">
        <v>0.16</v>
      </c>
      <c r="K119">
        <v>0.2273</v>
      </c>
      <c r="L119">
        <v>0.64</v>
      </c>
      <c r="M119">
        <v>0</v>
      </c>
      <c r="N119">
        <v>0</v>
      </c>
      <c r="O119">
        <v>4</v>
      </c>
      <c r="P119">
        <v>4</v>
      </c>
    </row>
    <row r="120" spans="1:16" x14ac:dyDescent="0.25">
      <c r="A120" s="6">
        <v>118</v>
      </c>
      <c r="B120" s="9">
        <v>40549</v>
      </c>
      <c r="C120" s="6">
        <v>1</v>
      </c>
      <c r="D120" s="6">
        <v>0</v>
      </c>
      <c r="E120" s="6">
        <v>1</v>
      </c>
      <c r="F120" s="6">
        <v>2</v>
      </c>
      <c r="G120" s="6" t="b">
        <v>0</v>
      </c>
      <c r="H120" s="6">
        <v>4</v>
      </c>
      <c r="I120" s="6">
        <v>1</v>
      </c>
      <c r="J120" s="6">
        <v>0.16</v>
      </c>
      <c r="K120">
        <v>0.2273</v>
      </c>
      <c r="L120">
        <v>0.64</v>
      </c>
      <c r="M120">
        <v>0</v>
      </c>
      <c r="N120">
        <v>0</v>
      </c>
      <c r="O120">
        <v>2</v>
      </c>
      <c r="P120">
        <v>2</v>
      </c>
    </row>
    <row r="121" spans="1:16" x14ac:dyDescent="0.25">
      <c r="A121" s="6">
        <v>119</v>
      </c>
      <c r="B121" s="9">
        <v>40549</v>
      </c>
      <c r="C121" s="6">
        <v>1</v>
      </c>
      <c r="D121" s="6">
        <v>0</v>
      </c>
      <c r="E121" s="6">
        <v>1</v>
      </c>
      <c r="F121" s="6">
        <v>4</v>
      </c>
      <c r="G121" s="6" t="b">
        <v>0</v>
      </c>
      <c r="H121" s="6">
        <v>4</v>
      </c>
      <c r="I121" s="6">
        <v>2</v>
      </c>
      <c r="J121" s="6">
        <v>0.16</v>
      </c>
      <c r="K121">
        <v>0.19700000000000001</v>
      </c>
      <c r="L121">
        <v>0.64</v>
      </c>
      <c r="M121">
        <v>8.9599999999999999E-2</v>
      </c>
      <c r="N121">
        <v>0</v>
      </c>
      <c r="O121">
        <v>1</v>
      </c>
      <c r="P121">
        <v>1</v>
      </c>
    </row>
    <row r="122" spans="1:16" x14ac:dyDescent="0.25">
      <c r="A122" s="6">
        <v>120</v>
      </c>
      <c r="B122" s="9">
        <v>40549</v>
      </c>
      <c r="C122" s="6">
        <v>1</v>
      </c>
      <c r="D122" s="6">
        <v>0</v>
      </c>
      <c r="E122" s="6">
        <v>1</v>
      </c>
      <c r="F122" s="6">
        <v>5</v>
      </c>
      <c r="G122" s="6" t="b">
        <v>0</v>
      </c>
      <c r="H122" s="6">
        <v>4</v>
      </c>
      <c r="I122" s="6">
        <v>2</v>
      </c>
      <c r="J122" s="6">
        <v>0.14000000000000001</v>
      </c>
      <c r="K122">
        <v>0.18179999999999999</v>
      </c>
      <c r="L122">
        <v>0.69</v>
      </c>
      <c r="M122">
        <v>8.9599999999999999E-2</v>
      </c>
      <c r="N122">
        <v>0</v>
      </c>
      <c r="O122">
        <v>4</v>
      </c>
      <c r="P122">
        <v>4</v>
      </c>
    </row>
    <row r="123" spans="1:16" x14ac:dyDescent="0.25">
      <c r="A123" s="6">
        <v>121</v>
      </c>
      <c r="B123" s="9">
        <v>40549</v>
      </c>
      <c r="C123" s="6">
        <v>1</v>
      </c>
      <c r="D123" s="6">
        <v>0</v>
      </c>
      <c r="E123" s="6">
        <v>1</v>
      </c>
      <c r="F123" s="6">
        <v>6</v>
      </c>
      <c r="G123" s="6" t="b">
        <v>0</v>
      </c>
      <c r="H123" s="6">
        <v>4</v>
      </c>
      <c r="I123" s="6">
        <v>2</v>
      </c>
      <c r="J123" s="6">
        <v>0.14000000000000001</v>
      </c>
      <c r="K123">
        <v>0.16669999999999999</v>
      </c>
      <c r="L123">
        <v>0.63</v>
      </c>
      <c r="M123">
        <v>0.1045</v>
      </c>
      <c r="N123">
        <v>0</v>
      </c>
      <c r="O123">
        <v>36</v>
      </c>
      <c r="P123">
        <v>36</v>
      </c>
    </row>
    <row r="124" spans="1:16" x14ac:dyDescent="0.25">
      <c r="A124" s="6">
        <v>122</v>
      </c>
      <c r="B124" s="9">
        <v>40549</v>
      </c>
      <c r="C124" s="6">
        <v>1</v>
      </c>
      <c r="D124" s="6">
        <v>0</v>
      </c>
      <c r="E124" s="6">
        <v>1</v>
      </c>
      <c r="F124" s="6">
        <v>7</v>
      </c>
      <c r="G124" s="6" t="b">
        <v>0</v>
      </c>
      <c r="H124" s="6">
        <v>4</v>
      </c>
      <c r="I124" s="6">
        <v>2</v>
      </c>
      <c r="J124" s="6">
        <v>0.16</v>
      </c>
      <c r="K124">
        <v>0.2273</v>
      </c>
      <c r="L124">
        <v>0.59</v>
      </c>
      <c r="M124">
        <v>0</v>
      </c>
      <c r="N124">
        <v>0</v>
      </c>
      <c r="O124">
        <v>95</v>
      </c>
      <c r="P124">
        <v>95</v>
      </c>
    </row>
    <row r="125" spans="1:16" x14ac:dyDescent="0.25">
      <c r="A125" s="6">
        <v>123</v>
      </c>
      <c r="B125" s="9">
        <v>40549</v>
      </c>
      <c r="C125" s="6">
        <v>1</v>
      </c>
      <c r="D125" s="6">
        <v>0</v>
      </c>
      <c r="E125" s="6">
        <v>1</v>
      </c>
      <c r="F125" s="6">
        <v>8</v>
      </c>
      <c r="G125" s="6" t="b">
        <v>0</v>
      </c>
      <c r="H125" s="6">
        <v>4</v>
      </c>
      <c r="I125" s="6">
        <v>1</v>
      </c>
      <c r="J125" s="6">
        <v>0.16</v>
      </c>
      <c r="K125">
        <v>0.2273</v>
      </c>
      <c r="L125">
        <v>0.59</v>
      </c>
      <c r="M125">
        <v>0</v>
      </c>
      <c r="N125">
        <v>3</v>
      </c>
      <c r="O125">
        <v>216</v>
      </c>
      <c r="P125">
        <v>219</v>
      </c>
    </row>
    <row r="126" spans="1:16" x14ac:dyDescent="0.25">
      <c r="A126" s="6">
        <v>124</v>
      </c>
      <c r="B126" s="9">
        <v>40549</v>
      </c>
      <c r="C126" s="6">
        <v>1</v>
      </c>
      <c r="D126" s="6">
        <v>0</v>
      </c>
      <c r="E126" s="6">
        <v>1</v>
      </c>
      <c r="F126" s="6">
        <v>9</v>
      </c>
      <c r="G126" s="6" t="b">
        <v>0</v>
      </c>
      <c r="H126" s="6">
        <v>4</v>
      </c>
      <c r="I126" s="6">
        <v>2</v>
      </c>
      <c r="J126" s="6">
        <v>0.18</v>
      </c>
      <c r="K126">
        <v>0.2424</v>
      </c>
      <c r="L126">
        <v>0.51</v>
      </c>
      <c r="M126">
        <v>0</v>
      </c>
      <c r="N126">
        <v>6</v>
      </c>
      <c r="O126">
        <v>116</v>
      </c>
      <c r="P126">
        <v>122</v>
      </c>
    </row>
    <row r="127" spans="1:16" x14ac:dyDescent="0.25">
      <c r="A127" s="6">
        <v>125</v>
      </c>
      <c r="B127" s="9">
        <v>40549</v>
      </c>
      <c r="C127" s="6">
        <v>1</v>
      </c>
      <c r="D127" s="6">
        <v>0</v>
      </c>
      <c r="E127" s="6">
        <v>1</v>
      </c>
      <c r="F127" s="6">
        <v>10</v>
      </c>
      <c r="G127" s="6" t="b">
        <v>0</v>
      </c>
      <c r="H127" s="6">
        <v>4</v>
      </c>
      <c r="I127" s="6">
        <v>1</v>
      </c>
      <c r="J127" s="6">
        <v>0.2</v>
      </c>
      <c r="K127">
        <v>0.2576</v>
      </c>
      <c r="L127">
        <v>0.47</v>
      </c>
      <c r="M127">
        <v>0</v>
      </c>
      <c r="N127">
        <v>3</v>
      </c>
      <c r="O127">
        <v>42</v>
      </c>
      <c r="P127">
        <v>45</v>
      </c>
    </row>
    <row r="128" spans="1:16" x14ac:dyDescent="0.25">
      <c r="A128" s="6">
        <v>126</v>
      </c>
      <c r="B128" s="9">
        <v>40549</v>
      </c>
      <c r="C128" s="6">
        <v>1</v>
      </c>
      <c r="D128" s="6">
        <v>0</v>
      </c>
      <c r="E128" s="6">
        <v>1</v>
      </c>
      <c r="F128" s="6">
        <v>11</v>
      </c>
      <c r="G128" s="6" t="b">
        <v>0</v>
      </c>
      <c r="H128" s="6">
        <v>4</v>
      </c>
      <c r="I128" s="6">
        <v>1</v>
      </c>
      <c r="J128" s="6">
        <v>0.22</v>
      </c>
      <c r="K128">
        <v>0.2576</v>
      </c>
      <c r="L128">
        <v>0.44</v>
      </c>
      <c r="M128">
        <v>8.9599999999999999E-2</v>
      </c>
      <c r="N128">
        <v>2</v>
      </c>
      <c r="O128">
        <v>57</v>
      </c>
      <c r="P128">
        <v>59</v>
      </c>
    </row>
    <row r="129" spans="1:16" x14ac:dyDescent="0.25">
      <c r="A129" s="6">
        <v>127</v>
      </c>
      <c r="B129" s="9">
        <v>40549</v>
      </c>
      <c r="C129" s="6">
        <v>1</v>
      </c>
      <c r="D129" s="6">
        <v>0</v>
      </c>
      <c r="E129" s="6">
        <v>1</v>
      </c>
      <c r="F129" s="6">
        <v>12</v>
      </c>
      <c r="G129" s="6" t="b">
        <v>0</v>
      </c>
      <c r="H129" s="6">
        <v>4</v>
      </c>
      <c r="I129" s="6">
        <v>1</v>
      </c>
      <c r="J129" s="6">
        <v>0.26</v>
      </c>
      <c r="K129">
        <v>0.28789999999999999</v>
      </c>
      <c r="L129">
        <v>0.35</v>
      </c>
      <c r="M129">
        <v>0</v>
      </c>
      <c r="N129">
        <v>6</v>
      </c>
      <c r="O129">
        <v>78</v>
      </c>
      <c r="P129">
        <v>84</v>
      </c>
    </row>
    <row r="130" spans="1:16" x14ac:dyDescent="0.25">
      <c r="A130" s="6">
        <v>128</v>
      </c>
      <c r="B130" s="9">
        <v>40549</v>
      </c>
      <c r="C130" s="6">
        <v>1</v>
      </c>
      <c r="D130" s="6">
        <v>0</v>
      </c>
      <c r="E130" s="6">
        <v>1</v>
      </c>
      <c r="F130" s="6">
        <v>13</v>
      </c>
      <c r="G130" s="6" t="b">
        <v>0</v>
      </c>
      <c r="H130" s="6">
        <v>4</v>
      </c>
      <c r="I130" s="6">
        <v>1</v>
      </c>
      <c r="J130" s="6">
        <v>0.26</v>
      </c>
      <c r="K130">
        <v>0.2727</v>
      </c>
      <c r="L130">
        <v>0.35</v>
      </c>
      <c r="M130">
        <v>0.1045</v>
      </c>
      <c r="N130">
        <v>12</v>
      </c>
      <c r="O130">
        <v>55</v>
      </c>
      <c r="P130">
        <v>67</v>
      </c>
    </row>
    <row r="131" spans="1:16" x14ac:dyDescent="0.25">
      <c r="A131" s="6">
        <v>129</v>
      </c>
      <c r="B131" s="9">
        <v>40549</v>
      </c>
      <c r="C131" s="6">
        <v>1</v>
      </c>
      <c r="D131" s="6">
        <v>0</v>
      </c>
      <c r="E131" s="6">
        <v>1</v>
      </c>
      <c r="F131" s="6">
        <v>14</v>
      </c>
      <c r="G131" s="6" t="b">
        <v>0</v>
      </c>
      <c r="H131" s="6">
        <v>4</v>
      </c>
      <c r="I131" s="6">
        <v>1</v>
      </c>
      <c r="J131" s="6">
        <v>0.28000000000000003</v>
      </c>
      <c r="K131">
        <v>0.2727</v>
      </c>
      <c r="L131">
        <v>0.36</v>
      </c>
      <c r="M131">
        <v>0.16420000000000001</v>
      </c>
      <c r="N131">
        <v>11</v>
      </c>
      <c r="O131">
        <v>59</v>
      </c>
      <c r="P131">
        <v>70</v>
      </c>
    </row>
    <row r="132" spans="1:16" x14ac:dyDescent="0.25">
      <c r="A132" s="6">
        <v>130</v>
      </c>
      <c r="B132" s="9">
        <v>40549</v>
      </c>
      <c r="C132" s="6">
        <v>1</v>
      </c>
      <c r="D132" s="6">
        <v>0</v>
      </c>
      <c r="E132" s="6">
        <v>1</v>
      </c>
      <c r="F132" s="6">
        <v>15</v>
      </c>
      <c r="G132" s="6" t="b">
        <v>0</v>
      </c>
      <c r="H132" s="6">
        <v>4</v>
      </c>
      <c r="I132" s="6">
        <v>1</v>
      </c>
      <c r="J132" s="6">
        <v>0.28000000000000003</v>
      </c>
      <c r="K132">
        <v>0.2727</v>
      </c>
      <c r="L132">
        <v>0.36</v>
      </c>
      <c r="M132">
        <v>0</v>
      </c>
      <c r="N132">
        <v>8</v>
      </c>
      <c r="O132">
        <v>54</v>
      </c>
      <c r="P132">
        <v>62</v>
      </c>
    </row>
    <row r="133" spans="1:16" x14ac:dyDescent="0.25">
      <c r="A133" s="6">
        <v>131</v>
      </c>
      <c r="B133" s="9">
        <v>40549</v>
      </c>
      <c r="C133" s="6">
        <v>1</v>
      </c>
      <c r="D133" s="6">
        <v>0</v>
      </c>
      <c r="E133" s="6">
        <v>1</v>
      </c>
      <c r="F133" s="6">
        <v>16</v>
      </c>
      <c r="G133" s="6" t="b">
        <v>0</v>
      </c>
      <c r="H133" s="6">
        <v>4</v>
      </c>
      <c r="I133" s="6">
        <v>1</v>
      </c>
      <c r="J133" s="6">
        <v>0.26</v>
      </c>
      <c r="K133">
        <v>0.2576</v>
      </c>
      <c r="L133">
        <v>0.38</v>
      </c>
      <c r="M133">
        <v>0.16420000000000001</v>
      </c>
      <c r="N133">
        <v>12</v>
      </c>
      <c r="O133">
        <v>74</v>
      </c>
      <c r="P133">
        <v>86</v>
      </c>
    </row>
    <row r="134" spans="1:16" x14ac:dyDescent="0.25">
      <c r="A134" s="6">
        <v>132</v>
      </c>
      <c r="B134" s="9">
        <v>40549</v>
      </c>
      <c r="C134" s="6">
        <v>1</v>
      </c>
      <c r="D134" s="6">
        <v>0</v>
      </c>
      <c r="E134" s="6">
        <v>1</v>
      </c>
      <c r="F134" s="6">
        <v>17</v>
      </c>
      <c r="G134" s="6" t="b">
        <v>0</v>
      </c>
      <c r="H134" s="6">
        <v>4</v>
      </c>
      <c r="I134" s="6">
        <v>1</v>
      </c>
      <c r="J134" s="6">
        <v>0.22</v>
      </c>
      <c r="K134">
        <v>0.2273</v>
      </c>
      <c r="L134">
        <v>0.51</v>
      </c>
      <c r="M134">
        <v>0.16420000000000001</v>
      </c>
      <c r="N134">
        <v>9</v>
      </c>
      <c r="O134">
        <v>163</v>
      </c>
      <c r="P134">
        <v>172</v>
      </c>
    </row>
    <row r="135" spans="1:16" x14ac:dyDescent="0.25">
      <c r="A135" s="6">
        <v>133</v>
      </c>
      <c r="B135" s="9">
        <v>40549</v>
      </c>
      <c r="C135" s="6">
        <v>1</v>
      </c>
      <c r="D135" s="6">
        <v>0</v>
      </c>
      <c r="E135" s="6">
        <v>1</v>
      </c>
      <c r="F135" s="6">
        <v>18</v>
      </c>
      <c r="G135" s="6" t="b">
        <v>0</v>
      </c>
      <c r="H135" s="6">
        <v>4</v>
      </c>
      <c r="I135" s="6">
        <v>1</v>
      </c>
      <c r="J135" s="6">
        <v>0.22</v>
      </c>
      <c r="K135">
        <v>0.2273</v>
      </c>
      <c r="L135">
        <v>0.51</v>
      </c>
      <c r="M135">
        <v>0.1343</v>
      </c>
      <c r="N135">
        <v>5</v>
      </c>
      <c r="O135">
        <v>158</v>
      </c>
      <c r="P135">
        <v>163</v>
      </c>
    </row>
    <row r="136" spans="1:16" x14ac:dyDescent="0.25">
      <c r="A136" s="6">
        <v>134</v>
      </c>
      <c r="B136" s="9">
        <v>40549</v>
      </c>
      <c r="C136" s="6">
        <v>1</v>
      </c>
      <c r="D136" s="6">
        <v>0</v>
      </c>
      <c r="E136" s="6">
        <v>1</v>
      </c>
      <c r="F136" s="6">
        <v>19</v>
      </c>
      <c r="G136" s="6" t="b">
        <v>0</v>
      </c>
      <c r="H136" s="6">
        <v>4</v>
      </c>
      <c r="I136" s="6">
        <v>1</v>
      </c>
      <c r="J136" s="6">
        <v>0.22</v>
      </c>
      <c r="K136">
        <v>0.2576</v>
      </c>
      <c r="L136">
        <v>0.55000000000000004</v>
      </c>
      <c r="M136">
        <v>8.9599999999999999E-2</v>
      </c>
      <c r="N136">
        <v>3</v>
      </c>
      <c r="O136">
        <v>109</v>
      </c>
      <c r="P136">
        <v>112</v>
      </c>
    </row>
    <row r="137" spans="1:16" x14ac:dyDescent="0.25">
      <c r="A137" s="6">
        <v>135</v>
      </c>
      <c r="B137" s="9">
        <v>40549</v>
      </c>
      <c r="C137" s="6">
        <v>1</v>
      </c>
      <c r="D137" s="6">
        <v>0</v>
      </c>
      <c r="E137" s="6">
        <v>1</v>
      </c>
      <c r="F137" s="6">
        <v>20</v>
      </c>
      <c r="G137" s="6" t="b">
        <v>0</v>
      </c>
      <c r="H137" s="6">
        <v>4</v>
      </c>
      <c r="I137" s="6">
        <v>1</v>
      </c>
      <c r="J137" s="6">
        <v>0.2</v>
      </c>
      <c r="K137">
        <v>0.21210000000000001</v>
      </c>
      <c r="L137">
        <v>0.51</v>
      </c>
      <c r="M137">
        <v>0.16420000000000001</v>
      </c>
      <c r="N137">
        <v>3</v>
      </c>
      <c r="O137">
        <v>66</v>
      </c>
      <c r="P137">
        <v>69</v>
      </c>
    </row>
    <row r="138" spans="1:16" x14ac:dyDescent="0.25">
      <c r="A138" s="6">
        <v>136</v>
      </c>
      <c r="B138" s="9">
        <v>40549</v>
      </c>
      <c r="C138" s="6">
        <v>1</v>
      </c>
      <c r="D138" s="6">
        <v>0</v>
      </c>
      <c r="E138" s="6">
        <v>1</v>
      </c>
      <c r="F138" s="6">
        <v>21</v>
      </c>
      <c r="G138" s="6" t="b">
        <v>0</v>
      </c>
      <c r="H138" s="6">
        <v>4</v>
      </c>
      <c r="I138" s="6">
        <v>2</v>
      </c>
      <c r="J138" s="6">
        <v>0.22</v>
      </c>
      <c r="K138">
        <v>0.21210000000000001</v>
      </c>
      <c r="L138">
        <v>0.55000000000000004</v>
      </c>
      <c r="M138">
        <v>0.22389999999999999</v>
      </c>
      <c r="N138">
        <v>0</v>
      </c>
      <c r="O138">
        <v>48</v>
      </c>
      <c r="P138">
        <v>48</v>
      </c>
    </row>
    <row r="139" spans="1:16" x14ac:dyDescent="0.25">
      <c r="A139" s="6">
        <v>137</v>
      </c>
      <c r="B139" s="9">
        <v>40549</v>
      </c>
      <c r="C139" s="6">
        <v>1</v>
      </c>
      <c r="D139" s="6">
        <v>0</v>
      </c>
      <c r="E139" s="6">
        <v>1</v>
      </c>
      <c r="F139" s="6">
        <v>22</v>
      </c>
      <c r="G139" s="6" t="b">
        <v>0</v>
      </c>
      <c r="H139" s="6">
        <v>4</v>
      </c>
      <c r="I139" s="6">
        <v>2</v>
      </c>
      <c r="J139" s="6">
        <v>0.22</v>
      </c>
      <c r="K139">
        <v>0.21210000000000001</v>
      </c>
      <c r="L139">
        <v>0.51</v>
      </c>
      <c r="M139">
        <v>0.28360000000000002</v>
      </c>
      <c r="N139">
        <v>1</v>
      </c>
      <c r="O139">
        <v>51</v>
      </c>
      <c r="P139">
        <v>52</v>
      </c>
    </row>
    <row r="140" spans="1:16" x14ac:dyDescent="0.25">
      <c r="A140" s="6">
        <v>138</v>
      </c>
      <c r="B140" s="9">
        <v>40549</v>
      </c>
      <c r="C140" s="6">
        <v>1</v>
      </c>
      <c r="D140" s="6">
        <v>0</v>
      </c>
      <c r="E140" s="6">
        <v>1</v>
      </c>
      <c r="F140" s="6">
        <v>23</v>
      </c>
      <c r="G140" s="6" t="b">
        <v>0</v>
      </c>
      <c r="H140" s="6">
        <v>4</v>
      </c>
      <c r="I140" s="6">
        <v>2</v>
      </c>
      <c r="J140" s="6">
        <v>0.2</v>
      </c>
      <c r="K140">
        <v>0.19700000000000001</v>
      </c>
      <c r="L140">
        <v>0.59</v>
      </c>
      <c r="M140">
        <v>0.19400000000000001</v>
      </c>
      <c r="N140">
        <v>4</v>
      </c>
      <c r="O140">
        <v>19</v>
      </c>
      <c r="P140">
        <v>23</v>
      </c>
    </row>
    <row r="141" spans="1:16" x14ac:dyDescent="0.25">
      <c r="A141" s="6">
        <v>139</v>
      </c>
      <c r="B141" s="9">
        <v>40550</v>
      </c>
      <c r="C141" s="6">
        <v>1</v>
      </c>
      <c r="D141" s="6">
        <v>0</v>
      </c>
      <c r="E141" s="6">
        <v>1</v>
      </c>
      <c r="F141" s="6">
        <v>0</v>
      </c>
      <c r="G141" s="6" t="b">
        <v>0</v>
      </c>
      <c r="H141" s="6">
        <v>5</v>
      </c>
      <c r="I141" s="6">
        <v>2</v>
      </c>
      <c r="J141" s="6">
        <v>0.2</v>
      </c>
      <c r="K141">
        <v>0.19700000000000001</v>
      </c>
      <c r="L141">
        <v>0.64</v>
      </c>
      <c r="M141">
        <v>0.19400000000000001</v>
      </c>
      <c r="N141">
        <v>4</v>
      </c>
      <c r="O141">
        <v>13</v>
      </c>
      <c r="P141">
        <v>17</v>
      </c>
    </row>
    <row r="142" spans="1:16" x14ac:dyDescent="0.25">
      <c r="A142" s="6">
        <v>140</v>
      </c>
      <c r="B142" s="9">
        <v>40550</v>
      </c>
      <c r="C142" s="6">
        <v>1</v>
      </c>
      <c r="D142" s="6">
        <v>0</v>
      </c>
      <c r="E142" s="6">
        <v>1</v>
      </c>
      <c r="F142" s="6">
        <v>1</v>
      </c>
      <c r="G142" s="6" t="b">
        <v>0</v>
      </c>
      <c r="H142" s="6">
        <v>5</v>
      </c>
      <c r="I142" s="6">
        <v>2</v>
      </c>
      <c r="J142" s="6">
        <v>0.2</v>
      </c>
      <c r="K142">
        <v>0.19700000000000001</v>
      </c>
      <c r="L142">
        <v>0.69</v>
      </c>
      <c r="M142">
        <v>0.22389999999999999</v>
      </c>
      <c r="N142">
        <v>2</v>
      </c>
      <c r="O142">
        <v>5</v>
      </c>
      <c r="P142">
        <v>7</v>
      </c>
    </row>
    <row r="143" spans="1:16" x14ac:dyDescent="0.25">
      <c r="A143" s="6">
        <v>141</v>
      </c>
      <c r="B143" s="9">
        <v>40550</v>
      </c>
      <c r="C143" s="6">
        <v>1</v>
      </c>
      <c r="D143" s="6">
        <v>0</v>
      </c>
      <c r="E143" s="6">
        <v>1</v>
      </c>
      <c r="F143" s="6">
        <v>2</v>
      </c>
      <c r="G143" s="6" t="b">
        <v>0</v>
      </c>
      <c r="H143" s="6">
        <v>5</v>
      </c>
      <c r="I143" s="6">
        <v>2</v>
      </c>
      <c r="J143" s="6">
        <v>0.2</v>
      </c>
      <c r="K143">
        <v>0.19700000000000001</v>
      </c>
      <c r="L143">
        <v>0.69</v>
      </c>
      <c r="M143">
        <v>0.22389999999999999</v>
      </c>
      <c r="N143">
        <v>0</v>
      </c>
      <c r="O143">
        <v>1</v>
      </c>
      <c r="P143">
        <v>1</v>
      </c>
    </row>
    <row r="144" spans="1:16" x14ac:dyDescent="0.25">
      <c r="A144" s="6">
        <v>142</v>
      </c>
      <c r="B144" s="9">
        <v>40550</v>
      </c>
      <c r="C144" s="6">
        <v>1</v>
      </c>
      <c r="D144" s="6">
        <v>0</v>
      </c>
      <c r="E144" s="6">
        <v>1</v>
      </c>
      <c r="F144" s="6">
        <v>4</v>
      </c>
      <c r="G144" s="6" t="b">
        <v>0</v>
      </c>
      <c r="H144" s="6">
        <v>5</v>
      </c>
      <c r="I144" s="6">
        <v>2</v>
      </c>
      <c r="J144" s="6">
        <v>0.2</v>
      </c>
      <c r="K144">
        <v>0.21210000000000001</v>
      </c>
      <c r="L144">
        <v>0.69</v>
      </c>
      <c r="M144">
        <v>0.1343</v>
      </c>
      <c r="N144">
        <v>0</v>
      </c>
      <c r="O144">
        <v>1</v>
      </c>
      <c r="P144">
        <v>1</v>
      </c>
    </row>
    <row r="145" spans="1:16" x14ac:dyDescent="0.25">
      <c r="A145" s="6">
        <v>143</v>
      </c>
      <c r="B145" s="9">
        <v>40550</v>
      </c>
      <c r="C145" s="6">
        <v>1</v>
      </c>
      <c r="D145" s="6">
        <v>0</v>
      </c>
      <c r="E145" s="6">
        <v>1</v>
      </c>
      <c r="F145" s="6">
        <v>5</v>
      </c>
      <c r="G145" s="6" t="b">
        <v>0</v>
      </c>
      <c r="H145" s="6">
        <v>5</v>
      </c>
      <c r="I145" s="6">
        <v>3</v>
      </c>
      <c r="J145" s="6">
        <v>0.22</v>
      </c>
      <c r="K145">
        <v>0.2727</v>
      </c>
      <c r="L145">
        <v>0.55000000000000004</v>
      </c>
      <c r="M145">
        <v>0</v>
      </c>
      <c r="N145">
        <v>0</v>
      </c>
      <c r="O145">
        <v>5</v>
      </c>
      <c r="P145">
        <v>5</v>
      </c>
    </row>
    <row r="146" spans="1:16" x14ac:dyDescent="0.25">
      <c r="A146" s="6">
        <v>144</v>
      </c>
      <c r="B146" s="9">
        <v>40550</v>
      </c>
      <c r="C146" s="6">
        <v>1</v>
      </c>
      <c r="D146" s="6">
        <v>0</v>
      </c>
      <c r="E146" s="6">
        <v>1</v>
      </c>
      <c r="F146" s="6">
        <v>6</v>
      </c>
      <c r="G146" s="6" t="b">
        <v>0</v>
      </c>
      <c r="H146" s="6">
        <v>5</v>
      </c>
      <c r="I146" s="6">
        <v>2</v>
      </c>
      <c r="J146" s="6">
        <v>0.2</v>
      </c>
      <c r="K146">
        <v>0.2576</v>
      </c>
      <c r="L146">
        <v>0.69</v>
      </c>
      <c r="M146">
        <v>0</v>
      </c>
      <c r="N146">
        <v>8</v>
      </c>
      <c r="O146">
        <v>26</v>
      </c>
      <c r="P146">
        <v>34</v>
      </c>
    </row>
    <row r="147" spans="1:16" x14ac:dyDescent="0.25">
      <c r="A147" s="6">
        <v>145</v>
      </c>
      <c r="B147" s="9">
        <v>40550</v>
      </c>
      <c r="C147" s="6">
        <v>1</v>
      </c>
      <c r="D147" s="6">
        <v>0</v>
      </c>
      <c r="E147" s="6">
        <v>1</v>
      </c>
      <c r="F147" s="6">
        <v>7</v>
      </c>
      <c r="G147" s="6" t="b">
        <v>0</v>
      </c>
      <c r="H147" s="6">
        <v>5</v>
      </c>
      <c r="I147" s="6">
        <v>1</v>
      </c>
      <c r="J147" s="6">
        <v>0.2</v>
      </c>
      <c r="K147">
        <v>0.21210000000000001</v>
      </c>
      <c r="L147">
        <v>0.69</v>
      </c>
      <c r="M147">
        <v>0.1343</v>
      </c>
      <c r="N147">
        <v>8</v>
      </c>
      <c r="O147">
        <v>76</v>
      </c>
      <c r="P147">
        <v>84</v>
      </c>
    </row>
    <row r="148" spans="1:16" x14ac:dyDescent="0.25">
      <c r="A148" s="6">
        <v>146</v>
      </c>
      <c r="B148" s="9">
        <v>40550</v>
      </c>
      <c r="C148" s="6">
        <v>1</v>
      </c>
      <c r="D148" s="6">
        <v>0</v>
      </c>
      <c r="E148" s="6">
        <v>1</v>
      </c>
      <c r="F148" s="6">
        <v>8</v>
      </c>
      <c r="G148" s="6" t="b">
        <v>0</v>
      </c>
      <c r="H148" s="6">
        <v>5</v>
      </c>
      <c r="I148" s="6">
        <v>1</v>
      </c>
      <c r="J148" s="6">
        <v>0.2</v>
      </c>
      <c r="K148">
        <v>0.19700000000000001</v>
      </c>
      <c r="L148">
        <v>0.51</v>
      </c>
      <c r="M148">
        <v>0.25369999999999998</v>
      </c>
      <c r="N148">
        <v>20</v>
      </c>
      <c r="O148">
        <v>190</v>
      </c>
      <c r="P148">
        <v>210</v>
      </c>
    </row>
    <row r="149" spans="1:16" x14ac:dyDescent="0.25">
      <c r="A149" s="6">
        <v>147</v>
      </c>
      <c r="B149" s="9">
        <v>40550</v>
      </c>
      <c r="C149" s="6">
        <v>1</v>
      </c>
      <c r="D149" s="6">
        <v>0</v>
      </c>
      <c r="E149" s="6">
        <v>1</v>
      </c>
      <c r="F149" s="6">
        <v>9</v>
      </c>
      <c r="G149" s="6" t="b">
        <v>0</v>
      </c>
      <c r="H149" s="6">
        <v>5</v>
      </c>
      <c r="I149" s="6">
        <v>1</v>
      </c>
      <c r="J149" s="6">
        <v>0.2</v>
      </c>
      <c r="K149">
        <v>0.18179999999999999</v>
      </c>
      <c r="L149">
        <v>0.47</v>
      </c>
      <c r="M149">
        <v>0.29849999999999999</v>
      </c>
      <c r="N149">
        <v>9</v>
      </c>
      <c r="O149">
        <v>125</v>
      </c>
      <c r="P149">
        <v>134</v>
      </c>
    </row>
    <row r="150" spans="1:16" x14ac:dyDescent="0.25">
      <c r="A150" s="6">
        <v>148</v>
      </c>
      <c r="B150" s="9">
        <v>40550</v>
      </c>
      <c r="C150" s="6">
        <v>1</v>
      </c>
      <c r="D150" s="6">
        <v>0</v>
      </c>
      <c r="E150" s="6">
        <v>1</v>
      </c>
      <c r="F150" s="6">
        <v>10</v>
      </c>
      <c r="G150" s="6" t="b">
        <v>0</v>
      </c>
      <c r="H150" s="6">
        <v>5</v>
      </c>
      <c r="I150" s="6">
        <v>1</v>
      </c>
      <c r="J150" s="6">
        <v>0.22</v>
      </c>
      <c r="K150">
        <v>0.19700000000000001</v>
      </c>
      <c r="L150">
        <v>0.37</v>
      </c>
      <c r="M150">
        <v>0.32840000000000003</v>
      </c>
      <c r="N150">
        <v>16</v>
      </c>
      <c r="O150">
        <v>47</v>
      </c>
      <c r="P150">
        <v>63</v>
      </c>
    </row>
    <row r="151" spans="1:16" x14ac:dyDescent="0.25">
      <c r="A151" s="6">
        <v>149</v>
      </c>
      <c r="B151" s="9">
        <v>40550</v>
      </c>
      <c r="C151" s="6">
        <v>1</v>
      </c>
      <c r="D151" s="6">
        <v>0</v>
      </c>
      <c r="E151" s="6">
        <v>1</v>
      </c>
      <c r="F151" s="6">
        <v>11</v>
      </c>
      <c r="G151" s="6" t="b">
        <v>0</v>
      </c>
      <c r="H151" s="6">
        <v>5</v>
      </c>
      <c r="I151" s="6">
        <v>2</v>
      </c>
      <c r="J151" s="6">
        <v>0.2</v>
      </c>
      <c r="K151">
        <v>0.19700000000000001</v>
      </c>
      <c r="L151">
        <v>0.4</v>
      </c>
      <c r="M151">
        <v>0.22389999999999999</v>
      </c>
      <c r="N151">
        <v>19</v>
      </c>
      <c r="O151">
        <v>48</v>
      </c>
      <c r="P151">
        <v>67</v>
      </c>
    </row>
    <row r="152" spans="1:16" x14ac:dyDescent="0.25">
      <c r="A152" s="6">
        <v>150</v>
      </c>
      <c r="B152" s="9">
        <v>40550</v>
      </c>
      <c r="C152" s="6">
        <v>1</v>
      </c>
      <c r="D152" s="6">
        <v>0</v>
      </c>
      <c r="E152" s="6">
        <v>1</v>
      </c>
      <c r="F152" s="6">
        <v>12</v>
      </c>
      <c r="G152" s="6" t="b">
        <v>0</v>
      </c>
      <c r="H152" s="6">
        <v>5</v>
      </c>
      <c r="I152" s="6">
        <v>2</v>
      </c>
      <c r="J152" s="6">
        <v>0.2</v>
      </c>
      <c r="K152">
        <v>0.19700000000000001</v>
      </c>
      <c r="L152">
        <v>0.37</v>
      </c>
      <c r="M152">
        <v>0.25369999999999998</v>
      </c>
      <c r="N152">
        <v>9</v>
      </c>
      <c r="O152">
        <v>50</v>
      </c>
      <c r="P152">
        <v>59</v>
      </c>
    </row>
    <row r="153" spans="1:16" x14ac:dyDescent="0.25">
      <c r="A153" s="6">
        <v>151</v>
      </c>
      <c r="B153" s="9">
        <v>40550</v>
      </c>
      <c r="C153" s="6">
        <v>1</v>
      </c>
      <c r="D153" s="6">
        <v>0</v>
      </c>
      <c r="E153" s="6">
        <v>1</v>
      </c>
      <c r="F153" s="6">
        <v>13</v>
      </c>
      <c r="G153" s="6" t="b">
        <v>0</v>
      </c>
      <c r="H153" s="6">
        <v>5</v>
      </c>
      <c r="I153" s="6">
        <v>2</v>
      </c>
      <c r="J153" s="6">
        <v>0.2</v>
      </c>
      <c r="K153">
        <v>0.18179999999999999</v>
      </c>
      <c r="L153">
        <v>0.37</v>
      </c>
      <c r="M153">
        <v>0.28360000000000002</v>
      </c>
      <c r="N153">
        <v>9</v>
      </c>
      <c r="O153">
        <v>64</v>
      </c>
      <c r="P153">
        <v>73</v>
      </c>
    </row>
    <row r="154" spans="1:16" x14ac:dyDescent="0.25">
      <c r="A154" s="6">
        <v>152</v>
      </c>
      <c r="B154" s="9">
        <v>40550</v>
      </c>
      <c r="C154" s="6">
        <v>1</v>
      </c>
      <c r="D154" s="6">
        <v>0</v>
      </c>
      <c r="E154" s="6">
        <v>1</v>
      </c>
      <c r="F154" s="6">
        <v>14</v>
      </c>
      <c r="G154" s="6" t="b">
        <v>0</v>
      </c>
      <c r="H154" s="6">
        <v>5</v>
      </c>
      <c r="I154" s="6">
        <v>2</v>
      </c>
      <c r="J154" s="6">
        <v>0.2</v>
      </c>
      <c r="K154">
        <v>0.19700000000000001</v>
      </c>
      <c r="L154">
        <v>0.4</v>
      </c>
      <c r="M154">
        <v>0.25369999999999998</v>
      </c>
      <c r="N154">
        <v>7</v>
      </c>
      <c r="O154">
        <v>43</v>
      </c>
      <c r="P154">
        <v>50</v>
      </c>
    </row>
    <row r="155" spans="1:16" x14ac:dyDescent="0.25">
      <c r="A155" s="6">
        <v>153</v>
      </c>
      <c r="B155" s="9">
        <v>40550</v>
      </c>
      <c r="C155" s="6">
        <v>1</v>
      </c>
      <c r="D155" s="6">
        <v>0</v>
      </c>
      <c r="E155" s="6">
        <v>1</v>
      </c>
      <c r="F155" s="6">
        <v>15</v>
      </c>
      <c r="G155" s="6" t="b">
        <v>0</v>
      </c>
      <c r="H155" s="6">
        <v>5</v>
      </c>
      <c r="I155" s="6">
        <v>2</v>
      </c>
      <c r="J155" s="6">
        <v>0.2</v>
      </c>
      <c r="K155">
        <v>0.21210000000000001</v>
      </c>
      <c r="L155">
        <v>0.37</v>
      </c>
      <c r="M155">
        <v>0.16420000000000001</v>
      </c>
      <c r="N155">
        <v>9</v>
      </c>
      <c r="O155">
        <v>63</v>
      </c>
      <c r="P155">
        <v>72</v>
      </c>
    </row>
    <row r="156" spans="1:16" x14ac:dyDescent="0.25">
      <c r="A156" s="6">
        <v>154</v>
      </c>
      <c r="B156" s="9">
        <v>40550</v>
      </c>
      <c r="C156" s="6">
        <v>1</v>
      </c>
      <c r="D156" s="6">
        <v>0</v>
      </c>
      <c r="E156" s="6">
        <v>1</v>
      </c>
      <c r="F156" s="6">
        <v>16</v>
      </c>
      <c r="G156" s="6" t="b">
        <v>0</v>
      </c>
      <c r="H156" s="6">
        <v>5</v>
      </c>
      <c r="I156" s="6">
        <v>2</v>
      </c>
      <c r="J156" s="6">
        <v>0.2</v>
      </c>
      <c r="K156">
        <v>0.21210000000000001</v>
      </c>
      <c r="L156">
        <v>0.37</v>
      </c>
      <c r="M156">
        <v>0.16420000000000001</v>
      </c>
      <c r="N156">
        <v>5</v>
      </c>
      <c r="O156">
        <v>82</v>
      </c>
      <c r="P156">
        <v>87</v>
      </c>
    </row>
    <row r="157" spans="1:16" x14ac:dyDescent="0.25">
      <c r="A157" s="6">
        <v>155</v>
      </c>
      <c r="B157" s="9">
        <v>40550</v>
      </c>
      <c r="C157" s="6">
        <v>1</v>
      </c>
      <c r="D157" s="6">
        <v>0</v>
      </c>
      <c r="E157" s="6">
        <v>1</v>
      </c>
      <c r="F157" s="6">
        <v>17</v>
      </c>
      <c r="G157" s="6" t="b">
        <v>0</v>
      </c>
      <c r="H157" s="6">
        <v>5</v>
      </c>
      <c r="I157" s="6">
        <v>2</v>
      </c>
      <c r="J157" s="6">
        <v>0.2</v>
      </c>
      <c r="K157">
        <v>0.2576</v>
      </c>
      <c r="L157">
        <v>0.37</v>
      </c>
      <c r="M157">
        <v>0</v>
      </c>
      <c r="N157">
        <v>9</v>
      </c>
      <c r="O157">
        <v>178</v>
      </c>
      <c r="P157">
        <v>187</v>
      </c>
    </row>
    <row r="158" spans="1:16" x14ac:dyDescent="0.25">
      <c r="A158" s="6">
        <v>156</v>
      </c>
      <c r="B158" s="9">
        <v>40550</v>
      </c>
      <c r="C158" s="6">
        <v>1</v>
      </c>
      <c r="D158" s="6">
        <v>0</v>
      </c>
      <c r="E158" s="6">
        <v>1</v>
      </c>
      <c r="F158" s="6">
        <v>18</v>
      </c>
      <c r="G158" s="6" t="b">
        <v>0</v>
      </c>
      <c r="H158" s="6">
        <v>5</v>
      </c>
      <c r="I158" s="6">
        <v>1</v>
      </c>
      <c r="J158" s="6">
        <v>0.2</v>
      </c>
      <c r="K158">
        <v>0.2273</v>
      </c>
      <c r="L158">
        <v>0.4</v>
      </c>
      <c r="M158">
        <v>8.9599999999999999E-2</v>
      </c>
      <c r="N158">
        <v>7</v>
      </c>
      <c r="O158">
        <v>116</v>
      </c>
      <c r="P158">
        <v>123</v>
      </c>
    </row>
    <row r="159" spans="1:16" x14ac:dyDescent="0.25">
      <c r="A159" s="6">
        <v>157</v>
      </c>
      <c r="B159" s="9">
        <v>40550</v>
      </c>
      <c r="C159" s="6">
        <v>1</v>
      </c>
      <c r="D159" s="6">
        <v>0</v>
      </c>
      <c r="E159" s="6">
        <v>1</v>
      </c>
      <c r="F159" s="6">
        <v>19</v>
      </c>
      <c r="G159" s="6" t="b">
        <v>0</v>
      </c>
      <c r="H159" s="6">
        <v>5</v>
      </c>
      <c r="I159" s="6">
        <v>1</v>
      </c>
      <c r="J159" s="6">
        <v>0.16</v>
      </c>
      <c r="K159">
        <v>0.19700000000000001</v>
      </c>
      <c r="L159">
        <v>0.55000000000000004</v>
      </c>
      <c r="M159">
        <v>8.9599999999999999E-2</v>
      </c>
      <c r="N159">
        <v>3</v>
      </c>
      <c r="O159">
        <v>92</v>
      </c>
      <c r="P159">
        <v>95</v>
      </c>
    </row>
    <row r="160" spans="1:16" x14ac:dyDescent="0.25">
      <c r="A160" s="6">
        <v>158</v>
      </c>
      <c r="B160" s="9">
        <v>40550</v>
      </c>
      <c r="C160" s="6">
        <v>1</v>
      </c>
      <c r="D160" s="6">
        <v>0</v>
      </c>
      <c r="E160" s="6">
        <v>1</v>
      </c>
      <c r="F160" s="6">
        <v>20</v>
      </c>
      <c r="G160" s="6" t="b">
        <v>0</v>
      </c>
      <c r="H160" s="6">
        <v>5</v>
      </c>
      <c r="I160" s="6">
        <v>1</v>
      </c>
      <c r="J160" s="6">
        <v>0.18</v>
      </c>
      <c r="K160">
        <v>0.21210000000000001</v>
      </c>
      <c r="L160">
        <v>0.47</v>
      </c>
      <c r="M160">
        <v>0.1045</v>
      </c>
      <c r="N160">
        <v>1</v>
      </c>
      <c r="O160">
        <v>50</v>
      </c>
      <c r="P160">
        <v>51</v>
      </c>
    </row>
    <row r="161" spans="1:16" x14ac:dyDescent="0.25">
      <c r="A161" s="6">
        <v>159</v>
      </c>
      <c r="B161" s="9">
        <v>40550</v>
      </c>
      <c r="C161" s="6">
        <v>1</v>
      </c>
      <c r="D161" s="6">
        <v>0</v>
      </c>
      <c r="E161" s="6">
        <v>1</v>
      </c>
      <c r="F161" s="6">
        <v>21</v>
      </c>
      <c r="G161" s="6" t="b">
        <v>0</v>
      </c>
      <c r="H161" s="6">
        <v>5</v>
      </c>
      <c r="I161" s="6">
        <v>1</v>
      </c>
      <c r="J161" s="6">
        <v>0.18</v>
      </c>
      <c r="K161">
        <v>0.19700000000000001</v>
      </c>
      <c r="L161">
        <v>0.47</v>
      </c>
      <c r="M161">
        <v>0.1343</v>
      </c>
      <c r="N161">
        <v>0</v>
      </c>
      <c r="O161">
        <v>39</v>
      </c>
      <c r="P161">
        <v>39</v>
      </c>
    </row>
    <row r="162" spans="1:16" x14ac:dyDescent="0.25">
      <c r="A162" s="6">
        <v>160</v>
      </c>
      <c r="B162" s="9">
        <v>40550</v>
      </c>
      <c r="C162" s="6">
        <v>1</v>
      </c>
      <c r="D162" s="6">
        <v>0</v>
      </c>
      <c r="E162" s="6">
        <v>1</v>
      </c>
      <c r="F162" s="6">
        <v>22</v>
      </c>
      <c r="G162" s="6" t="b">
        <v>0</v>
      </c>
      <c r="H162" s="6">
        <v>5</v>
      </c>
      <c r="I162" s="6">
        <v>2</v>
      </c>
      <c r="J162" s="6">
        <v>0.18</v>
      </c>
      <c r="K162">
        <v>0.19700000000000001</v>
      </c>
      <c r="L162">
        <v>0.43</v>
      </c>
      <c r="M162">
        <v>0.16420000000000001</v>
      </c>
      <c r="N162">
        <v>2</v>
      </c>
      <c r="O162">
        <v>34</v>
      </c>
      <c r="P162">
        <v>36</v>
      </c>
    </row>
    <row r="163" spans="1:16" x14ac:dyDescent="0.25">
      <c r="A163" s="6">
        <v>161</v>
      </c>
      <c r="B163" s="9">
        <v>40550</v>
      </c>
      <c r="C163" s="6">
        <v>1</v>
      </c>
      <c r="D163" s="6">
        <v>0</v>
      </c>
      <c r="E163" s="6">
        <v>1</v>
      </c>
      <c r="F163" s="6">
        <v>23</v>
      </c>
      <c r="G163" s="6" t="b">
        <v>0</v>
      </c>
      <c r="H163" s="6">
        <v>5</v>
      </c>
      <c r="I163" s="6">
        <v>2</v>
      </c>
      <c r="J163" s="6">
        <v>0.18</v>
      </c>
      <c r="K163">
        <v>0.19700000000000001</v>
      </c>
      <c r="L163">
        <v>0.51</v>
      </c>
      <c r="M163">
        <v>0.16420000000000001</v>
      </c>
      <c r="N163">
        <v>1</v>
      </c>
      <c r="O163">
        <v>14</v>
      </c>
      <c r="P163">
        <v>15</v>
      </c>
    </row>
    <row r="164" spans="1:16" x14ac:dyDescent="0.25">
      <c r="A164" s="6">
        <v>162</v>
      </c>
      <c r="B164" s="9">
        <v>40551</v>
      </c>
      <c r="C164" s="6">
        <v>1</v>
      </c>
      <c r="D164" s="6">
        <v>0</v>
      </c>
      <c r="E164" s="6">
        <v>1</v>
      </c>
      <c r="F164" s="6">
        <v>0</v>
      </c>
      <c r="G164" s="6" t="b">
        <v>0</v>
      </c>
      <c r="H164" s="6">
        <v>6</v>
      </c>
      <c r="I164" s="6">
        <v>2</v>
      </c>
      <c r="J164" s="6">
        <v>0.18</v>
      </c>
      <c r="K164">
        <v>0.19700000000000001</v>
      </c>
      <c r="L164">
        <v>0.51</v>
      </c>
      <c r="M164">
        <v>0.16420000000000001</v>
      </c>
      <c r="N164">
        <v>1</v>
      </c>
      <c r="O164">
        <v>24</v>
      </c>
      <c r="P164">
        <v>25</v>
      </c>
    </row>
    <row r="165" spans="1:16" x14ac:dyDescent="0.25">
      <c r="A165" s="6">
        <v>163</v>
      </c>
      <c r="B165" s="9">
        <v>40551</v>
      </c>
      <c r="C165" s="6">
        <v>1</v>
      </c>
      <c r="D165" s="6">
        <v>0</v>
      </c>
      <c r="E165" s="6">
        <v>1</v>
      </c>
      <c r="F165" s="6">
        <v>1</v>
      </c>
      <c r="G165" s="6" t="b">
        <v>0</v>
      </c>
      <c r="H165" s="6">
        <v>6</v>
      </c>
      <c r="I165" s="6">
        <v>2</v>
      </c>
      <c r="J165" s="6">
        <v>0.18</v>
      </c>
      <c r="K165">
        <v>0.21210000000000001</v>
      </c>
      <c r="L165">
        <v>0.55000000000000004</v>
      </c>
      <c r="M165">
        <v>8.9599999999999999E-2</v>
      </c>
      <c r="N165">
        <v>1</v>
      </c>
      <c r="O165">
        <v>15</v>
      </c>
      <c r="P165">
        <v>16</v>
      </c>
    </row>
    <row r="166" spans="1:16" x14ac:dyDescent="0.25">
      <c r="A166" s="6">
        <v>164</v>
      </c>
      <c r="B166" s="9">
        <v>40551</v>
      </c>
      <c r="C166" s="6">
        <v>1</v>
      </c>
      <c r="D166" s="6">
        <v>0</v>
      </c>
      <c r="E166" s="6">
        <v>1</v>
      </c>
      <c r="F166" s="6">
        <v>2</v>
      </c>
      <c r="G166" s="6" t="b">
        <v>0</v>
      </c>
      <c r="H166" s="6">
        <v>6</v>
      </c>
      <c r="I166" s="6">
        <v>2</v>
      </c>
      <c r="J166" s="6">
        <v>0.18</v>
      </c>
      <c r="K166">
        <v>0.2424</v>
      </c>
      <c r="L166">
        <v>0.55000000000000004</v>
      </c>
      <c r="M166">
        <v>0</v>
      </c>
      <c r="N166">
        <v>3</v>
      </c>
      <c r="O166">
        <v>13</v>
      </c>
      <c r="P166">
        <v>16</v>
      </c>
    </row>
    <row r="167" spans="1:16" x14ac:dyDescent="0.25">
      <c r="A167" s="6">
        <v>165</v>
      </c>
      <c r="B167" s="9">
        <v>40551</v>
      </c>
      <c r="C167" s="6">
        <v>1</v>
      </c>
      <c r="D167" s="6">
        <v>0</v>
      </c>
      <c r="E167" s="6">
        <v>1</v>
      </c>
      <c r="F167" s="6">
        <v>3</v>
      </c>
      <c r="G167" s="6" t="b">
        <v>0</v>
      </c>
      <c r="H167" s="6">
        <v>6</v>
      </c>
      <c r="I167" s="6">
        <v>3</v>
      </c>
      <c r="J167" s="6">
        <v>0.18</v>
      </c>
      <c r="K167">
        <v>0.19700000000000001</v>
      </c>
      <c r="L167">
        <v>0.55000000000000004</v>
      </c>
      <c r="M167">
        <v>0.16420000000000001</v>
      </c>
      <c r="N167">
        <v>0</v>
      </c>
      <c r="O167">
        <v>7</v>
      </c>
      <c r="P167">
        <v>7</v>
      </c>
    </row>
    <row r="168" spans="1:16" x14ac:dyDescent="0.25">
      <c r="A168" s="6">
        <v>166</v>
      </c>
      <c r="B168" s="9">
        <v>40551</v>
      </c>
      <c r="C168" s="6">
        <v>1</v>
      </c>
      <c r="D168" s="6">
        <v>0</v>
      </c>
      <c r="E168" s="6">
        <v>1</v>
      </c>
      <c r="F168" s="6">
        <v>4</v>
      </c>
      <c r="G168" s="6" t="b">
        <v>0</v>
      </c>
      <c r="H168" s="6">
        <v>6</v>
      </c>
      <c r="I168" s="6">
        <v>3</v>
      </c>
      <c r="J168" s="6">
        <v>0.18</v>
      </c>
      <c r="K168">
        <v>0.19700000000000001</v>
      </c>
      <c r="L168">
        <v>0.55000000000000004</v>
      </c>
      <c r="M168">
        <v>0.16420000000000001</v>
      </c>
      <c r="N168">
        <v>0</v>
      </c>
      <c r="O168">
        <v>1</v>
      </c>
      <c r="P168">
        <v>1</v>
      </c>
    </row>
    <row r="169" spans="1:16" x14ac:dyDescent="0.25">
      <c r="A169" s="6">
        <v>167</v>
      </c>
      <c r="B169" s="9">
        <v>40551</v>
      </c>
      <c r="C169" s="6">
        <v>1</v>
      </c>
      <c r="D169" s="6">
        <v>0</v>
      </c>
      <c r="E169" s="6">
        <v>1</v>
      </c>
      <c r="F169" s="6">
        <v>5</v>
      </c>
      <c r="G169" s="6" t="b">
        <v>0</v>
      </c>
      <c r="H169" s="6">
        <v>6</v>
      </c>
      <c r="I169" s="6">
        <v>2</v>
      </c>
      <c r="J169" s="6">
        <v>0.16</v>
      </c>
      <c r="K169">
        <v>0.16669999999999999</v>
      </c>
      <c r="L169">
        <v>0.74</v>
      </c>
      <c r="M169">
        <v>0.16420000000000001</v>
      </c>
      <c r="N169">
        <v>0</v>
      </c>
      <c r="O169">
        <v>5</v>
      </c>
      <c r="P169">
        <v>5</v>
      </c>
    </row>
    <row r="170" spans="1:16" x14ac:dyDescent="0.25">
      <c r="A170" s="6">
        <v>168</v>
      </c>
      <c r="B170" s="9">
        <v>40551</v>
      </c>
      <c r="C170" s="6">
        <v>1</v>
      </c>
      <c r="D170" s="6">
        <v>0</v>
      </c>
      <c r="E170" s="6">
        <v>1</v>
      </c>
      <c r="F170" s="6">
        <v>6</v>
      </c>
      <c r="G170" s="6" t="b">
        <v>0</v>
      </c>
      <c r="H170" s="6">
        <v>6</v>
      </c>
      <c r="I170" s="6">
        <v>2</v>
      </c>
      <c r="J170" s="6">
        <v>0.16</v>
      </c>
      <c r="K170">
        <v>0.16669999999999999</v>
      </c>
      <c r="L170">
        <v>0.74</v>
      </c>
      <c r="M170">
        <v>0.16420000000000001</v>
      </c>
      <c r="N170">
        <v>0</v>
      </c>
      <c r="O170">
        <v>2</v>
      </c>
      <c r="P170">
        <v>2</v>
      </c>
    </row>
    <row r="171" spans="1:16" x14ac:dyDescent="0.25">
      <c r="A171" s="6">
        <v>169</v>
      </c>
      <c r="B171" s="9">
        <v>40551</v>
      </c>
      <c r="C171" s="6">
        <v>1</v>
      </c>
      <c r="D171" s="6">
        <v>0</v>
      </c>
      <c r="E171" s="6">
        <v>1</v>
      </c>
      <c r="F171" s="6">
        <v>7</v>
      </c>
      <c r="G171" s="6" t="b">
        <v>0</v>
      </c>
      <c r="H171" s="6">
        <v>6</v>
      </c>
      <c r="I171" s="6">
        <v>2</v>
      </c>
      <c r="J171" s="6">
        <v>0.16</v>
      </c>
      <c r="K171">
        <v>0.18179999999999999</v>
      </c>
      <c r="L171">
        <v>0.74</v>
      </c>
      <c r="M171">
        <v>0.1045</v>
      </c>
      <c r="N171">
        <v>1</v>
      </c>
      <c r="O171">
        <v>8</v>
      </c>
      <c r="P171">
        <v>9</v>
      </c>
    </row>
    <row r="172" spans="1:16" x14ac:dyDescent="0.25">
      <c r="A172" s="6">
        <v>170</v>
      </c>
      <c r="B172" s="9">
        <v>40551</v>
      </c>
      <c r="C172" s="6">
        <v>1</v>
      </c>
      <c r="D172" s="6">
        <v>0</v>
      </c>
      <c r="E172" s="6">
        <v>1</v>
      </c>
      <c r="F172" s="6">
        <v>8</v>
      </c>
      <c r="G172" s="6" t="b">
        <v>0</v>
      </c>
      <c r="H172" s="6">
        <v>6</v>
      </c>
      <c r="I172" s="6">
        <v>3</v>
      </c>
      <c r="J172" s="6">
        <v>0.16</v>
      </c>
      <c r="K172">
        <v>0.18179999999999999</v>
      </c>
      <c r="L172">
        <v>0.93</v>
      </c>
      <c r="M172">
        <v>0.1045</v>
      </c>
      <c r="N172">
        <v>0</v>
      </c>
      <c r="O172">
        <v>15</v>
      </c>
      <c r="P172">
        <v>15</v>
      </c>
    </row>
    <row r="173" spans="1:16" x14ac:dyDescent="0.25">
      <c r="A173" s="6">
        <v>171</v>
      </c>
      <c r="B173" s="9">
        <v>40551</v>
      </c>
      <c r="C173" s="6">
        <v>1</v>
      </c>
      <c r="D173" s="6">
        <v>0</v>
      </c>
      <c r="E173" s="6">
        <v>1</v>
      </c>
      <c r="F173" s="6">
        <v>9</v>
      </c>
      <c r="G173" s="6" t="b">
        <v>0</v>
      </c>
      <c r="H173" s="6">
        <v>6</v>
      </c>
      <c r="I173" s="6">
        <v>3</v>
      </c>
      <c r="J173" s="6">
        <v>0.16</v>
      </c>
      <c r="K173">
        <v>0.18179999999999999</v>
      </c>
      <c r="L173">
        <v>0.93</v>
      </c>
      <c r="M173">
        <v>0.1045</v>
      </c>
      <c r="N173">
        <v>0</v>
      </c>
      <c r="O173">
        <v>20</v>
      </c>
      <c r="P173">
        <v>20</v>
      </c>
    </row>
    <row r="174" spans="1:16" x14ac:dyDescent="0.25">
      <c r="A174" s="6">
        <v>172</v>
      </c>
      <c r="B174" s="9">
        <v>40551</v>
      </c>
      <c r="C174" s="6">
        <v>1</v>
      </c>
      <c r="D174" s="6">
        <v>0</v>
      </c>
      <c r="E174" s="6">
        <v>1</v>
      </c>
      <c r="F174" s="6">
        <v>10</v>
      </c>
      <c r="G174" s="6" t="b">
        <v>0</v>
      </c>
      <c r="H174" s="6">
        <v>6</v>
      </c>
      <c r="I174" s="6">
        <v>2</v>
      </c>
      <c r="J174" s="6">
        <v>0.18</v>
      </c>
      <c r="K174">
        <v>0.19700000000000001</v>
      </c>
      <c r="L174">
        <v>0.8</v>
      </c>
      <c r="M174">
        <v>0.16420000000000001</v>
      </c>
      <c r="N174">
        <v>5</v>
      </c>
      <c r="O174">
        <v>56</v>
      </c>
      <c r="P174">
        <v>61</v>
      </c>
    </row>
    <row r="175" spans="1:16" x14ac:dyDescent="0.25">
      <c r="A175" s="6">
        <v>173</v>
      </c>
      <c r="B175" s="9">
        <v>40551</v>
      </c>
      <c r="C175" s="6">
        <v>1</v>
      </c>
      <c r="D175" s="6">
        <v>0</v>
      </c>
      <c r="E175" s="6">
        <v>1</v>
      </c>
      <c r="F175" s="6">
        <v>11</v>
      </c>
      <c r="G175" s="6" t="b">
        <v>0</v>
      </c>
      <c r="H175" s="6">
        <v>6</v>
      </c>
      <c r="I175" s="6">
        <v>2</v>
      </c>
      <c r="J175" s="6">
        <v>0.2</v>
      </c>
      <c r="K175">
        <v>0.18179999999999999</v>
      </c>
      <c r="L175">
        <v>0.69</v>
      </c>
      <c r="M175">
        <v>0.3881</v>
      </c>
      <c r="N175">
        <v>2</v>
      </c>
      <c r="O175">
        <v>60</v>
      </c>
      <c r="P175">
        <v>62</v>
      </c>
    </row>
    <row r="176" spans="1:16" x14ac:dyDescent="0.25">
      <c r="A176" s="6">
        <v>174</v>
      </c>
      <c r="B176" s="9">
        <v>40551</v>
      </c>
      <c r="C176" s="6">
        <v>1</v>
      </c>
      <c r="D176" s="6">
        <v>0</v>
      </c>
      <c r="E176" s="6">
        <v>1</v>
      </c>
      <c r="F176" s="6">
        <v>12</v>
      </c>
      <c r="G176" s="6" t="b">
        <v>0</v>
      </c>
      <c r="H176" s="6">
        <v>6</v>
      </c>
      <c r="I176" s="6">
        <v>2</v>
      </c>
      <c r="J176" s="6">
        <v>0.2</v>
      </c>
      <c r="K176">
        <v>0.18179999999999999</v>
      </c>
      <c r="L176">
        <v>0.59</v>
      </c>
      <c r="M176">
        <v>0.35820000000000002</v>
      </c>
      <c r="N176">
        <v>8</v>
      </c>
      <c r="O176">
        <v>90</v>
      </c>
      <c r="P176">
        <v>98</v>
      </c>
    </row>
    <row r="177" spans="1:16" x14ac:dyDescent="0.25">
      <c r="A177" s="6">
        <v>175</v>
      </c>
      <c r="B177" s="9">
        <v>40551</v>
      </c>
      <c r="C177" s="6">
        <v>1</v>
      </c>
      <c r="D177" s="6">
        <v>0</v>
      </c>
      <c r="E177" s="6">
        <v>1</v>
      </c>
      <c r="F177" s="6">
        <v>13</v>
      </c>
      <c r="G177" s="6" t="b">
        <v>0</v>
      </c>
      <c r="H177" s="6">
        <v>6</v>
      </c>
      <c r="I177" s="6">
        <v>1</v>
      </c>
      <c r="J177" s="6">
        <v>0.2</v>
      </c>
      <c r="K177">
        <v>0.18179999999999999</v>
      </c>
      <c r="L177">
        <v>0.44</v>
      </c>
      <c r="M177">
        <v>0.32840000000000003</v>
      </c>
      <c r="N177">
        <v>7</v>
      </c>
      <c r="O177">
        <v>95</v>
      </c>
      <c r="P177">
        <v>102</v>
      </c>
    </row>
    <row r="178" spans="1:16" x14ac:dyDescent="0.25">
      <c r="A178" s="6">
        <v>176</v>
      </c>
      <c r="B178" s="9">
        <v>40551</v>
      </c>
      <c r="C178" s="6">
        <v>1</v>
      </c>
      <c r="D178" s="6">
        <v>0</v>
      </c>
      <c r="E178" s="6">
        <v>1</v>
      </c>
      <c r="F178" s="6">
        <v>14</v>
      </c>
      <c r="G178" s="6" t="b">
        <v>0</v>
      </c>
      <c r="H178" s="6">
        <v>6</v>
      </c>
      <c r="I178" s="6">
        <v>1</v>
      </c>
      <c r="J178" s="6">
        <v>0.2</v>
      </c>
      <c r="K178">
        <v>0.16669999999999999</v>
      </c>
      <c r="L178">
        <v>0.32</v>
      </c>
      <c r="M178">
        <v>0.49249999999999999</v>
      </c>
      <c r="N178">
        <v>12</v>
      </c>
      <c r="O178">
        <v>83</v>
      </c>
      <c r="P178">
        <v>95</v>
      </c>
    </row>
    <row r="179" spans="1:16" x14ac:dyDescent="0.25">
      <c r="A179" s="6">
        <v>177</v>
      </c>
      <c r="B179" s="9">
        <v>40551</v>
      </c>
      <c r="C179" s="6">
        <v>1</v>
      </c>
      <c r="D179" s="6">
        <v>0</v>
      </c>
      <c r="E179" s="6">
        <v>1</v>
      </c>
      <c r="F179" s="6">
        <v>15</v>
      </c>
      <c r="G179" s="6" t="b">
        <v>0</v>
      </c>
      <c r="H179" s="6">
        <v>6</v>
      </c>
      <c r="I179" s="6">
        <v>1</v>
      </c>
      <c r="J179" s="6">
        <v>0.2</v>
      </c>
      <c r="K179">
        <v>0.16669999999999999</v>
      </c>
      <c r="L179">
        <v>0.32</v>
      </c>
      <c r="M179">
        <v>0.44779999999999998</v>
      </c>
      <c r="N179">
        <v>5</v>
      </c>
      <c r="O179">
        <v>69</v>
      </c>
      <c r="P179">
        <v>74</v>
      </c>
    </row>
    <row r="180" spans="1:16" x14ac:dyDescent="0.25">
      <c r="A180" s="6">
        <v>178</v>
      </c>
      <c r="B180" s="9">
        <v>40551</v>
      </c>
      <c r="C180" s="6">
        <v>1</v>
      </c>
      <c r="D180" s="6">
        <v>0</v>
      </c>
      <c r="E180" s="6">
        <v>1</v>
      </c>
      <c r="F180" s="6">
        <v>16</v>
      </c>
      <c r="G180" s="6" t="b">
        <v>0</v>
      </c>
      <c r="H180" s="6">
        <v>6</v>
      </c>
      <c r="I180" s="6">
        <v>1</v>
      </c>
      <c r="J180" s="6">
        <v>0.18</v>
      </c>
      <c r="K180">
        <v>0.13639999999999999</v>
      </c>
      <c r="L180">
        <v>0.28999999999999998</v>
      </c>
      <c r="M180">
        <v>0.44779999999999998</v>
      </c>
      <c r="N180">
        <v>8</v>
      </c>
      <c r="O180">
        <v>68</v>
      </c>
      <c r="P180">
        <v>76</v>
      </c>
    </row>
    <row r="181" spans="1:16" x14ac:dyDescent="0.25">
      <c r="A181" s="6">
        <v>179</v>
      </c>
      <c r="B181" s="9">
        <v>40551</v>
      </c>
      <c r="C181" s="6">
        <v>1</v>
      </c>
      <c r="D181" s="6">
        <v>0</v>
      </c>
      <c r="E181" s="6">
        <v>1</v>
      </c>
      <c r="F181" s="6">
        <v>17</v>
      </c>
      <c r="G181" s="6" t="b">
        <v>0</v>
      </c>
      <c r="H181" s="6">
        <v>6</v>
      </c>
      <c r="I181" s="6">
        <v>1</v>
      </c>
      <c r="J181" s="6">
        <v>0.16</v>
      </c>
      <c r="K181">
        <v>0.1212</v>
      </c>
      <c r="L181">
        <v>0.37</v>
      </c>
      <c r="M181">
        <v>0.55220000000000002</v>
      </c>
      <c r="N181">
        <v>5</v>
      </c>
      <c r="O181">
        <v>64</v>
      </c>
      <c r="P181">
        <v>69</v>
      </c>
    </row>
    <row r="182" spans="1:16" x14ac:dyDescent="0.25">
      <c r="A182" s="6">
        <v>180</v>
      </c>
      <c r="B182" s="9">
        <v>40551</v>
      </c>
      <c r="C182" s="6">
        <v>1</v>
      </c>
      <c r="D182" s="6">
        <v>0</v>
      </c>
      <c r="E182" s="6">
        <v>1</v>
      </c>
      <c r="F182" s="6">
        <v>18</v>
      </c>
      <c r="G182" s="6" t="b">
        <v>0</v>
      </c>
      <c r="H182" s="6">
        <v>6</v>
      </c>
      <c r="I182" s="6">
        <v>1</v>
      </c>
      <c r="J182" s="6">
        <v>0.14000000000000001</v>
      </c>
      <c r="K182">
        <v>0.1212</v>
      </c>
      <c r="L182">
        <v>0.39</v>
      </c>
      <c r="M182">
        <v>0.29849999999999999</v>
      </c>
      <c r="N182">
        <v>3</v>
      </c>
      <c r="O182">
        <v>52</v>
      </c>
      <c r="P182">
        <v>55</v>
      </c>
    </row>
    <row r="183" spans="1:16" x14ac:dyDescent="0.25">
      <c r="A183" s="6">
        <v>181</v>
      </c>
      <c r="B183" s="9">
        <v>40551</v>
      </c>
      <c r="C183" s="6">
        <v>1</v>
      </c>
      <c r="D183" s="6">
        <v>0</v>
      </c>
      <c r="E183" s="6">
        <v>1</v>
      </c>
      <c r="F183" s="6">
        <v>19</v>
      </c>
      <c r="G183" s="6" t="b">
        <v>0</v>
      </c>
      <c r="H183" s="6">
        <v>6</v>
      </c>
      <c r="I183" s="6">
        <v>1</v>
      </c>
      <c r="J183" s="6">
        <v>0.14000000000000001</v>
      </c>
      <c r="K183">
        <v>0.1212</v>
      </c>
      <c r="L183">
        <v>0.36</v>
      </c>
      <c r="M183">
        <v>0.25369999999999998</v>
      </c>
      <c r="N183">
        <v>4</v>
      </c>
      <c r="O183">
        <v>26</v>
      </c>
      <c r="P183">
        <v>30</v>
      </c>
    </row>
    <row r="184" spans="1:16" x14ac:dyDescent="0.25">
      <c r="A184" s="6">
        <v>182</v>
      </c>
      <c r="B184" s="9">
        <v>40551</v>
      </c>
      <c r="C184" s="6">
        <v>1</v>
      </c>
      <c r="D184" s="6">
        <v>0</v>
      </c>
      <c r="E184" s="6">
        <v>1</v>
      </c>
      <c r="F184" s="6">
        <v>20</v>
      </c>
      <c r="G184" s="6" t="b">
        <v>0</v>
      </c>
      <c r="H184" s="6">
        <v>6</v>
      </c>
      <c r="I184" s="6">
        <v>1</v>
      </c>
      <c r="J184" s="6">
        <v>0.12</v>
      </c>
      <c r="K184">
        <v>0.1212</v>
      </c>
      <c r="L184">
        <v>0.36</v>
      </c>
      <c r="M184">
        <v>0.25369999999999998</v>
      </c>
      <c r="N184">
        <v>0</v>
      </c>
      <c r="O184">
        <v>28</v>
      </c>
      <c r="P184">
        <v>28</v>
      </c>
    </row>
    <row r="185" spans="1:16" x14ac:dyDescent="0.25">
      <c r="A185" s="6">
        <v>183</v>
      </c>
      <c r="B185" s="9">
        <v>40551</v>
      </c>
      <c r="C185" s="6">
        <v>1</v>
      </c>
      <c r="D185" s="6">
        <v>0</v>
      </c>
      <c r="E185" s="6">
        <v>1</v>
      </c>
      <c r="F185" s="6">
        <v>21</v>
      </c>
      <c r="G185" s="6" t="b">
        <v>0</v>
      </c>
      <c r="H185" s="6">
        <v>6</v>
      </c>
      <c r="I185" s="6">
        <v>1</v>
      </c>
      <c r="J185" s="6">
        <v>0.12</v>
      </c>
      <c r="K185">
        <v>0.1061</v>
      </c>
      <c r="L185">
        <v>0.39</v>
      </c>
      <c r="M185">
        <v>0.35820000000000002</v>
      </c>
      <c r="N185">
        <v>2</v>
      </c>
      <c r="O185">
        <v>35</v>
      </c>
      <c r="P185">
        <v>37</v>
      </c>
    </row>
    <row r="186" spans="1:16" x14ac:dyDescent="0.25">
      <c r="A186" s="6">
        <v>184</v>
      </c>
      <c r="B186" s="9">
        <v>40551</v>
      </c>
      <c r="C186" s="6">
        <v>1</v>
      </c>
      <c r="D186" s="6">
        <v>0</v>
      </c>
      <c r="E186" s="6">
        <v>1</v>
      </c>
      <c r="F186" s="6">
        <v>22</v>
      </c>
      <c r="G186" s="6" t="b">
        <v>0</v>
      </c>
      <c r="H186" s="6">
        <v>6</v>
      </c>
      <c r="I186" s="6">
        <v>1</v>
      </c>
      <c r="J186" s="6">
        <v>0.12</v>
      </c>
      <c r="K186">
        <v>0.1061</v>
      </c>
      <c r="L186">
        <v>0.36</v>
      </c>
      <c r="M186">
        <v>0.3881</v>
      </c>
      <c r="N186">
        <v>1</v>
      </c>
      <c r="O186">
        <v>33</v>
      </c>
      <c r="P186">
        <v>34</v>
      </c>
    </row>
    <row r="187" spans="1:16" x14ac:dyDescent="0.25">
      <c r="A187" s="6">
        <v>185</v>
      </c>
      <c r="B187" s="9">
        <v>40551</v>
      </c>
      <c r="C187" s="6">
        <v>1</v>
      </c>
      <c r="D187" s="6">
        <v>0</v>
      </c>
      <c r="E187" s="6">
        <v>1</v>
      </c>
      <c r="F187" s="6">
        <v>23</v>
      </c>
      <c r="G187" s="6" t="b">
        <v>0</v>
      </c>
      <c r="H187" s="6">
        <v>6</v>
      </c>
      <c r="I187" s="6">
        <v>1</v>
      </c>
      <c r="J187" s="6">
        <v>0.1</v>
      </c>
      <c r="K187">
        <v>6.0600000000000001E-2</v>
      </c>
      <c r="L187">
        <v>0.39</v>
      </c>
      <c r="M187">
        <v>0.44779999999999998</v>
      </c>
      <c r="N187">
        <v>0</v>
      </c>
      <c r="O187">
        <v>22</v>
      </c>
      <c r="P187">
        <v>22</v>
      </c>
    </row>
    <row r="188" spans="1:16" x14ac:dyDescent="0.25">
      <c r="A188" s="6">
        <v>186</v>
      </c>
      <c r="B188" s="9">
        <v>40552</v>
      </c>
      <c r="C188" s="6">
        <v>1</v>
      </c>
      <c r="D188" s="6">
        <v>0</v>
      </c>
      <c r="E188" s="6">
        <v>1</v>
      </c>
      <c r="F188" s="6">
        <v>0</v>
      </c>
      <c r="G188" s="6" t="b">
        <v>0</v>
      </c>
      <c r="H188" s="6">
        <v>0</v>
      </c>
      <c r="I188" s="6">
        <v>1</v>
      </c>
      <c r="J188" s="6">
        <v>0.1</v>
      </c>
      <c r="K188">
        <v>7.5800000000000006E-2</v>
      </c>
      <c r="L188">
        <v>0.42</v>
      </c>
      <c r="M188">
        <v>0.3881</v>
      </c>
      <c r="N188">
        <v>1</v>
      </c>
      <c r="O188">
        <v>24</v>
      </c>
      <c r="P188">
        <v>25</v>
      </c>
    </row>
    <row r="189" spans="1:16" x14ac:dyDescent="0.25">
      <c r="A189" s="6">
        <v>187</v>
      </c>
      <c r="B189" s="9">
        <v>40552</v>
      </c>
      <c r="C189" s="6">
        <v>1</v>
      </c>
      <c r="D189" s="6">
        <v>0</v>
      </c>
      <c r="E189" s="6">
        <v>1</v>
      </c>
      <c r="F189" s="6">
        <v>1</v>
      </c>
      <c r="G189" s="6" t="b">
        <v>0</v>
      </c>
      <c r="H189" s="6">
        <v>0</v>
      </c>
      <c r="I189" s="6">
        <v>1</v>
      </c>
      <c r="J189" s="6">
        <v>0.1</v>
      </c>
      <c r="K189">
        <v>6.0600000000000001E-2</v>
      </c>
      <c r="L189">
        <v>0.42</v>
      </c>
      <c r="M189">
        <v>0.4627</v>
      </c>
      <c r="N189">
        <v>0</v>
      </c>
      <c r="O189">
        <v>12</v>
      </c>
      <c r="P189">
        <v>12</v>
      </c>
    </row>
    <row r="190" spans="1:16" x14ac:dyDescent="0.25">
      <c r="A190" s="6">
        <v>188</v>
      </c>
      <c r="B190" s="9">
        <v>40552</v>
      </c>
      <c r="C190" s="6">
        <v>1</v>
      </c>
      <c r="D190" s="6">
        <v>0</v>
      </c>
      <c r="E190" s="6">
        <v>1</v>
      </c>
      <c r="F190" s="6">
        <v>2</v>
      </c>
      <c r="G190" s="6" t="b">
        <v>0</v>
      </c>
      <c r="H190" s="6">
        <v>0</v>
      </c>
      <c r="I190" s="6">
        <v>1</v>
      </c>
      <c r="J190" s="6">
        <v>0.1</v>
      </c>
      <c r="K190">
        <v>6.0600000000000001E-2</v>
      </c>
      <c r="L190">
        <v>0.46</v>
      </c>
      <c r="M190">
        <v>0.4627</v>
      </c>
      <c r="N190">
        <v>0</v>
      </c>
      <c r="O190">
        <v>11</v>
      </c>
      <c r="P190">
        <v>11</v>
      </c>
    </row>
    <row r="191" spans="1:16" x14ac:dyDescent="0.25">
      <c r="A191" s="6">
        <v>189</v>
      </c>
      <c r="B191" s="9">
        <v>40552</v>
      </c>
      <c r="C191" s="6">
        <v>1</v>
      </c>
      <c r="D191" s="6">
        <v>0</v>
      </c>
      <c r="E191" s="6">
        <v>1</v>
      </c>
      <c r="F191" s="6">
        <v>3</v>
      </c>
      <c r="G191" s="6" t="b">
        <v>0</v>
      </c>
      <c r="H191" s="6">
        <v>0</v>
      </c>
      <c r="I191" s="6">
        <v>1</v>
      </c>
      <c r="J191" s="6">
        <v>0.1</v>
      </c>
      <c r="K191">
        <v>7.5800000000000006E-2</v>
      </c>
      <c r="L191">
        <v>0.46</v>
      </c>
      <c r="M191">
        <v>0.41789999999999999</v>
      </c>
      <c r="N191">
        <v>0</v>
      </c>
      <c r="O191">
        <v>4</v>
      </c>
      <c r="P191">
        <v>4</v>
      </c>
    </row>
    <row r="192" spans="1:16" x14ac:dyDescent="0.25">
      <c r="A192" s="6">
        <v>190</v>
      </c>
      <c r="B192" s="9">
        <v>40552</v>
      </c>
      <c r="C192" s="6">
        <v>1</v>
      </c>
      <c r="D192" s="6">
        <v>0</v>
      </c>
      <c r="E192" s="6">
        <v>1</v>
      </c>
      <c r="F192" s="6">
        <v>4</v>
      </c>
      <c r="G192" s="6" t="b">
        <v>0</v>
      </c>
      <c r="H192" s="6">
        <v>0</v>
      </c>
      <c r="I192" s="6">
        <v>1</v>
      </c>
      <c r="J192" s="6">
        <v>0.08</v>
      </c>
      <c r="K192">
        <v>9.0899999999999995E-2</v>
      </c>
      <c r="L192">
        <v>0.53</v>
      </c>
      <c r="M192">
        <v>0.19400000000000001</v>
      </c>
      <c r="N192">
        <v>0</v>
      </c>
      <c r="O192">
        <v>1</v>
      </c>
      <c r="P192">
        <v>1</v>
      </c>
    </row>
    <row r="193" spans="1:16" x14ac:dyDescent="0.25">
      <c r="A193" s="6">
        <v>191</v>
      </c>
      <c r="B193" s="9">
        <v>40552</v>
      </c>
      <c r="C193" s="6">
        <v>1</v>
      </c>
      <c r="D193" s="6">
        <v>0</v>
      </c>
      <c r="E193" s="6">
        <v>1</v>
      </c>
      <c r="F193" s="6">
        <v>5</v>
      </c>
      <c r="G193" s="6" t="b">
        <v>0</v>
      </c>
      <c r="H193" s="6">
        <v>0</v>
      </c>
      <c r="I193" s="6">
        <v>1</v>
      </c>
      <c r="J193" s="6">
        <v>0.08</v>
      </c>
      <c r="K193">
        <v>9.0899999999999995E-2</v>
      </c>
      <c r="L193">
        <v>0.53</v>
      </c>
      <c r="M193">
        <v>0.19400000000000001</v>
      </c>
      <c r="N193">
        <v>0</v>
      </c>
      <c r="O193">
        <v>1</v>
      </c>
      <c r="P193">
        <v>1</v>
      </c>
    </row>
    <row r="194" spans="1:16" x14ac:dyDescent="0.25">
      <c r="A194" s="6">
        <v>192</v>
      </c>
      <c r="B194" s="9">
        <v>40552</v>
      </c>
      <c r="C194" s="6">
        <v>1</v>
      </c>
      <c r="D194" s="6">
        <v>0</v>
      </c>
      <c r="E194" s="6">
        <v>1</v>
      </c>
      <c r="F194" s="6">
        <v>6</v>
      </c>
      <c r="G194" s="6" t="b">
        <v>0</v>
      </c>
      <c r="H194" s="6">
        <v>0</v>
      </c>
      <c r="I194" s="6">
        <v>1</v>
      </c>
      <c r="J194" s="6">
        <v>0.1</v>
      </c>
      <c r="K194">
        <v>9.0899999999999995E-2</v>
      </c>
      <c r="L194">
        <v>0.49</v>
      </c>
      <c r="M194">
        <v>0.28360000000000002</v>
      </c>
      <c r="N194">
        <v>0</v>
      </c>
      <c r="O194">
        <v>1</v>
      </c>
      <c r="P194">
        <v>1</v>
      </c>
    </row>
    <row r="195" spans="1:16" x14ac:dyDescent="0.25">
      <c r="A195" s="6">
        <v>193</v>
      </c>
      <c r="B195" s="9">
        <v>40552</v>
      </c>
      <c r="C195" s="6">
        <v>1</v>
      </c>
      <c r="D195" s="6">
        <v>0</v>
      </c>
      <c r="E195" s="6">
        <v>1</v>
      </c>
      <c r="F195" s="6">
        <v>7</v>
      </c>
      <c r="G195" s="6" t="b">
        <v>0</v>
      </c>
      <c r="H195" s="6">
        <v>0</v>
      </c>
      <c r="I195" s="6">
        <v>1</v>
      </c>
      <c r="J195" s="6">
        <v>0.08</v>
      </c>
      <c r="K195">
        <v>9.0899999999999995E-2</v>
      </c>
      <c r="L195">
        <v>0.53</v>
      </c>
      <c r="M195">
        <v>0.19400000000000001</v>
      </c>
      <c r="N195">
        <v>1</v>
      </c>
      <c r="O195">
        <v>5</v>
      </c>
      <c r="P195">
        <v>6</v>
      </c>
    </row>
    <row r="196" spans="1:16" x14ac:dyDescent="0.25">
      <c r="A196" s="6">
        <v>194</v>
      </c>
      <c r="B196" s="9">
        <v>40552</v>
      </c>
      <c r="C196" s="6">
        <v>1</v>
      </c>
      <c r="D196" s="6">
        <v>0</v>
      </c>
      <c r="E196" s="6">
        <v>1</v>
      </c>
      <c r="F196" s="6">
        <v>8</v>
      </c>
      <c r="G196" s="6" t="b">
        <v>0</v>
      </c>
      <c r="H196" s="6">
        <v>0</v>
      </c>
      <c r="I196" s="6">
        <v>1</v>
      </c>
      <c r="J196" s="6">
        <v>0.1</v>
      </c>
      <c r="K196">
        <v>9.0899999999999995E-2</v>
      </c>
      <c r="L196">
        <v>0.49</v>
      </c>
      <c r="M196">
        <v>0.28360000000000002</v>
      </c>
      <c r="N196">
        <v>0</v>
      </c>
      <c r="O196">
        <v>10</v>
      </c>
      <c r="P196">
        <v>10</v>
      </c>
    </row>
    <row r="197" spans="1:16" x14ac:dyDescent="0.25">
      <c r="A197" s="6">
        <v>195</v>
      </c>
      <c r="B197" s="9">
        <v>40552</v>
      </c>
      <c r="C197" s="6">
        <v>1</v>
      </c>
      <c r="D197" s="6">
        <v>0</v>
      </c>
      <c r="E197" s="6">
        <v>1</v>
      </c>
      <c r="F197" s="6">
        <v>9</v>
      </c>
      <c r="G197" s="6" t="b">
        <v>0</v>
      </c>
      <c r="H197" s="6">
        <v>0</v>
      </c>
      <c r="I197" s="6">
        <v>1</v>
      </c>
      <c r="J197" s="6">
        <v>0.12</v>
      </c>
      <c r="K197">
        <v>7.5800000000000006E-2</v>
      </c>
      <c r="L197">
        <v>0.46</v>
      </c>
      <c r="M197">
        <v>0.52239999999999998</v>
      </c>
      <c r="N197">
        <v>0</v>
      </c>
      <c r="O197">
        <v>19</v>
      </c>
      <c r="P197">
        <v>19</v>
      </c>
    </row>
    <row r="198" spans="1:16" x14ac:dyDescent="0.25">
      <c r="A198" s="6">
        <v>196</v>
      </c>
      <c r="B198" s="9">
        <v>40552</v>
      </c>
      <c r="C198" s="6">
        <v>1</v>
      </c>
      <c r="D198" s="6">
        <v>0</v>
      </c>
      <c r="E198" s="6">
        <v>1</v>
      </c>
      <c r="F198" s="6">
        <v>10</v>
      </c>
      <c r="G198" s="6" t="b">
        <v>0</v>
      </c>
      <c r="H198" s="6">
        <v>0</v>
      </c>
      <c r="I198" s="6">
        <v>1</v>
      </c>
      <c r="J198" s="6">
        <v>0.14000000000000001</v>
      </c>
      <c r="K198">
        <v>0.1061</v>
      </c>
      <c r="L198">
        <v>0.43</v>
      </c>
      <c r="M198">
        <v>0.3881</v>
      </c>
      <c r="N198">
        <v>0</v>
      </c>
      <c r="O198">
        <v>49</v>
      </c>
      <c r="P198">
        <v>49</v>
      </c>
    </row>
    <row r="199" spans="1:16" x14ac:dyDescent="0.25">
      <c r="A199" s="6">
        <v>197</v>
      </c>
      <c r="B199" s="9">
        <v>40552</v>
      </c>
      <c r="C199" s="6">
        <v>1</v>
      </c>
      <c r="D199" s="6">
        <v>0</v>
      </c>
      <c r="E199" s="6">
        <v>1</v>
      </c>
      <c r="F199" s="6">
        <v>11</v>
      </c>
      <c r="G199" s="6" t="b">
        <v>0</v>
      </c>
      <c r="H199" s="6">
        <v>0</v>
      </c>
      <c r="I199" s="6">
        <v>1</v>
      </c>
      <c r="J199" s="6">
        <v>0.16</v>
      </c>
      <c r="K199">
        <v>0.1212</v>
      </c>
      <c r="L199">
        <v>0.4</v>
      </c>
      <c r="M199">
        <v>0.52239999999999998</v>
      </c>
      <c r="N199">
        <v>2</v>
      </c>
      <c r="O199">
        <v>47</v>
      </c>
      <c r="P199">
        <v>49</v>
      </c>
    </row>
    <row r="200" spans="1:16" x14ac:dyDescent="0.25">
      <c r="A200" s="6">
        <v>198</v>
      </c>
      <c r="B200" s="9">
        <v>40552</v>
      </c>
      <c r="C200" s="6">
        <v>1</v>
      </c>
      <c r="D200" s="6">
        <v>0</v>
      </c>
      <c r="E200" s="6">
        <v>1</v>
      </c>
      <c r="F200" s="6">
        <v>12</v>
      </c>
      <c r="G200" s="6" t="b">
        <v>0</v>
      </c>
      <c r="H200" s="6">
        <v>0</v>
      </c>
      <c r="I200" s="6">
        <v>1</v>
      </c>
      <c r="J200" s="6">
        <v>0.18</v>
      </c>
      <c r="K200">
        <v>0.13639999999999999</v>
      </c>
      <c r="L200">
        <v>0.37</v>
      </c>
      <c r="M200">
        <v>0.44779999999999998</v>
      </c>
      <c r="N200">
        <v>4</v>
      </c>
      <c r="O200">
        <v>79</v>
      </c>
      <c r="P200">
        <v>83</v>
      </c>
    </row>
    <row r="201" spans="1:16" x14ac:dyDescent="0.25">
      <c r="A201" s="6">
        <v>199</v>
      </c>
      <c r="B201" s="9">
        <v>40552</v>
      </c>
      <c r="C201" s="6">
        <v>1</v>
      </c>
      <c r="D201" s="6">
        <v>0</v>
      </c>
      <c r="E201" s="6">
        <v>1</v>
      </c>
      <c r="F201" s="6">
        <v>13</v>
      </c>
      <c r="G201" s="6" t="b">
        <v>0</v>
      </c>
      <c r="H201" s="6">
        <v>0</v>
      </c>
      <c r="I201" s="6">
        <v>1</v>
      </c>
      <c r="J201" s="6">
        <v>0.2</v>
      </c>
      <c r="K201">
        <v>0.16669999999999999</v>
      </c>
      <c r="L201">
        <v>0.34</v>
      </c>
      <c r="M201">
        <v>0.44779999999999998</v>
      </c>
      <c r="N201">
        <v>6</v>
      </c>
      <c r="O201">
        <v>69</v>
      </c>
      <c r="P201">
        <v>75</v>
      </c>
    </row>
    <row r="202" spans="1:16" x14ac:dyDescent="0.25">
      <c r="A202" s="6">
        <v>200</v>
      </c>
      <c r="B202" s="9">
        <v>40552</v>
      </c>
      <c r="C202" s="6">
        <v>1</v>
      </c>
      <c r="D202" s="6">
        <v>0</v>
      </c>
      <c r="E202" s="6">
        <v>1</v>
      </c>
      <c r="F202" s="6">
        <v>14</v>
      </c>
      <c r="G202" s="6" t="b">
        <v>0</v>
      </c>
      <c r="H202" s="6">
        <v>0</v>
      </c>
      <c r="I202" s="6">
        <v>1</v>
      </c>
      <c r="J202" s="6">
        <v>0.22</v>
      </c>
      <c r="K202">
        <v>0.18179999999999999</v>
      </c>
      <c r="L202">
        <v>0.32</v>
      </c>
      <c r="M202">
        <v>0.4627</v>
      </c>
      <c r="N202">
        <v>8</v>
      </c>
      <c r="O202">
        <v>64</v>
      </c>
      <c r="P202">
        <v>72</v>
      </c>
    </row>
    <row r="203" spans="1:16" x14ac:dyDescent="0.25">
      <c r="A203" s="6">
        <v>201</v>
      </c>
      <c r="B203" s="9">
        <v>40552</v>
      </c>
      <c r="C203" s="6">
        <v>1</v>
      </c>
      <c r="D203" s="6">
        <v>0</v>
      </c>
      <c r="E203" s="6">
        <v>1</v>
      </c>
      <c r="F203" s="6">
        <v>15</v>
      </c>
      <c r="G203" s="6" t="b">
        <v>0</v>
      </c>
      <c r="H203" s="6">
        <v>0</v>
      </c>
      <c r="I203" s="6">
        <v>1</v>
      </c>
      <c r="J203" s="6">
        <v>0.22</v>
      </c>
      <c r="K203">
        <v>0.19700000000000001</v>
      </c>
      <c r="L203">
        <v>0.35</v>
      </c>
      <c r="M203">
        <v>0.35820000000000002</v>
      </c>
      <c r="N203">
        <v>5</v>
      </c>
      <c r="O203">
        <v>77</v>
      </c>
      <c r="P203">
        <v>82</v>
      </c>
    </row>
    <row r="204" spans="1:16" x14ac:dyDescent="0.25">
      <c r="A204" s="6">
        <v>202</v>
      </c>
      <c r="B204" s="9">
        <v>40552</v>
      </c>
      <c r="C204" s="6">
        <v>1</v>
      </c>
      <c r="D204" s="6">
        <v>0</v>
      </c>
      <c r="E204" s="6">
        <v>1</v>
      </c>
      <c r="F204" s="6">
        <v>16</v>
      </c>
      <c r="G204" s="6" t="b">
        <v>0</v>
      </c>
      <c r="H204" s="6">
        <v>0</v>
      </c>
      <c r="I204" s="6">
        <v>1</v>
      </c>
      <c r="J204" s="6">
        <v>0.2</v>
      </c>
      <c r="K204">
        <v>0.16669999999999999</v>
      </c>
      <c r="L204">
        <v>0.34</v>
      </c>
      <c r="M204">
        <v>0.44779999999999998</v>
      </c>
      <c r="N204">
        <v>13</v>
      </c>
      <c r="O204">
        <v>79</v>
      </c>
      <c r="P204">
        <v>92</v>
      </c>
    </row>
    <row r="205" spans="1:16" x14ac:dyDescent="0.25">
      <c r="A205" s="6">
        <v>203</v>
      </c>
      <c r="B205" s="9">
        <v>40552</v>
      </c>
      <c r="C205" s="6">
        <v>1</v>
      </c>
      <c r="D205" s="6">
        <v>0</v>
      </c>
      <c r="E205" s="6">
        <v>1</v>
      </c>
      <c r="F205" s="6">
        <v>17</v>
      </c>
      <c r="G205" s="6" t="b">
        <v>0</v>
      </c>
      <c r="H205" s="6">
        <v>0</v>
      </c>
      <c r="I205" s="6">
        <v>1</v>
      </c>
      <c r="J205" s="6">
        <v>0.18</v>
      </c>
      <c r="K205">
        <v>0.1515</v>
      </c>
      <c r="L205">
        <v>0.37</v>
      </c>
      <c r="M205">
        <v>0.3881</v>
      </c>
      <c r="N205">
        <v>3</v>
      </c>
      <c r="O205">
        <v>59</v>
      </c>
      <c r="P205">
        <v>62</v>
      </c>
    </row>
    <row r="206" spans="1:16" x14ac:dyDescent="0.25">
      <c r="A206" s="6">
        <v>204</v>
      </c>
      <c r="B206" s="9">
        <v>40552</v>
      </c>
      <c r="C206" s="6">
        <v>1</v>
      </c>
      <c r="D206" s="6">
        <v>0</v>
      </c>
      <c r="E206" s="6">
        <v>1</v>
      </c>
      <c r="F206" s="6">
        <v>18</v>
      </c>
      <c r="G206" s="6" t="b">
        <v>0</v>
      </c>
      <c r="H206" s="6">
        <v>0</v>
      </c>
      <c r="I206" s="6">
        <v>1</v>
      </c>
      <c r="J206" s="6">
        <v>0.16</v>
      </c>
      <c r="K206">
        <v>0.13639999999999999</v>
      </c>
      <c r="L206">
        <v>0.4</v>
      </c>
      <c r="M206">
        <v>0.32840000000000003</v>
      </c>
      <c r="N206">
        <v>4</v>
      </c>
      <c r="O206">
        <v>44</v>
      </c>
      <c r="P206">
        <v>48</v>
      </c>
    </row>
    <row r="207" spans="1:16" x14ac:dyDescent="0.25">
      <c r="A207" s="6">
        <v>205</v>
      </c>
      <c r="B207" s="9">
        <v>40552</v>
      </c>
      <c r="C207" s="6">
        <v>1</v>
      </c>
      <c r="D207" s="6">
        <v>0</v>
      </c>
      <c r="E207" s="6">
        <v>1</v>
      </c>
      <c r="F207" s="6">
        <v>19</v>
      </c>
      <c r="G207" s="6" t="b">
        <v>0</v>
      </c>
      <c r="H207" s="6">
        <v>0</v>
      </c>
      <c r="I207" s="6">
        <v>1</v>
      </c>
      <c r="J207" s="6">
        <v>0.16</v>
      </c>
      <c r="K207">
        <v>0.13639999999999999</v>
      </c>
      <c r="L207">
        <v>0.43</v>
      </c>
      <c r="M207">
        <v>0.32840000000000003</v>
      </c>
      <c r="N207">
        <v>1</v>
      </c>
      <c r="O207">
        <v>40</v>
      </c>
      <c r="P207">
        <v>41</v>
      </c>
    </row>
    <row r="208" spans="1:16" x14ac:dyDescent="0.25">
      <c r="A208" s="6">
        <v>206</v>
      </c>
      <c r="B208" s="9">
        <v>40552</v>
      </c>
      <c r="C208" s="6">
        <v>1</v>
      </c>
      <c r="D208" s="6">
        <v>0</v>
      </c>
      <c r="E208" s="6">
        <v>1</v>
      </c>
      <c r="F208" s="6">
        <v>20</v>
      </c>
      <c r="G208" s="6" t="b">
        <v>0</v>
      </c>
      <c r="H208" s="6">
        <v>0</v>
      </c>
      <c r="I208" s="6">
        <v>1</v>
      </c>
      <c r="J208" s="6">
        <v>0.14000000000000001</v>
      </c>
      <c r="K208">
        <v>0.1212</v>
      </c>
      <c r="L208">
        <v>0.46</v>
      </c>
      <c r="M208">
        <v>0.25369999999999998</v>
      </c>
      <c r="N208">
        <v>0</v>
      </c>
      <c r="O208">
        <v>38</v>
      </c>
      <c r="P208">
        <v>38</v>
      </c>
    </row>
    <row r="209" spans="1:16" x14ac:dyDescent="0.25">
      <c r="A209" s="6">
        <v>207</v>
      </c>
      <c r="B209" s="9">
        <v>40552</v>
      </c>
      <c r="C209" s="6">
        <v>1</v>
      </c>
      <c r="D209" s="6">
        <v>0</v>
      </c>
      <c r="E209" s="6">
        <v>1</v>
      </c>
      <c r="F209" s="6">
        <v>21</v>
      </c>
      <c r="G209" s="6" t="b">
        <v>0</v>
      </c>
      <c r="H209" s="6">
        <v>0</v>
      </c>
      <c r="I209" s="6">
        <v>1</v>
      </c>
      <c r="J209" s="6">
        <v>0.14000000000000001</v>
      </c>
      <c r="K209">
        <v>0.1061</v>
      </c>
      <c r="L209">
        <v>0.46</v>
      </c>
      <c r="M209">
        <v>0.41789999999999999</v>
      </c>
      <c r="N209">
        <v>1</v>
      </c>
      <c r="O209">
        <v>19</v>
      </c>
      <c r="P209">
        <v>20</v>
      </c>
    </row>
    <row r="210" spans="1:16" x14ac:dyDescent="0.25">
      <c r="A210" s="6">
        <v>208</v>
      </c>
      <c r="B210" s="9">
        <v>40552</v>
      </c>
      <c r="C210" s="6">
        <v>1</v>
      </c>
      <c r="D210" s="6">
        <v>0</v>
      </c>
      <c r="E210" s="6">
        <v>1</v>
      </c>
      <c r="F210" s="6">
        <v>22</v>
      </c>
      <c r="G210" s="6" t="b">
        <v>0</v>
      </c>
      <c r="H210" s="6">
        <v>0</v>
      </c>
      <c r="I210" s="6">
        <v>1</v>
      </c>
      <c r="J210" s="6">
        <v>0.14000000000000001</v>
      </c>
      <c r="K210">
        <v>0.1212</v>
      </c>
      <c r="L210">
        <v>0.46</v>
      </c>
      <c r="M210">
        <v>0.29849999999999999</v>
      </c>
      <c r="N210">
        <v>5</v>
      </c>
      <c r="O210">
        <v>10</v>
      </c>
      <c r="P210">
        <v>15</v>
      </c>
    </row>
    <row r="211" spans="1:16" x14ac:dyDescent="0.25">
      <c r="A211" s="6">
        <v>209</v>
      </c>
      <c r="B211" s="9">
        <v>40552</v>
      </c>
      <c r="C211" s="6">
        <v>1</v>
      </c>
      <c r="D211" s="6">
        <v>0</v>
      </c>
      <c r="E211" s="6">
        <v>1</v>
      </c>
      <c r="F211" s="6">
        <v>23</v>
      </c>
      <c r="G211" s="6" t="b">
        <v>0</v>
      </c>
      <c r="H211" s="6">
        <v>0</v>
      </c>
      <c r="I211" s="6">
        <v>1</v>
      </c>
      <c r="J211" s="6">
        <v>0.12</v>
      </c>
      <c r="K211">
        <v>0.13639999999999999</v>
      </c>
      <c r="L211">
        <v>0.5</v>
      </c>
      <c r="M211">
        <v>0.19400000000000001</v>
      </c>
      <c r="N211">
        <v>0</v>
      </c>
      <c r="O211">
        <v>6</v>
      </c>
      <c r="P211">
        <v>6</v>
      </c>
    </row>
    <row r="212" spans="1:16" x14ac:dyDescent="0.25">
      <c r="A212" s="6">
        <v>210</v>
      </c>
      <c r="B212" s="9">
        <v>40553</v>
      </c>
      <c r="C212" s="6">
        <v>1</v>
      </c>
      <c r="D212" s="6">
        <v>0</v>
      </c>
      <c r="E212" s="6">
        <v>1</v>
      </c>
      <c r="F212" s="6">
        <v>0</v>
      </c>
      <c r="G212" s="6" t="b">
        <v>0</v>
      </c>
      <c r="H212" s="6">
        <v>1</v>
      </c>
      <c r="I212" s="6">
        <v>1</v>
      </c>
      <c r="J212" s="6">
        <v>0.12</v>
      </c>
      <c r="K212">
        <v>0.1212</v>
      </c>
      <c r="L212">
        <v>0.5</v>
      </c>
      <c r="M212">
        <v>0.28360000000000002</v>
      </c>
      <c r="N212">
        <v>2</v>
      </c>
      <c r="O212">
        <v>3</v>
      </c>
      <c r="P212">
        <v>5</v>
      </c>
    </row>
    <row r="213" spans="1:16" x14ac:dyDescent="0.25">
      <c r="A213" s="6">
        <v>211</v>
      </c>
      <c r="B213" s="9">
        <v>40553</v>
      </c>
      <c r="C213" s="6">
        <v>1</v>
      </c>
      <c r="D213" s="6">
        <v>0</v>
      </c>
      <c r="E213" s="6">
        <v>1</v>
      </c>
      <c r="F213" s="6">
        <v>1</v>
      </c>
      <c r="G213" s="6" t="b">
        <v>0</v>
      </c>
      <c r="H213" s="6">
        <v>1</v>
      </c>
      <c r="I213" s="6">
        <v>1</v>
      </c>
      <c r="J213" s="6">
        <v>0.12</v>
      </c>
      <c r="K213">
        <v>0.1212</v>
      </c>
      <c r="L213">
        <v>0.5</v>
      </c>
      <c r="M213">
        <v>0.28360000000000002</v>
      </c>
      <c r="N213">
        <v>1</v>
      </c>
      <c r="O213">
        <v>0</v>
      </c>
      <c r="P213">
        <v>1</v>
      </c>
    </row>
    <row r="214" spans="1:16" x14ac:dyDescent="0.25">
      <c r="A214" s="6">
        <v>212</v>
      </c>
      <c r="B214" s="9">
        <v>40553</v>
      </c>
      <c r="C214" s="6">
        <v>1</v>
      </c>
      <c r="D214" s="6">
        <v>0</v>
      </c>
      <c r="E214" s="6">
        <v>1</v>
      </c>
      <c r="F214" s="6">
        <v>2</v>
      </c>
      <c r="G214" s="6" t="b">
        <v>0</v>
      </c>
      <c r="H214" s="6">
        <v>1</v>
      </c>
      <c r="I214" s="6">
        <v>1</v>
      </c>
      <c r="J214" s="6">
        <v>0.12</v>
      </c>
      <c r="K214">
        <v>0.1212</v>
      </c>
      <c r="L214">
        <v>0.5</v>
      </c>
      <c r="M214">
        <v>0.22389999999999999</v>
      </c>
      <c r="N214">
        <v>0</v>
      </c>
      <c r="O214">
        <v>3</v>
      </c>
      <c r="P214">
        <v>3</v>
      </c>
    </row>
    <row r="215" spans="1:16" x14ac:dyDescent="0.25">
      <c r="A215" s="6">
        <v>213</v>
      </c>
      <c r="B215" s="9">
        <v>40553</v>
      </c>
      <c r="C215" s="6">
        <v>1</v>
      </c>
      <c r="D215" s="6">
        <v>0</v>
      </c>
      <c r="E215" s="6">
        <v>1</v>
      </c>
      <c r="F215" s="6">
        <v>3</v>
      </c>
      <c r="G215" s="6" t="b">
        <v>0</v>
      </c>
      <c r="H215" s="6">
        <v>1</v>
      </c>
      <c r="I215" s="6">
        <v>1</v>
      </c>
      <c r="J215" s="6">
        <v>0.12</v>
      </c>
      <c r="K215">
        <v>0.1212</v>
      </c>
      <c r="L215">
        <v>0.5</v>
      </c>
      <c r="M215">
        <v>0.22389999999999999</v>
      </c>
      <c r="N215">
        <v>0</v>
      </c>
      <c r="O215">
        <v>1</v>
      </c>
      <c r="P215">
        <v>1</v>
      </c>
    </row>
    <row r="216" spans="1:16" x14ac:dyDescent="0.25">
      <c r="A216" s="6">
        <v>214</v>
      </c>
      <c r="B216" s="9">
        <v>40553</v>
      </c>
      <c r="C216" s="6">
        <v>1</v>
      </c>
      <c r="D216" s="6">
        <v>0</v>
      </c>
      <c r="E216" s="6">
        <v>1</v>
      </c>
      <c r="F216" s="6">
        <v>4</v>
      </c>
      <c r="G216" s="6" t="b">
        <v>0</v>
      </c>
      <c r="H216" s="6">
        <v>1</v>
      </c>
      <c r="I216" s="6">
        <v>1</v>
      </c>
      <c r="J216" s="6">
        <v>0.1</v>
      </c>
      <c r="K216">
        <v>0.1212</v>
      </c>
      <c r="L216">
        <v>0.54</v>
      </c>
      <c r="M216">
        <v>0.1343</v>
      </c>
      <c r="N216">
        <v>1</v>
      </c>
      <c r="O216">
        <v>2</v>
      </c>
      <c r="P216">
        <v>3</v>
      </c>
    </row>
    <row r="217" spans="1:16" x14ac:dyDescent="0.25">
      <c r="A217" s="6">
        <v>215</v>
      </c>
      <c r="B217" s="9">
        <v>40553</v>
      </c>
      <c r="C217" s="6">
        <v>1</v>
      </c>
      <c r="D217" s="6">
        <v>0</v>
      </c>
      <c r="E217" s="6">
        <v>1</v>
      </c>
      <c r="F217" s="6">
        <v>5</v>
      </c>
      <c r="G217" s="6" t="b">
        <v>0</v>
      </c>
      <c r="H217" s="6">
        <v>1</v>
      </c>
      <c r="I217" s="6">
        <v>1</v>
      </c>
      <c r="J217" s="6">
        <v>0.1</v>
      </c>
      <c r="K217">
        <v>0.1061</v>
      </c>
      <c r="L217">
        <v>0.54</v>
      </c>
      <c r="M217">
        <v>0.25369999999999998</v>
      </c>
      <c r="N217">
        <v>0</v>
      </c>
      <c r="O217">
        <v>3</v>
      </c>
      <c r="P217">
        <v>3</v>
      </c>
    </row>
    <row r="218" spans="1:16" x14ac:dyDescent="0.25">
      <c r="A218" s="6">
        <v>216</v>
      </c>
      <c r="B218" s="9">
        <v>40553</v>
      </c>
      <c r="C218" s="6">
        <v>1</v>
      </c>
      <c r="D218" s="6">
        <v>0</v>
      </c>
      <c r="E218" s="6">
        <v>1</v>
      </c>
      <c r="F218" s="6">
        <v>6</v>
      </c>
      <c r="G218" s="6" t="b">
        <v>0</v>
      </c>
      <c r="H218" s="6">
        <v>1</v>
      </c>
      <c r="I218" s="6">
        <v>1</v>
      </c>
      <c r="J218" s="6">
        <v>0.12</v>
      </c>
      <c r="K218">
        <v>0.1212</v>
      </c>
      <c r="L218">
        <v>0.5</v>
      </c>
      <c r="M218">
        <v>0.28360000000000002</v>
      </c>
      <c r="N218">
        <v>0</v>
      </c>
      <c r="O218">
        <v>31</v>
      </c>
      <c r="P218">
        <v>31</v>
      </c>
    </row>
    <row r="219" spans="1:16" x14ac:dyDescent="0.25">
      <c r="A219" s="6">
        <v>217</v>
      </c>
      <c r="B219" s="9">
        <v>40553</v>
      </c>
      <c r="C219" s="6">
        <v>1</v>
      </c>
      <c r="D219" s="6">
        <v>0</v>
      </c>
      <c r="E219" s="6">
        <v>1</v>
      </c>
      <c r="F219" s="6">
        <v>7</v>
      </c>
      <c r="G219" s="6" t="b">
        <v>0</v>
      </c>
      <c r="H219" s="6">
        <v>1</v>
      </c>
      <c r="I219" s="6">
        <v>1</v>
      </c>
      <c r="J219" s="6">
        <v>0.12</v>
      </c>
      <c r="K219">
        <v>0.1212</v>
      </c>
      <c r="L219">
        <v>0.5</v>
      </c>
      <c r="M219">
        <v>0.22389999999999999</v>
      </c>
      <c r="N219">
        <v>2</v>
      </c>
      <c r="O219">
        <v>75</v>
      </c>
      <c r="P219">
        <v>77</v>
      </c>
    </row>
    <row r="220" spans="1:16" x14ac:dyDescent="0.25">
      <c r="A220" s="6">
        <v>218</v>
      </c>
      <c r="B220" s="9">
        <v>40553</v>
      </c>
      <c r="C220" s="6">
        <v>1</v>
      </c>
      <c r="D220" s="6">
        <v>0</v>
      </c>
      <c r="E220" s="6">
        <v>1</v>
      </c>
      <c r="F220" s="6">
        <v>8</v>
      </c>
      <c r="G220" s="6" t="b">
        <v>0</v>
      </c>
      <c r="H220" s="6">
        <v>1</v>
      </c>
      <c r="I220" s="6">
        <v>2</v>
      </c>
      <c r="J220" s="6">
        <v>0.12</v>
      </c>
      <c r="K220">
        <v>0.1212</v>
      </c>
      <c r="L220">
        <v>0.5</v>
      </c>
      <c r="M220">
        <v>0.28360000000000002</v>
      </c>
      <c r="N220">
        <v>4</v>
      </c>
      <c r="O220">
        <v>184</v>
      </c>
      <c r="P220">
        <v>188</v>
      </c>
    </row>
    <row r="221" spans="1:16" x14ac:dyDescent="0.25">
      <c r="A221" s="6">
        <v>219</v>
      </c>
      <c r="B221" s="9">
        <v>40553</v>
      </c>
      <c r="C221" s="6">
        <v>1</v>
      </c>
      <c r="D221" s="6">
        <v>0</v>
      </c>
      <c r="E221" s="6">
        <v>1</v>
      </c>
      <c r="F221" s="6">
        <v>9</v>
      </c>
      <c r="G221" s="6" t="b">
        <v>0</v>
      </c>
      <c r="H221" s="6">
        <v>1</v>
      </c>
      <c r="I221" s="6">
        <v>2</v>
      </c>
      <c r="J221" s="6">
        <v>0.14000000000000001</v>
      </c>
      <c r="K221">
        <v>0.1212</v>
      </c>
      <c r="L221">
        <v>0.5</v>
      </c>
      <c r="M221">
        <v>0.25369999999999998</v>
      </c>
      <c r="N221">
        <v>2</v>
      </c>
      <c r="O221">
        <v>92</v>
      </c>
      <c r="P221">
        <v>94</v>
      </c>
    </row>
    <row r="222" spans="1:16" x14ac:dyDescent="0.25">
      <c r="A222" s="6">
        <v>220</v>
      </c>
      <c r="B222" s="9">
        <v>40553</v>
      </c>
      <c r="C222" s="6">
        <v>1</v>
      </c>
      <c r="D222" s="6">
        <v>0</v>
      </c>
      <c r="E222" s="6">
        <v>1</v>
      </c>
      <c r="F222" s="6">
        <v>10</v>
      </c>
      <c r="G222" s="6" t="b">
        <v>0</v>
      </c>
      <c r="H222" s="6">
        <v>1</v>
      </c>
      <c r="I222" s="6">
        <v>2</v>
      </c>
      <c r="J222" s="6">
        <v>0.14000000000000001</v>
      </c>
      <c r="K222">
        <v>0.1212</v>
      </c>
      <c r="L222">
        <v>0.5</v>
      </c>
      <c r="M222">
        <v>0.29849999999999999</v>
      </c>
      <c r="N222">
        <v>0</v>
      </c>
      <c r="O222">
        <v>31</v>
      </c>
      <c r="P222">
        <v>31</v>
      </c>
    </row>
    <row r="223" spans="1:16" x14ac:dyDescent="0.25">
      <c r="A223" s="6">
        <v>221</v>
      </c>
      <c r="B223" s="9">
        <v>40553</v>
      </c>
      <c r="C223" s="6">
        <v>1</v>
      </c>
      <c r="D223" s="6">
        <v>0</v>
      </c>
      <c r="E223" s="6">
        <v>1</v>
      </c>
      <c r="F223" s="6">
        <v>11</v>
      </c>
      <c r="G223" s="6" t="b">
        <v>0</v>
      </c>
      <c r="H223" s="6">
        <v>1</v>
      </c>
      <c r="I223" s="6">
        <v>2</v>
      </c>
      <c r="J223" s="6">
        <v>0.16</v>
      </c>
      <c r="K223">
        <v>0.13639999999999999</v>
      </c>
      <c r="L223">
        <v>0.47</v>
      </c>
      <c r="M223">
        <v>0.28360000000000002</v>
      </c>
      <c r="N223">
        <v>2</v>
      </c>
      <c r="O223">
        <v>28</v>
      </c>
      <c r="P223">
        <v>30</v>
      </c>
    </row>
    <row r="224" spans="1:16" x14ac:dyDescent="0.25">
      <c r="A224" s="6">
        <v>222</v>
      </c>
      <c r="B224" s="9">
        <v>40553</v>
      </c>
      <c r="C224" s="6">
        <v>1</v>
      </c>
      <c r="D224" s="6">
        <v>0</v>
      </c>
      <c r="E224" s="6">
        <v>1</v>
      </c>
      <c r="F224" s="6">
        <v>12</v>
      </c>
      <c r="G224" s="6" t="b">
        <v>0</v>
      </c>
      <c r="H224" s="6">
        <v>1</v>
      </c>
      <c r="I224" s="6">
        <v>2</v>
      </c>
      <c r="J224" s="6">
        <v>0.2</v>
      </c>
      <c r="K224">
        <v>0.18179999999999999</v>
      </c>
      <c r="L224">
        <v>0.4</v>
      </c>
      <c r="M224">
        <v>0.28360000000000002</v>
      </c>
      <c r="N224">
        <v>5</v>
      </c>
      <c r="O224">
        <v>47</v>
      </c>
      <c r="P224">
        <v>52</v>
      </c>
    </row>
    <row r="225" spans="1:16" x14ac:dyDescent="0.25">
      <c r="A225" s="6">
        <v>223</v>
      </c>
      <c r="B225" s="9">
        <v>40553</v>
      </c>
      <c r="C225" s="6">
        <v>1</v>
      </c>
      <c r="D225" s="6">
        <v>0</v>
      </c>
      <c r="E225" s="6">
        <v>1</v>
      </c>
      <c r="F225" s="6">
        <v>13</v>
      </c>
      <c r="G225" s="6" t="b">
        <v>0</v>
      </c>
      <c r="H225" s="6">
        <v>1</v>
      </c>
      <c r="I225" s="6">
        <v>2</v>
      </c>
      <c r="J225" s="6">
        <v>0.2</v>
      </c>
      <c r="K225">
        <v>0.18179999999999999</v>
      </c>
      <c r="L225">
        <v>0.4</v>
      </c>
      <c r="M225">
        <v>0.28360000000000002</v>
      </c>
      <c r="N225">
        <v>4</v>
      </c>
      <c r="O225">
        <v>50</v>
      </c>
      <c r="P225">
        <v>54</v>
      </c>
    </row>
    <row r="226" spans="1:16" x14ac:dyDescent="0.25">
      <c r="A226" s="6">
        <v>224</v>
      </c>
      <c r="B226" s="9">
        <v>40553</v>
      </c>
      <c r="C226" s="6">
        <v>1</v>
      </c>
      <c r="D226" s="6">
        <v>0</v>
      </c>
      <c r="E226" s="6">
        <v>1</v>
      </c>
      <c r="F226" s="6">
        <v>14</v>
      </c>
      <c r="G226" s="6" t="b">
        <v>0</v>
      </c>
      <c r="H226" s="6">
        <v>1</v>
      </c>
      <c r="I226" s="6">
        <v>2</v>
      </c>
      <c r="J226" s="6">
        <v>0.2</v>
      </c>
      <c r="K226">
        <v>0.19700000000000001</v>
      </c>
      <c r="L226">
        <v>0.4</v>
      </c>
      <c r="M226">
        <v>0.22389999999999999</v>
      </c>
      <c r="N226">
        <v>0</v>
      </c>
      <c r="O226">
        <v>47</v>
      </c>
      <c r="P226">
        <v>47</v>
      </c>
    </row>
    <row r="227" spans="1:16" x14ac:dyDescent="0.25">
      <c r="A227" s="6">
        <v>225</v>
      </c>
      <c r="B227" s="9">
        <v>40553</v>
      </c>
      <c r="C227" s="6">
        <v>1</v>
      </c>
      <c r="D227" s="6">
        <v>0</v>
      </c>
      <c r="E227" s="6">
        <v>1</v>
      </c>
      <c r="F227" s="6">
        <v>15</v>
      </c>
      <c r="G227" s="6" t="b">
        <v>0</v>
      </c>
      <c r="H227" s="6">
        <v>1</v>
      </c>
      <c r="I227" s="6">
        <v>2</v>
      </c>
      <c r="J227" s="6">
        <v>0.2</v>
      </c>
      <c r="K227">
        <v>0.19700000000000001</v>
      </c>
      <c r="L227">
        <v>0.4</v>
      </c>
      <c r="M227">
        <v>0.22389999999999999</v>
      </c>
      <c r="N227">
        <v>2</v>
      </c>
      <c r="O227">
        <v>43</v>
      </c>
      <c r="P227">
        <v>45</v>
      </c>
    </row>
    <row r="228" spans="1:16" x14ac:dyDescent="0.25">
      <c r="A228" s="6">
        <v>226</v>
      </c>
      <c r="B228" s="9">
        <v>40553</v>
      </c>
      <c r="C228" s="6">
        <v>1</v>
      </c>
      <c r="D228" s="6">
        <v>0</v>
      </c>
      <c r="E228" s="6">
        <v>1</v>
      </c>
      <c r="F228" s="6">
        <v>16</v>
      </c>
      <c r="G228" s="6" t="b">
        <v>0</v>
      </c>
      <c r="H228" s="6">
        <v>1</v>
      </c>
      <c r="I228" s="6">
        <v>1</v>
      </c>
      <c r="J228" s="6">
        <v>0.2</v>
      </c>
      <c r="K228">
        <v>0.21210000000000001</v>
      </c>
      <c r="L228">
        <v>0.4</v>
      </c>
      <c r="M228">
        <v>0.1343</v>
      </c>
      <c r="N228">
        <v>4</v>
      </c>
      <c r="O228">
        <v>70</v>
      </c>
      <c r="P228">
        <v>74</v>
      </c>
    </row>
    <row r="229" spans="1:16" x14ac:dyDescent="0.25">
      <c r="A229" s="6">
        <v>227</v>
      </c>
      <c r="B229" s="9">
        <v>40553</v>
      </c>
      <c r="C229" s="6">
        <v>1</v>
      </c>
      <c r="D229" s="6">
        <v>0</v>
      </c>
      <c r="E229" s="6">
        <v>1</v>
      </c>
      <c r="F229" s="6">
        <v>17</v>
      </c>
      <c r="G229" s="6" t="b">
        <v>0</v>
      </c>
      <c r="H229" s="6">
        <v>1</v>
      </c>
      <c r="I229" s="6">
        <v>1</v>
      </c>
      <c r="J229" s="6">
        <v>0.2</v>
      </c>
      <c r="K229">
        <v>0.2273</v>
      </c>
      <c r="L229">
        <v>0.4</v>
      </c>
      <c r="M229">
        <v>0.1045</v>
      </c>
      <c r="N229">
        <v>4</v>
      </c>
      <c r="O229">
        <v>174</v>
      </c>
      <c r="P229">
        <v>178</v>
      </c>
    </row>
    <row r="230" spans="1:16" x14ac:dyDescent="0.25">
      <c r="A230" s="6">
        <v>228</v>
      </c>
      <c r="B230" s="9">
        <v>40553</v>
      </c>
      <c r="C230" s="6">
        <v>1</v>
      </c>
      <c r="D230" s="6">
        <v>0</v>
      </c>
      <c r="E230" s="6">
        <v>1</v>
      </c>
      <c r="F230" s="6">
        <v>18</v>
      </c>
      <c r="G230" s="6" t="b">
        <v>0</v>
      </c>
      <c r="H230" s="6">
        <v>1</v>
      </c>
      <c r="I230" s="6">
        <v>1</v>
      </c>
      <c r="J230" s="6">
        <v>0.2</v>
      </c>
      <c r="K230">
        <v>0.19700000000000001</v>
      </c>
      <c r="L230">
        <v>0.4</v>
      </c>
      <c r="M230">
        <v>0.22389999999999999</v>
      </c>
      <c r="N230">
        <v>1</v>
      </c>
      <c r="O230">
        <v>154</v>
      </c>
      <c r="P230">
        <v>155</v>
      </c>
    </row>
    <row r="231" spans="1:16" x14ac:dyDescent="0.25">
      <c r="A231" s="6">
        <v>229</v>
      </c>
      <c r="B231" s="9">
        <v>40553</v>
      </c>
      <c r="C231" s="6">
        <v>1</v>
      </c>
      <c r="D231" s="6">
        <v>0</v>
      </c>
      <c r="E231" s="6">
        <v>1</v>
      </c>
      <c r="F231" s="6">
        <v>19</v>
      </c>
      <c r="G231" s="6" t="b">
        <v>0</v>
      </c>
      <c r="H231" s="6">
        <v>1</v>
      </c>
      <c r="I231" s="6">
        <v>1</v>
      </c>
      <c r="J231" s="6">
        <v>0.16</v>
      </c>
      <c r="K231">
        <v>0.16669999999999999</v>
      </c>
      <c r="L231">
        <v>0.47</v>
      </c>
      <c r="M231">
        <v>0.16420000000000001</v>
      </c>
      <c r="N231">
        <v>3</v>
      </c>
      <c r="O231">
        <v>92</v>
      </c>
      <c r="P231">
        <v>95</v>
      </c>
    </row>
    <row r="232" spans="1:16" x14ac:dyDescent="0.25">
      <c r="A232" s="6">
        <v>230</v>
      </c>
      <c r="B232" s="9">
        <v>40553</v>
      </c>
      <c r="C232" s="6">
        <v>1</v>
      </c>
      <c r="D232" s="6">
        <v>0</v>
      </c>
      <c r="E232" s="6">
        <v>1</v>
      </c>
      <c r="F232" s="6">
        <v>20</v>
      </c>
      <c r="G232" s="6" t="b">
        <v>0</v>
      </c>
      <c r="H232" s="6">
        <v>1</v>
      </c>
      <c r="I232" s="6">
        <v>1</v>
      </c>
      <c r="J232" s="6">
        <v>0.16</v>
      </c>
      <c r="K232">
        <v>0.16669999999999999</v>
      </c>
      <c r="L232">
        <v>0.5</v>
      </c>
      <c r="M232">
        <v>0.16420000000000001</v>
      </c>
      <c r="N232">
        <v>1</v>
      </c>
      <c r="O232">
        <v>73</v>
      </c>
      <c r="P232">
        <v>74</v>
      </c>
    </row>
    <row r="233" spans="1:16" x14ac:dyDescent="0.25">
      <c r="A233" s="6">
        <v>231</v>
      </c>
      <c r="B233" s="9">
        <v>40553</v>
      </c>
      <c r="C233" s="6">
        <v>1</v>
      </c>
      <c r="D233" s="6">
        <v>0</v>
      </c>
      <c r="E233" s="6">
        <v>1</v>
      </c>
      <c r="F233" s="6">
        <v>21</v>
      </c>
      <c r="G233" s="6" t="b">
        <v>0</v>
      </c>
      <c r="H233" s="6">
        <v>1</v>
      </c>
      <c r="I233" s="6">
        <v>1</v>
      </c>
      <c r="J233" s="6">
        <v>0.14000000000000001</v>
      </c>
      <c r="K233">
        <v>0.13639999999999999</v>
      </c>
      <c r="L233">
        <v>0.59</v>
      </c>
      <c r="M233">
        <v>0.19400000000000001</v>
      </c>
      <c r="N233">
        <v>1</v>
      </c>
      <c r="O233">
        <v>37</v>
      </c>
      <c r="P233">
        <v>38</v>
      </c>
    </row>
    <row r="234" spans="1:16" x14ac:dyDescent="0.25">
      <c r="A234" s="6">
        <v>232</v>
      </c>
      <c r="B234" s="9">
        <v>40553</v>
      </c>
      <c r="C234" s="6">
        <v>1</v>
      </c>
      <c r="D234" s="6">
        <v>0</v>
      </c>
      <c r="E234" s="6">
        <v>1</v>
      </c>
      <c r="F234" s="6">
        <v>22</v>
      </c>
      <c r="G234" s="6" t="b">
        <v>0</v>
      </c>
      <c r="H234" s="6">
        <v>1</v>
      </c>
      <c r="I234" s="6">
        <v>1</v>
      </c>
      <c r="J234" s="6">
        <v>0.14000000000000001</v>
      </c>
      <c r="K234">
        <v>0.1515</v>
      </c>
      <c r="L234">
        <v>0.59</v>
      </c>
      <c r="M234">
        <v>0.16420000000000001</v>
      </c>
      <c r="N234">
        <v>2</v>
      </c>
      <c r="O234">
        <v>22</v>
      </c>
      <c r="P234">
        <v>24</v>
      </c>
    </row>
    <row r="235" spans="1:16" x14ac:dyDescent="0.25">
      <c r="A235" s="6">
        <v>233</v>
      </c>
      <c r="B235" s="9">
        <v>40553</v>
      </c>
      <c r="C235" s="6">
        <v>1</v>
      </c>
      <c r="D235" s="6">
        <v>0</v>
      </c>
      <c r="E235" s="6">
        <v>1</v>
      </c>
      <c r="F235" s="6">
        <v>23</v>
      </c>
      <c r="G235" s="6" t="b">
        <v>0</v>
      </c>
      <c r="H235" s="6">
        <v>1</v>
      </c>
      <c r="I235" s="6">
        <v>1</v>
      </c>
      <c r="J235" s="6">
        <v>0.14000000000000001</v>
      </c>
      <c r="K235">
        <v>0.1515</v>
      </c>
      <c r="L235">
        <v>0.59</v>
      </c>
      <c r="M235">
        <v>0.16420000000000001</v>
      </c>
      <c r="N235">
        <v>0</v>
      </c>
      <c r="O235">
        <v>18</v>
      </c>
      <c r="P235">
        <v>18</v>
      </c>
    </row>
    <row r="236" spans="1:16" x14ac:dyDescent="0.25">
      <c r="A236" s="6">
        <v>234</v>
      </c>
      <c r="B236" s="9">
        <v>40554</v>
      </c>
      <c r="C236" s="6">
        <v>1</v>
      </c>
      <c r="D236" s="6">
        <v>0</v>
      </c>
      <c r="E236" s="6">
        <v>1</v>
      </c>
      <c r="F236" s="6">
        <v>0</v>
      </c>
      <c r="G236" s="6" t="b">
        <v>0</v>
      </c>
      <c r="H236" s="6">
        <v>2</v>
      </c>
      <c r="I236" s="6">
        <v>1</v>
      </c>
      <c r="J236" s="6">
        <v>0.14000000000000001</v>
      </c>
      <c r="K236">
        <v>0.16669999999999999</v>
      </c>
      <c r="L236">
        <v>0.59</v>
      </c>
      <c r="M236">
        <v>0.1045</v>
      </c>
      <c r="N236">
        <v>2</v>
      </c>
      <c r="O236">
        <v>10</v>
      </c>
      <c r="P236">
        <v>12</v>
      </c>
    </row>
    <row r="237" spans="1:16" x14ac:dyDescent="0.25">
      <c r="A237" s="6">
        <v>235</v>
      </c>
      <c r="B237" s="9">
        <v>40554</v>
      </c>
      <c r="C237" s="6">
        <v>1</v>
      </c>
      <c r="D237" s="6">
        <v>0</v>
      </c>
      <c r="E237" s="6">
        <v>1</v>
      </c>
      <c r="F237" s="6">
        <v>1</v>
      </c>
      <c r="G237" s="6" t="b">
        <v>0</v>
      </c>
      <c r="H237" s="6">
        <v>2</v>
      </c>
      <c r="I237" s="6">
        <v>1</v>
      </c>
      <c r="J237" s="6">
        <v>0.14000000000000001</v>
      </c>
      <c r="K237">
        <v>0.1515</v>
      </c>
      <c r="L237">
        <v>0.59</v>
      </c>
      <c r="M237">
        <v>0.16420000000000001</v>
      </c>
      <c r="N237">
        <v>0</v>
      </c>
      <c r="O237">
        <v>3</v>
      </c>
      <c r="P237">
        <v>3</v>
      </c>
    </row>
    <row r="238" spans="1:16" x14ac:dyDescent="0.25">
      <c r="A238" s="6">
        <v>236</v>
      </c>
      <c r="B238" s="9">
        <v>40554</v>
      </c>
      <c r="C238" s="6">
        <v>1</v>
      </c>
      <c r="D238" s="6">
        <v>0</v>
      </c>
      <c r="E238" s="6">
        <v>1</v>
      </c>
      <c r="F238" s="6">
        <v>2</v>
      </c>
      <c r="G238" s="6" t="b">
        <v>0</v>
      </c>
      <c r="H238" s="6">
        <v>2</v>
      </c>
      <c r="I238" s="6">
        <v>2</v>
      </c>
      <c r="J238" s="6">
        <v>0.16</v>
      </c>
      <c r="K238">
        <v>0.1515</v>
      </c>
      <c r="L238">
        <v>0.55000000000000004</v>
      </c>
      <c r="M238">
        <v>0.19400000000000001</v>
      </c>
      <c r="N238">
        <v>0</v>
      </c>
      <c r="O238">
        <v>3</v>
      </c>
      <c r="P238">
        <v>3</v>
      </c>
    </row>
    <row r="239" spans="1:16" x14ac:dyDescent="0.25">
      <c r="A239" s="6">
        <v>237</v>
      </c>
      <c r="B239" s="9">
        <v>40554</v>
      </c>
      <c r="C239" s="6">
        <v>1</v>
      </c>
      <c r="D239" s="6">
        <v>0</v>
      </c>
      <c r="E239" s="6">
        <v>1</v>
      </c>
      <c r="F239" s="6">
        <v>5</v>
      </c>
      <c r="G239" s="6" t="b">
        <v>0</v>
      </c>
      <c r="H239" s="6">
        <v>2</v>
      </c>
      <c r="I239" s="6">
        <v>2</v>
      </c>
      <c r="J239" s="6">
        <v>0.16</v>
      </c>
      <c r="K239">
        <v>0.18179999999999999</v>
      </c>
      <c r="L239">
        <v>0.55000000000000004</v>
      </c>
      <c r="M239">
        <v>0.1343</v>
      </c>
      <c r="N239">
        <v>0</v>
      </c>
      <c r="O239">
        <v>6</v>
      </c>
      <c r="P239">
        <v>6</v>
      </c>
    </row>
    <row r="240" spans="1:16" x14ac:dyDescent="0.25">
      <c r="A240" s="6">
        <v>238</v>
      </c>
      <c r="B240" s="9">
        <v>40554</v>
      </c>
      <c r="C240" s="6">
        <v>1</v>
      </c>
      <c r="D240" s="6">
        <v>0</v>
      </c>
      <c r="E240" s="6">
        <v>1</v>
      </c>
      <c r="F240" s="6">
        <v>6</v>
      </c>
      <c r="G240" s="6" t="b">
        <v>0</v>
      </c>
      <c r="H240" s="6">
        <v>2</v>
      </c>
      <c r="I240" s="6">
        <v>2</v>
      </c>
      <c r="J240" s="6">
        <v>0.16</v>
      </c>
      <c r="K240">
        <v>0.18179999999999999</v>
      </c>
      <c r="L240">
        <v>0.55000000000000004</v>
      </c>
      <c r="M240">
        <v>0.1343</v>
      </c>
      <c r="N240">
        <v>0</v>
      </c>
      <c r="O240">
        <v>27</v>
      </c>
      <c r="P240">
        <v>27</v>
      </c>
    </row>
    <row r="241" spans="1:16" x14ac:dyDescent="0.25">
      <c r="A241" s="6">
        <v>239</v>
      </c>
      <c r="B241" s="9">
        <v>40554</v>
      </c>
      <c r="C241" s="6">
        <v>1</v>
      </c>
      <c r="D241" s="6">
        <v>0</v>
      </c>
      <c r="E241" s="6">
        <v>1</v>
      </c>
      <c r="F241" s="6">
        <v>7</v>
      </c>
      <c r="G241" s="6" t="b">
        <v>0</v>
      </c>
      <c r="H241" s="6">
        <v>2</v>
      </c>
      <c r="I241" s="6">
        <v>2</v>
      </c>
      <c r="J241" s="6">
        <v>0.16</v>
      </c>
      <c r="K241">
        <v>0.2273</v>
      </c>
      <c r="L241">
        <v>0.55000000000000004</v>
      </c>
      <c r="M241">
        <v>0</v>
      </c>
      <c r="N241">
        <v>2</v>
      </c>
      <c r="O241">
        <v>97</v>
      </c>
      <c r="P241">
        <v>99</v>
      </c>
    </row>
    <row r="242" spans="1:16" x14ac:dyDescent="0.25">
      <c r="A242" s="6">
        <v>240</v>
      </c>
      <c r="B242" s="9">
        <v>40554</v>
      </c>
      <c r="C242" s="6">
        <v>1</v>
      </c>
      <c r="D242" s="6">
        <v>0</v>
      </c>
      <c r="E242" s="6">
        <v>1</v>
      </c>
      <c r="F242" s="6">
        <v>8</v>
      </c>
      <c r="G242" s="6" t="b">
        <v>0</v>
      </c>
      <c r="H242" s="6">
        <v>2</v>
      </c>
      <c r="I242" s="6">
        <v>2</v>
      </c>
      <c r="J242" s="6">
        <v>0.18</v>
      </c>
      <c r="K242">
        <v>0.21210000000000001</v>
      </c>
      <c r="L242">
        <v>0.51</v>
      </c>
      <c r="M242">
        <v>8.9599999999999999E-2</v>
      </c>
      <c r="N242">
        <v>3</v>
      </c>
      <c r="O242">
        <v>214</v>
      </c>
      <c r="P242">
        <v>217</v>
      </c>
    </row>
    <row r="243" spans="1:16" x14ac:dyDescent="0.25">
      <c r="A243" s="6">
        <v>241</v>
      </c>
      <c r="B243" s="9">
        <v>40554</v>
      </c>
      <c r="C243" s="6">
        <v>1</v>
      </c>
      <c r="D243" s="6">
        <v>0</v>
      </c>
      <c r="E243" s="6">
        <v>1</v>
      </c>
      <c r="F243" s="6">
        <v>9</v>
      </c>
      <c r="G243" s="6" t="b">
        <v>0</v>
      </c>
      <c r="H243" s="6">
        <v>2</v>
      </c>
      <c r="I243" s="6">
        <v>2</v>
      </c>
      <c r="J243" s="6">
        <v>0.18</v>
      </c>
      <c r="K243">
        <v>0.19700000000000001</v>
      </c>
      <c r="L243">
        <v>0.51</v>
      </c>
      <c r="M243">
        <v>0.16420000000000001</v>
      </c>
      <c r="N243">
        <v>3</v>
      </c>
      <c r="O243">
        <v>127</v>
      </c>
      <c r="P243">
        <v>130</v>
      </c>
    </row>
    <row r="244" spans="1:16" x14ac:dyDescent="0.25">
      <c r="A244" s="6">
        <v>242</v>
      </c>
      <c r="B244" s="9">
        <v>40554</v>
      </c>
      <c r="C244" s="6">
        <v>1</v>
      </c>
      <c r="D244" s="6">
        <v>0</v>
      </c>
      <c r="E244" s="6">
        <v>1</v>
      </c>
      <c r="F244" s="6">
        <v>10</v>
      </c>
      <c r="G244" s="6" t="b">
        <v>0</v>
      </c>
      <c r="H244" s="6">
        <v>2</v>
      </c>
      <c r="I244" s="6">
        <v>2</v>
      </c>
      <c r="J244" s="6">
        <v>0.2</v>
      </c>
      <c r="K244">
        <v>0.21210000000000001</v>
      </c>
      <c r="L244">
        <v>0.51</v>
      </c>
      <c r="M244">
        <v>0.16420000000000001</v>
      </c>
      <c r="N244">
        <v>3</v>
      </c>
      <c r="O244">
        <v>51</v>
      </c>
      <c r="P244">
        <v>54</v>
      </c>
    </row>
    <row r="245" spans="1:16" x14ac:dyDescent="0.25">
      <c r="A245" s="6">
        <v>243</v>
      </c>
      <c r="B245" s="9">
        <v>40554</v>
      </c>
      <c r="C245" s="6">
        <v>1</v>
      </c>
      <c r="D245" s="6">
        <v>0</v>
      </c>
      <c r="E245" s="6">
        <v>1</v>
      </c>
      <c r="F245" s="6">
        <v>11</v>
      </c>
      <c r="G245" s="6" t="b">
        <v>0</v>
      </c>
      <c r="H245" s="6">
        <v>2</v>
      </c>
      <c r="I245" s="6">
        <v>2</v>
      </c>
      <c r="J245" s="6">
        <v>0.2</v>
      </c>
      <c r="K245">
        <v>0.21210000000000001</v>
      </c>
      <c r="L245">
        <v>0.47</v>
      </c>
      <c r="M245">
        <v>0.1343</v>
      </c>
      <c r="N245">
        <v>4</v>
      </c>
      <c r="O245">
        <v>31</v>
      </c>
      <c r="P245">
        <v>35</v>
      </c>
    </row>
    <row r="246" spans="1:16" x14ac:dyDescent="0.25">
      <c r="A246" s="6">
        <v>244</v>
      </c>
      <c r="B246" s="9">
        <v>40554</v>
      </c>
      <c r="C246" s="6">
        <v>1</v>
      </c>
      <c r="D246" s="6">
        <v>0</v>
      </c>
      <c r="E246" s="6">
        <v>1</v>
      </c>
      <c r="F246" s="6">
        <v>12</v>
      </c>
      <c r="G246" s="6" t="b">
        <v>0</v>
      </c>
      <c r="H246" s="6">
        <v>2</v>
      </c>
      <c r="I246" s="6">
        <v>2</v>
      </c>
      <c r="J246" s="6">
        <v>0.2</v>
      </c>
      <c r="K246">
        <v>0.2273</v>
      </c>
      <c r="L246">
        <v>0.51</v>
      </c>
      <c r="M246">
        <v>0.1045</v>
      </c>
      <c r="N246">
        <v>2</v>
      </c>
      <c r="O246">
        <v>55</v>
      </c>
      <c r="P246">
        <v>57</v>
      </c>
    </row>
    <row r="247" spans="1:16" x14ac:dyDescent="0.25">
      <c r="A247" s="6">
        <v>245</v>
      </c>
      <c r="B247" s="9">
        <v>40554</v>
      </c>
      <c r="C247" s="6">
        <v>1</v>
      </c>
      <c r="D247" s="6">
        <v>0</v>
      </c>
      <c r="E247" s="6">
        <v>1</v>
      </c>
      <c r="F247" s="6">
        <v>13</v>
      </c>
      <c r="G247" s="6" t="b">
        <v>0</v>
      </c>
      <c r="H247" s="6">
        <v>2</v>
      </c>
      <c r="I247" s="6">
        <v>2</v>
      </c>
      <c r="J247" s="6">
        <v>0.2</v>
      </c>
      <c r="K247">
        <v>0.2273</v>
      </c>
      <c r="L247">
        <v>0.59</v>
      </c>
      <c r="M247">
        <v>8.9599999999999999E-2</v>
      </c>
      <c r="N247">
        <v>6</v>
      </c>
      <c r="O247">
        <v>46</v>
      </c>
      <c r="P247">
        <v>52</v>
      </c>
    </row>
    <row r="248" spans="1:16" x14ac:dyDescent="0.25">
      <c r="A248" s="6">
        <v>246</v>
      </c>
      <c r="B248" s="9">
        <v>40554</v>
      </c>
      <c r="C248" s="6">
        <v>1</v>
      </c>
      <c r="D248" s="6">
        <v>0</v>
      </c>
      <c r="E248" s="6">
        <v>1</v>
      </c>
      <c r="F248" s="6">
        <v>14</v>
      </c>
      <c r="G248" s="6" t="b">
        <v>0</v>
      </c>
      <c r="H248" s="6">
        <v>2</v>
      </c>
      <c r="I248" s="6">
        <v>2</v>
      </c>
      <c r="J248" s="6">
        <v>0.2</v>
      </c>
      <c r="K248">
        <v>0.2273</v>
      </c>
      <c r="L248">
        <v>0.59</v>
      </c>
      <c r="M248">
        <v>8.9599999999999999E-2</v>
      </c>
      <c r="N248">
        <v>3</v>
      </c>
      <c r="O248">
        <v>60</v>
      </c>
      <c r="P248">
        <v>63</v>
      </c>
    </row>
    <row r="249" spans="1:16" x14ac:dyDescent="0.25">
      <c r="A249" s="6">
        <v>247</v>
      </c>
      <c r="B249" s="9">
        <v>40554</v>
      </c>
      <c r="C249" s="6">
        <v>1</v>
      </c>
      <c r="D249" s="6">
        <v>0</v>
      </c>
      <c r="E249" s="6">
        <v>1</v>
      </c>
      <c r="F249" s="6">
        <v>15</v>
      </c>
      <c r="G249" s="6" t="b">
        <v>0</v>
      </c>
      <c r="H249" s="6">
        <v>2</v>
      </c>
      <c r="I249" s="6">
        <v>2</v>
      </c>
      <c r="J249" s="6">
        <v>0.16</v>
      </c>
      <c r="K249">
        <v>0.19700000000000001</v>
      </c>
      <c r="L249">
        <v>0.8</v>
      </c>
      <c r="M249">
        <v>8.9599999999999999E-2</v>
      </c>
      <c r="N249">
        <v>2</v>
      </c>
      <c r="O249">
        <v>45</v>
      </c>
      <c r="P249">
        <v>47</v>
      </c>
    </row>
    <row r="250" spans="1:16" x14ac:dyDescent="0.25">
      <c r="A250" s="6">
        <v>248</v>
      </c>
      <c r="B250" s="9">
        <v>40554</v>
      </c>
      <c r="C250" s="6">
        <v>1</v>
      </c>
      <c r="D250" s="6">
        <v>0</v>
      </c>
      <c r="E250" s="6">
        <v>1</v>
      </c>
      <c r="F250" s="6">
        <v>16</v>
      </c>
      <c r="G250" s="6" t="b">
        <v>0</v>
      </c>
      <c r="H250" s="6">
        <v>2</v>
      </c>
      <c r="I250" s="6">
        <v>2</v>
      </c>
      <c r="J250" s="6">
        <v>0.16</v>
      </c>
      <c r="K250">
        <v>0.1515</v>
      </c>
      <c r="L250">
        <v>0.86</v>
      </c>
      <c r="M250">
        <v>0.22389999999999999</v>
      </c>
      <c r="N250">
        <v>4</v>
      </c>
      <c r="O250">
        <v>72</v>
      </c>
      <c r="P250">
        <v>76</v>
      </c>
    </row>
    <row r="251" spans="1:16" x14ac:dyDescent="0.25">
      <c r="A251" s="6">
        <v>249</v>
      </c>
      <c r="B251" s="9">
        <v>40554</v>
      </c>
      <c r="C251" s="6">
        <v>1</v>
      </c>
      <c r="D251" s="6">
        <v>0</v>
      </c>
      <c r="E251" s="6">
        <v>1</v>
      </c>
      <c r="F251" s="6">
        <v>17</v>
      </c>
      <c r="G251" s="6" t="b">
        <v>0</v>
      </c>
      <c r="H251" s="6">
        <v>2</v>
      </c>
      <c r="I251" s="6">
        <v>2</v>
      </c>
      <c r="J251" s="6">
        <v>0.16</v>
      </c>
      <c r="K251">
        <v>0.1515</v>
      </c>
      <c r="L251">
        <v>0.86</v>
      </c>
      <c r="M251">
        <v>0.22389999999999999</v>
      </c>
      <c r="N251">
        <v>6</v>
      </c>
      <c r="O251">
        <v>130</v>
      </c>
      <c r="P251">
        <v>136</v>
      </c>
    </row>
    <row r="252" spans="1:16" x14ac:dyDescent="0.25">
      <c r="A252" s="6">
        <v>250</v>
      </c>
      <c r="B252" s="9">
        <v>40554</v>
      </c>
      <c r="C252" s="6">
        <v>1</v>
      </c>
      <c r="D252" s="6">
        <v>0</v>
      </c>
      <c r="E252" s="6">
        <v>1</v>
      </c>
      <c r="F252" s="6">
        <v>18</v>
      </c>
      <c r="G252" s="6" t="b">
        <v>0</v>
      </c>
      <c r="H252" s="6">
        <v>2</v>
      </c>
      <c r="I252" s="6">
        <v>3</v>
      </c>
      <c r="J252" s="6">
        <v>0.16</v>
      </c>
      <c r="K252">
        <v>0.18179999999999999</v>
      </c>
      <c r="L252">
        <v>0.93</v>
      </c>
      <c r="M252">
        <v>0.1045</v>
      </c>
      <c r="N252">
        <v>1</v>
      </c>
      <c r="O252">
        <v>94</v>
      </c>
      <c r="P252">
        <v>95</v>
      </c>
    </row>
    <row r="253" spans="1:16" x14ac:dyDescent="0.25">
      <c r="A253" s="6">
        <v>251</v>
      </c>
      <c r="B253" s="9">
        <v>40554</v>
      </c>
      <c r="C253" s="6">
        <v>1</v>
      </c>
      <c r="D253" s="6">
        <v>0</v>
      </c>
      <c r="E253" s="6">
        <v>1</v>
      </c>
      <c r="F253" s="6">
        <v>19</v>
      </c>
      <c r="G253" s="6" t="b">
        <v>0</v>
      </c>
      <c r="H253" s="6">
        <v>2</v>
      </c>
      <c r="I253" s="6">
        <v>3</v>
      </c>
      <c r="J253" s="6">
        <v>0.16</v>
      </c>
      <c r="K253">
        <v>0.2273</v>
      </c>
      <c r="L253">
        <v>0.93</v>
      </c>
      <c r="M253">
        <v>0</v>
      </c>
      <c r="N253">
        <v>0</v>
      </c>
      <c r="O253">
        <v>51</v>
      </c>
      <c r="P253">
        <v>51</v>
      </c>
    </row>
    <row r="254" spans="1:16" x14ac:dyDescent="0.25">
      <c r="A254" s="6">
        <v>252</v>
      </c>
      <c r="B254" s="9">
        <v>40554</v>
      </c>
      <c r="C254" s="6">
        <v>1</v>
      </c>
      <c r="D254" s="6">
        <v>0</v>
      </c>
      <c r="E254" s="6">
        <v>1</v>
      </c>
      <c r="F254" s="6">
        <v>20</v>
      </c>
      <c r="G254" s="6" t="b">
        <v>0</v>
      </c>
      <c r="H254" s="6">
        <v>2</v>
      </c>
      <c r="I254" s="6">
        <v>3</v>
      </c>
      <c r="J254" s="6">
        <v>0.16</v>
      </c>
      <c r="K254">
        <v>0.1515</v>
      </c>
      <c r="L254">
        <v>0.93</v>
      </c>
      <c r="M254">
        <v>0.19400000000000001</v>
      </c>
      <c r="N254">
        <v>0</v>
      </c>
      <c r="O254">
        <v>32</v>
      </c>
      <c r="P254">
        <v>32</v>
      </c>
    </row>
    <row r="255" spans="1:16" x14ac:dyDescent="0.25">
      <c r="A255" s="6">
        <v>253</v>
      </c>
      <c r="B255" s="9">
        <v>40554</v>
      </c>
      <c r="C255" s="6">
        <v>1</v>
      </c>
      <c r="D255" s="6">
        <v>0</v>
      </c>
      <c r="E255" s="6">
        <v>1</v>
      </c>
      <c r="F255" s="6">
        <v>21</v>
      </c>
      <c r="G255" s="6" t="b">
        <v>0</v>
      </c>
      <c r="H255" s="6">
        <v>2</v>
      </c>
      <c r="I255" s="6">
        <v>3</v>
      </c>
      <c r="J255" s="6">
        <v>0.16</v>
      </c>
      <c r="K255">
        <v>0.19700000000000001</v>
      </c>
      <c r="L255">
        <v>0.86</v>
      </c>
      <c r="M255">
        <v>8.9599999999999999E-2</v>
      </c>
      <c r="N255">
        <v>0</v>
      </c>
      <c r="O255">
        <v>20</v>
      </c>
      <c r="P255">
        <v>20</v>
      </c>
    </row>
    <row r="256" spans="1:16" x14ac:dyDescent="0.25">
      <c r="A256" s="6">
        <v>254</v>
      </c>
      <c r="B256" s="9">
        <v>40554</v>
      </c>
      <c r="C256" s="6">
        <v>1</v>
      </c>
      <c r="D256" s="6">
        <v>0</v>
      </c>
      <c r="E256" s="6">
        <v>1</v>
      </c>
      <c r="F256" s="6">
        <v>22</v>
      </c>
      <c r="G256" s="6" t="b">
        <v>0</v>
      </c>
      <c r="H256" s="6">
        <v>2</v>
      </c>
      <c r="I256" s="6">
        <v>3</v>
      </c>
      <c r="J256" s="6">
        <v>0.16</v>
      </c>
      <c r="K256">
        <v>0.18179999999999999</v>
      </c>
      <c r="L256">
        <v>0.93</v>
      </c>
      <c r="M256">
        <v>0.1045</v>
      </c>
      <c r="N256">
        <v>1</v>
      </c>
      <c r="O256">
        <v>28</v>
      </c>
      <c r="P256">
        <v>29</v>
      </c>
    </row>
    <row r="257" spans="1:16" x14ac:dyDescent="0.25">
      <c r="A257" s="6">
        <v>255</v>
      </c>
      <c r="B257" s="9">
        <v>40554</v>
      </c>
      <c r="C257" s="6">
        <v>1</v>
      </c>
      <c r="D257" s="6">
        <v>0</v>
      </c>
      <c r="E257" s="6">
        <v>1</v>
      </c>
      <c r="F257" s="6">
        <v>23</v>
      </c>
      <c r="G257" s="6" t="b">
        <v>0</v>
      </c>
      <c r="H257" s="6">
        <v>2</v>
      </c>
      <c r="I257" s="6">
        <v>3</v>
      </c>
      <c r="J257" s="6">
        <v>0.16</v>
      </c>
      <c r="K257">
        <v>0.19700000000000001</v>
      </c>
      <c r="L257">
        <v>0.93</v>
      </c>
      <c r="M257">
        <v>8.9599999999999999E-2</v>
      </c>
      <c r="N257">
        <v>1</v>
      </c>
      <c r="O257">
        <v>18</v>
      </c>
      <c r="P257">
        <v>19</v>
      </c>
    </row>
    <row r="258" spans="1:16" x14ac:dyDescent="0.25">
      <c r="A258" s="6">
        <v>256</v>
      </c>
      <c r="B258" s="9">
        <v>40555</v>
      </c>
      <c r="C258" s="6">
        <v>1</v>
      </c>
      <c r="D258" s="6">
        <v>0</v>
      </c>
      <c r="E258" s="6">
        <v>1</v>
      </c>
      <c r="F258" s="6">
        <v>0</v>
      </c>
      <c r="G258" s="6" t="b">
        <v>0</v>
      </c>
      <c r="H258" s="6">
        <v>3</v>
      </c>
      <c r="I258" s="6">
        <v>2</v>
      </c>
      <c r="J258" s="6">
        <v>0.16</v>
      </c>
      <c r="K258">
        <v>0.19700000000000001</v>
      </c>
      <c r="L258">
        <v>0.86</v>
      </c>
      <c r="M258">
        <v>8.9599999999999999E-2</v>
      </c>
      <c r="N258">
        <v>0</v>
      </c>
      <c r="O258">
        <v>7</v>
      </c>
      <c r="P258">
        <v>7</v>
      </c>
    </row>
    <row r="259" spans="1:16" x14ac:dyDescent="0.25">
      <c r="A259" s="6">
        <v>257</v>
      </c>
      <c r="B259" s="9">
        <v>40555</v>
      </c>
      <c r="C259" s="6">
        <v>1</v>
      </c>
      <c r="D259" s="6">
        <v>0</v>
      </c>
      <c r="E259" s="6">
        <v>1</v>
      </c>
      <c r="F259" s="6">
        <v>1</v>
      </c>
      <c r="G259" s="6" t="b">
        <v>0</v>
      </c>
      <c r="H259" s="6">
        <v>3</v>
      </c>
      <c r="I259" s="6">
        <v>2</v>
      </c>
      <c r="J259" s="6">
        <v>0.16</v>
      </c>
      <c r="K259">
        <v>0.18179999999999999</v>
      </c>
      <c r="L259">
        <v>0.86</v>
      </c>
      <c r="M259">
        <v>0.1045</v>
      </c>
      <c r="N259">
        <v>0</v>
      </c>
      <c r="O259">
        <v>6</v>
      </c>
      <c r="P259">
        <v>6</v>
      </c>
    </row>
    <row r="260" spans="1:16" x14ac:dyDescent="0.25">
      <c r="A260" s="6">
        <v>258</v>
      </c>
      <c r="B260" s="9">
        <v>40555</v>
      </c>
      <c r="C260" s="6">
        <v>1</v>
      </c>
      <c r="D260" s="6">
        <v>0</v>
      </c>
      <c r="E260" s="6">
        <v>1</v>
      </c>
      <c r="F260" s="6">
        <v>2</v>
      </c>
      <c r="G260" s="6" t="b">
        <v>0</v>
      </c>
      <c r="H260" s="6">
        <v>3</v>
      </c>
      <c r="I260" s="6">
        <v>1</v>
      </c>
      <c r="J260" s="6">
        <v>0.14000000000000001</v>
      </c>
      <c r="K260">
        <v>0.1515</v>
      </c>
      <c r="L260">
        <v>0.86</v>
      </c>
      <c r="M260">
        <v>0.1343</v>
      </c>
      <c r="N260">
        <v>0</v>
      </c>
      <c r="O260">
        <v>1</v>
      </c>
      <c r="P260">
        <v>1</v>
      </c>
    </row>
    <row r="261" spans="1:16" x14ac:dyDescent="0.25">
      <c r="A261" s="6">
        <v>259</v>
      </c>
      <c r="B261" s="9">
        <v>40555</v>
      </c>
      <c r="C261" s="6">
        <v>1</v>
      </c>
      <c r="D261" s="6">
        <v>0</v>
      </c>
      <c r="E261" s="6">
        <v>1</v>
      </c>
      <c r="F261" s="6">
        <v>5</v>
      </c>
      <c r="G261" s="6" t="b">
        <v>0</v>
      </c>
      <c r="H261" s="6">
        <v>3</v>
      </c>
      <c r="I261" s="6">
        <v>1</v>
      </c>
      <c r="J261" s="6">
        <v>0.14000000000000001</v>
      </c>
      <c r="K261">
        <v>0.1515</v>
      </c>
      <c r="L261">
        <v>0.86</v>
      </c>
      <c r="M261">
        <v>0.16420000000000001</v>
      </c>
      <c r="N261">
        <v>0</v>
      </c>
      <c r="O261">
        <v>5</v>
      </c>
      <c r="P261">
        <v>5</v>
      </c>
    </row>
    <row r="262" spans="1:16" x14ac:dyDescent="0.25">
      <c r="A262" s="6">
        <v>260</v>
      </c>
      <c r="B262" s="9">
        <v>40555</v>
      </c>
      <c r="C262" s="6">
        <v>1</v>
      </c>
      <c r="D262" s="6">
        <v>0</v>
      </c>
      <c r="E262" s="6">
        <v>1</v>
      </c>
      <c r="F262" s="6">
        <v>6</v>
      </c>
      <c r="G262" s="6" t="b">
        <v>0</v>
      </c>
      <c r="H262" s="6">
        <v>3</v>
      </c>
      <c r="I262" s="6">
        <v>1</v>
      </c>
      <c r="J262" s="6">
        <v>0.12</v>
      </c>
      <c r="K262">
        <v>0.1515</v>
      </c>
      <c r="L262">
        <v>0.93</v>
      </c>
      <c r="M262">
        <v>0.1343</v>
      </c>
      <c r="N262">
        <v>0</v>
      </c>
      <c r="O262">
        <v>16</v>
      </c>
      <c r="P262">
        <v>16</v>
      </c>
    </row>
    <row r="263" spans="1:16" x14ac:dyDescent="0.25">
      <c r="A263" s="6">
        <v>261</v>
      </c>
      <c r="B263" s="9">
        <v>40555</v>
      </c>
      <c r="C263" s="6">
        <v>1</v>
      </c>
      <c r="D263" s="6">
        <v>0</v>
      </c>
      <c r="E263" s="6">
        <v>1</v>
      </c>
      <c r="F263" s="6">
        <v>7</v>
      </c>
      <c r="G263" s="6" t="b">
        <v>0</v>
      </c>
      <c r="H263" s="6">
        <v>3</v>
      </c>
      <c r="I263" s="6">
        <v>1</v>
      </c>
      <c r="J263" s="6">
        <v>0.14000000000000001</v>
      </c>
      <c r="K263">
        <v>0.1515</v>
      </c>
      <c r="L263">
        <v>0.69</v>
      </c>
      <c r="M263">
        <v>0.1343</v>
      </c>
      <c r="N263">
        <v>0</v>
      </c>
      <c r="O263">
        <v>54</v>
      </c>
      <c r="P263">
        <v>54</v>
      </c>
    </row>
    <row r="264" spans="1:16" x14ac:dyDescent="0.25">
      <c r="A264" s="6">
        <v>262</v>
      </c>
      <c r="B264" s="9">
        <v>40555</v>
      </c>
      <c r="C264" s="6">
        <v>1</v>
      </c>
      <c r="D264" s="6">
        <v>0</v>
      </c>
      <c r="E264" s="6">
        <v>1</v>
      </c>
      <c r="F264" s="6">
        <v>8</v>
      </c>
      <c r="G264" s="6" t="b">
        <v>0</v>
      </c>
      <c r="H264" s="6">
        <v>3</v>
      </c>
      <c r="I264" s="6">
        <v>1</v>
      </c>
      <c r="J264" s="6">
        <v>0.16</v>
      </c>
      <c r="K264">
        <v>0.16669999999999999</v>
      </c>
      <c r="L264">
        <v>0.59</v>
      </c>
      <c r="M264">
        <v>0.16420000000000001</v>
      </c>
      <c r="N264">
        <v>3</v>
      </c>
      <c r="O264">
        <v>125</v>
      </c>
      <c r="P264">
        <v>128</v>
      </c>
    </row>
    <row r="265" spans="1:16" x14ac:dyDescent="0.25">
      <c r="A265" s="6">
        <v>263</v>
      </c>
      <c r="B265" s="9">
        <v>40555</v>
      </c>
      <c r="C265" s="6">
        <v>1</v>
      </c>
      <c r="D265" s="6">
        <v>0</v>
      </c>
      <c r="E265" s="6">
        <v>1</v>
      </c>
      <c r="F265" s="6">
        <v>9</v>
      </c>
      <c r="G265" s="6" t="b">
        <v>0</v>
      </c>
      <c r="H265" s="6">
        <v>3</v>
      </c>
      <c r="I265" s="6">
        <v>1</v>
      </c>
      <c r="J265" s="6">
        <v>0.16</v>
      </c>
      <c r="K265">
        <v>0.13639999999999999</v>
      </c>
      <c r="L265">
        <v>0.59</v>
      </c>
      <c r="M265">
        <v>0.32840000000000003</v>
      </c>
      <c r="N265">
        <v>3</v>
      </c>
      <c r="O265">
        <v>78</v>
      </c>
      <c r="P265">
        <v>81</v>
      </c>
    </row>
    <row r="266" spans="1:16" x14ac:dyDescent="0.25">
      <c r="A266" s="6">
        <v>264</v>
      </c>
      <c r="B266" s="9">
        <v>40555</v>
      </c>
      <c r="C266" s="6">
        <v>1</v>
      </c>
      <c r="D266" s="6">
        <v>0</v>
      </c>
      <c r="E266" s="6">
        <v>1</v>
      </c>
      <c r="F266" s="6">
        <v>10</v>
      </c>
      <c r="G266" s="6" t="b">
        <v>0</v>
      </c>
      <c r="H266" s="6">
        <v>3</v>
      </c>
      <c r="I266" s="6">
        <v>1</v>
      </c>
      <c r="J266" s="6">
        <v>0.18</v>
      </c>
      <c r="K266">
        <v>0.18179999999999999</v>
      </c>
      <c r="L266">
        <v>0.55000000000000004</v>
      </c>
      <c r="M266">
        <v>0.22389999999999999</v>
      </c>
      <c r="N266">
        <v>0</v>
      </c>
      <c r="O266">
        <v>39</v>
      </c>
      <c r="P266">
        <v>39</v>
      </c>
    </row>
    <row r="267" spans="1:16" x14ac:dyDescent="0.25">
      <c r="A267" s="6">
        <v>265</v>
      </c>
      <c r="B267" s="9">
        <v>40555</v>
      </c>
      <c r="C267" s="6">
        <v>1</v>
      </c>
      <c r="D267" s="6">
        <v>0</v>
      </c>
      <c r="E267" s="6">
        <v>1</v>
      </c>
      <c r="F267" s="6">
        <v>11</v>
      </c>
      <c r="G267" s="6" t="b">
        <v>0</v>
      </c>
      <c r="H267" s="6">
        <v>3</v>
      </c>
      <c r="I267" s="6">
        <v>1</v>
      </c>
      <c r="J267" s="6">
        <v>0.2</v>
      </c>
      <c r="K267">
        <v>0.18179999999999999</v>
      </c>
      <c r="L267">
        <v>0.51</v>
      </c>
      <c r="M267">
        <v>0.3881</v>
      </c>
      <c r="N267">
        <v>3</v>
      </c>
      <c r="O267">
        <v>32</v>
      </c>
      <c r="P267">
        <v>35</v>
      </c>
    </row>
    <row r="268" spans="1:16" x14ac:dyDescent="0.25">
      <c r="A268" s="6">
        <v>266</v>
      </c>
      <c r="B268" s="9">
        <v>40555</v>
      </c>
      <c r="C268" s="6">
        <v>1</v>
      </c>
      <c r="D268" s="6">
        <v>0</v>
      </c>
      <c r="E268" s="6">
        <v>1</v>
      </c>
      <c r="F268" s="6">
        <v>12</v>
      </c>
      <c r="G268" s="6" t="b">
        <v>0</v>
      </c>
      <c r="H268" s="6">
        <v>3</v>
      </c>
      <c r="I268" s="6">
        <v>1</v>
      </c>
      <c r="J268" s="6">
        <v>0.2</v>
      </c>
      <c r="K268">
        <v>0.1515</v>
      </c>
      <c r="L268">
        <v>0.47</v>
      </c>
      <c r="M268">
        <v>0.58209999999999995</v>
      </c>
      <c r="N268">
        <v>3</v>
      </c>
      <c r="O268">
        <v>52</v>
      </c>
      <c r="P268">
        <v>55</v>
      </c>
    </row>
    <row r="269" spans="1:16" x14ac:dyDescent="0.25">
      <c r="A269" s="6">
        <v>267</v>
      </c>
      <c r="B269" s="9">
        <v>40555</v>
      </c>
      <c r="C269" s="6">
        <v>1</v>
      </c>
      <c r="D269" s="6">
        <v>0</v>
      </c>
      <c r="E269" s="6">
        <v>1</v>
      </c>
      <c r="F269" s="6">
        <v>13</v>
      </c>
      <c r="G269" s="6" t="b">
        <v>0</v>
      </c>
      <c r="H269" s="6">
        <v>3</v>
      </c>
      <c r="I269" s="6">
        <v>1</v>
      </c>
      <c r="J269" s="6">
        <v>0.22</v>
      </c>
      <c r="K269">
        <v>0.19700000000000001</v>
      </c>
      <c r="L269">
        <v>0.44</v>
      </c>
      <c r="M269">
        <v>0.35820000000000002</v>
      </c>
      <c r="N269">
        <v>0</v>
      </c>
      <c r="O269">
        <v>49</v>
      </c>
      <c r="P269">
        <v>49</v>
      </c>
    </row>
    <row r="270" spans="1:16" x14ac:dyDescent="0.25">
      <c r="A270" s="6">
        <v>268</v>
      </c>
      <c r="B270" s="9">
        <v>40555</v>
      </c>
      <c r="C270" s="6">
        <v>1</v>
      </c>
      <c r="D270" s="6">
        <v>0</v>
      </c>
      <c r="E270" s="6">
        <v>1</v>
      </c>
      <c r="F270" s="6">
        <v>14</v>
      </c>
      <c r="G270" s="6" t="b">
        <v>0</v>
      </c>
      <c r="H270" s="6">
        <v>3</v>
      </c>
      <c r="I270" s="6">
        <v>1</v>
      </c>
      <c r="J270" s="6">
        <v>0.2</v>
      </c>
      <c r="K270">
        <v>0.18179999999999999</v>
      </c>
      <c r="L270">
        <v>0.47</v>
      </c>
      <c r="M270">
        <v>0.32840000000000003</v>
      </c>
      <c r="N270">
        <v>0</v>
      </c>
      <c r="O270">
        <v>44</v>
      </c>
      <c r="P270">
        <v>44</v>
      </c>
    </row>
    <row r="271" spans="1:16" x14ac:dyDescent="0.25">
      <c r="A271" s="6">
        <v>269</v>
      </c>
      <c r="B271" s="9">
        <v>40555</v>
      </c>
      <c r="C271" s="6">
        <v>1</v>
      </c>
      <c r="D271" s="6">
        <v>0</v>
      </c>
      <c r="E271" s="6">
        <v>1</v>
      </c>
      <c r="F271" s="6">
        <v>15</v>
      </c>
      <c r="G271" s="6" t="b">
        <v>0</v>
      </c>
      <c r="H271" s="6">
        <v>3</v>
      </c>
      <c r="I271" s="6">
        <v>1</v>
      </c>
      <c r="J271" s="6">
        <v>0.2</v>
      </c>
      <c r="K271">
        <v>0.16669999999999999</v>
      </c>
      <c r="L271">
        <v>0.47</v>
      </c>
      <c r="M271">
        <v>0.41789999999999999</v>
      </c>
      <c r="N271">
        <v>1</v>
      </c>
      <c r="O271">
        <v>48</v>
      </c>
      <c r="P271">
        <v>49</v>
      </c>
    </row>
    <row r="272" spans="1:16" x14ac:dyDescent="0.25">
      <c r="A272" s="6">
        <v>270</v>
      </c>
      <c r="B272" s="9">
        <v>40555</v>
      </c>
      <c r="C272" s="6">
        <v>1</v>
      </c>
      <c r="D272" s="6">
        <v>0</v>
      </c>
      <c r="E272" s="6">
        <v>1</v>
      </c>
      <c r="F272" s="6">
        <v>16</v>
      </c>
      <c r="G272" s="6" t="b">
        <v>0</v>
      </c>
      <c r="H272" s="6">
        <v>3</v>
      </c>
      <c r="I272" s="6">
        <v>1</v>
      </c>
      <c r="J272" s="6">
        <v>0.22</v>
      </c>
      <c r="K272">
        <v>0.19700000000000001</v>
      </c>
      <c r="L272">
        <v>0.44</v>
      </c>
      <c r="M272">
        <v>0.32840000000000003</v>
      </c>
      <c r="N272">
        <v>5</v>
      </c>
      <c r="O272">
        <v>63</v>
      </c>
      <c r="P272">
        <v>68</v>
      </c>
    </row>
    <row r="273" spans="1:16" x14ac:dyDescent="0.25">
      <c r="A273" s="6">
        <v>271</v>
      </c>
      <c r="B273" s="9">
        <v>40555</v>
      </c>
      <c r="C273" s="6">
        <v>1</v>
      </c>
      <c r="D273" s="6">
        <v>0</v>
      </c>
      <c r="E273" s="6">
        <v>1</v>
      </c>
      <c r="F273" s="6">
        <v>17</v>
      </c>
      <c r="G273" s="6" t="b">
        <v>0</v>
      </c>
      <c r="H273" s="6">
        <v>3</v>
      </c>
      <c r="I273" s="6">
        <v>1</v>
      </c>
      <c r="J273" s="6">
        <v>0.2</v>
      </c>
      <c r="K273">
        <v>0.18179999999999999</v>
      </c>
      <c r="L273">
        <v>0.47</v>
      </c>
      <c r="M273">
        <v>0.35820000000000002</v>
      </c>
      <c r="N273">
        <v>0</v>
      </c>
      <c r="O273">
        <v>139</v>
      </c>
      <c r="P273">
        <v>139</v>
      </c>
    </row>
    <row r="274" spans="1:16" x14ac:dyDescent="0.25">
      <c r="A274" s="6">
        <v>272</v>
      </c>
      <c r="B274" s="9">
        <v>40555</v>
      </c>
      <c r="C274" s="6">
        <v>1</v>
      </c>
      <c r="D274" s="6">
        <v>0</v>
      </c>
      <c r="E274" s="6">
        <v>1</v>
      </c>
      <c r="F274" s="6">
        <v>18</v>
      </c>
      <c r="G274" s="6" t="b">
        <v>0</v>
      </c>
      <c r="H274" s="6">
        <v>3</v>
      </c>
      <c r="I274" s="6">
        <v>1</v>
      </c>
      <c r="J274" s="6">
        <v>0.2</v>
      </c>
      <c r="K274">
        <v>0.1515</v>
      </c>
      <c r="L274">
        <v>0.47</v>
      </c>
      <c r="M274">
        <v>0.52239999999999998</v>
      </c>
      <c r="N274">
        <v>2</v>
      </c>
      <c r="O274">
        <v>135</v>
      </c>
      <c r="P274">
        <v>137</v>
      </c>
    </row>
    <row r="275" spans="1:16" x14ac:dyDescent="0.25">
      <c r="A275" s="6">
        <v>273</v>
      </c>
      <c r="B275" s="9">
        <v>40555</v>
      </c>
      <c r="C275" s="6">
        <v>1</v>
      </c>
      <c r="D275" s="6">
        <v>0</v>
      </c>
      <c r="E275" s="6">
        <v>1</v>
      </c>
      <c r="F275" s="6">
        <v>19</v>
      </c>
      <c r="G275" s="6" t="b">
        <v>0</v>
      </c>
      <c r="H275" s="6">
        <v>3</v>
      </c>
      <c r="I275" s="6">
        <v>1</v>
      </c>
      <c r="J275" s="6">
        <v>0.18</v>
      </c>
      <c r="K275">
        <v>0.1515</v>
      </c>
      <c r="L275">
        <v>0.47</v>
      </c>
      <c r="M275">
        <v>0.41789999999999999</v>
      </c>
      <c r="N275">
        <v>1</v>
      </c>
      <c r="O275">
        <v>82</v>
      </c>
      <c r="P275">
        <v>83</v>
      </c>
    </row>
    <row r="276" spans="1:16" x14ac:dyDescent="0.25">
      <c r="A276" s="6">
        <v>274</v>
      </c>
      <c r="B276" s="9">
        <v>40555</v>
      </c>
      <c r="C276" s="6">
        <v>1</v>
      </c>
      <c r="D276" s="6">
        <v>0</v>
      </c>
      <c r="E276" s="6">
        <v>1</v>
      </c>
      <c r="F276" s="6">
        <v>20</v>
      </c>
      <c r="G276" s="6" t="b">
        <v>0</v>
      </c>
      <c r="H276" s="6">
        <v>3</v>
      </c>
      <c r="I276" s="6">
        <v>1</v>
      </c>
      <c r="J276" s="6">
        <v>0.16</v>
      </c>
      <c r="K276">
        <v>0.13639999999999999</v>
      </c>
      <c r="L276">
        <v>0.5</v>
      </c>
      <c r="M276">
        <v>0.32840000000000003</v>
      </c>
      <c r="N276">
        <v>2</v>
      </c>
      <c r="O276">
        <v>54</v>
      </c>
      <c r="P276">
        <v>56</v>
      </c>
    </row>
    <row r="277" spans="1:16" x14ac:dyDescent="0.25">
      <c r="A277" s="6">
        <v>275</v>
      </c>
      <c r="B277" s="9">
        <v>40555</v>
      </c>
      <c r="C277" s="6">
        <v>1</v>
      </c>
      <c r="D277" s="6">
        <v>0</v>
      </c>
      <c r="E277" s="6">
        <v>1</v>
      </c>
      <c r="F277" s="6">
        <v>21</v>
      </c>
      <c r="G277" s="6" t="b">
        <v>0</v>
      </c>
      <c r="H277" s="6">
        <v>3</v>
      </c>
      <c r="I277" s="6">
        <v>1</v>
      </c>
      <c r="J277" s="6">
        <v>0.16</v>
      </c>
      <c r="K277">
        <v>0.13639999999999999</v>
      </c>
      <c r="L277">
        <v>0.55000000000000004</v>
      </c>
      <c r="M277">
        <v>0.32840000000000003</v>
      </c>
      <c r="N277">
        <v>0</v>
      </c>
      <c r="O277">
        <v>57</v>
      </c>
      <c r="P277">
        <v>57</v>
      </c>
    </row>
    <row r="278" spans="1:16" x14ac:dyDescent="0.25">
      <c r="A278" s="6">
        <v>276</v>
      </c>
      <c r="B278" s="9">
        <v>40555</v>
      </c>
      <c r="C278" s="6">
        <v>1</v>
      </c>
      <c r="D278" s="6">
        <v>0</v>
      </c>
      <c r="E278" s="6">
        <v>1</v>
      </c>
      <c r="F278" s="6">
        <v>22</v>
      </c>
      <c r="G278" s="6" t="b">
        <v>0</v>
      </c>
      <c r="H278" s="6">
        <v>3</v>
      </c>
      <c r="I278" s="6">
        <v>1</v>
      </c>
      <c r="J278" s="6">
        <v>0.16</v>
      </c>
      <c r="K278">
        <v>0.1212</v>
      </c>
      <c r="L278">
        <v>0.55000000000000004</v>
      </c>
      <c r="M278">
        <v>0.44779999999999998</v>
      </c>
      <c r="N278">
        <v>1</v>
      </c>
      <c r="O278">
        <v>32</v>
      </c>
      <c r="P278">
        <v>33</v>
      </c>
    </row>
    <row r="279" spans="1:16" x14ac:dyDescent="0.25">
      <c r="A279" s="6">
        <v>277</v>
      </c>
      <c r="B279" s="9">
        <v>40555</v>
      </c>
      <c r="C279" s="6">
        <v>1</v>
      </c>
      <c r="D279" s="6">
        <v>0</v>
      </c>
      <c r="E279" s="6">
        <v>1</v>
      </c>
      <c r="F279" s="6">
        <v>23</v>
      </c>
      <c r="G279" s="6" t="b">
        <v>0</v>
      </c>
      <c r="H279" s="6">
        <v>3</v>
      </c>
      <c r="I279" s="6">
        <v>1</v>
      </c>
      <c r="J279" s="6">
        <v>0.14000000000000001</v>
      </c>
      <c r="K279">
        <v>0.1061</v>
      </c>
      <c r="L279">
        <v>0.59</v>
      </c>
      <c r="M279">
        <v>0.41789999999999999</v>
      </c>
      <c r="N279">
        <v>1</v>
      </c>
      <c r="O279">
        <v>19</v>
      </c>
      <c r="P279">
        <v>20</v>
      </c>
    </row>
    <row r="280" spans="1:16" x14ac:dyDescent="0.25">
      <c r="A280" s="6">
        <v>278</v>
      </c>
      <c r="B280" s="9">
        <v>40556</v>
      </c>
      <c r="C280" s="6">
        <v>1</v>
      </c>
      <c r="D280" s="6">
        <v>0</v>
      </c>
      <c r="E280" s="6">
        <v>1</v>
      </c>
      <c r="F280" s="6">
        <v>0</v>
      </c>
      <c r="G280" s="6" t="b">
        <v>0</v>
      </c>
      <c r="H280" s="6">
        <v>4</v>
      </c>
      <c r="I280" s="6">
        <v>1</v>
      </c>
      <c r="J280" s="6">
        <v>0.14000000000000001</v>
      </c>
      <c r="K280">
        <v>0.1212</v>
      </c>
      <c r="L280">
        <v>0.59</v>
      </c>
      <c r="M280">
        <v>0.28360000000000002</v>
      </c>
      <c r="N280">
        <v>1</v>
      </c>
      <c r="O280">
        <v>6</v>
      </c>
      <c r="P280">
        <v>7</v>
      </c>
    </row>
    <row r="281" spans="1:16" x14ac:dyDescent="0.25">
      <c r="A281" s="6">
        <v>279</v>
      </c>
      <c r="B281" s="9">
        <v>40556</v>
      </c>
      <c r="C281" s="6">
        <v>1</v>
      </c>
      <c r="D281" s="6">
        <v>0</v>
      </c>
      <c r="E281" s="6">
        <v>1</v>
      </c>
      <c r="F281" s="6">
        <v>1</v>
      </c>
      <c r="G281" s="6" t="b">
        <v>0</v>
      </c>
      <c r="H281" s="6">
        <v>4</v>
      </c>
      <c r="I281" s="6">
        <v>1</v>
      </c>
      <c r="J281" s="6">
        <v>0.14000000000000001</v>
      </c>
      <c r="K281">
        <v>0.1212</v>
      </c>
      <c r="L281">
        <v>0.5</v>
      </c>
      <c r="M281">
        <v>0.28360000000000002</v>
      </c>
      <c r="N281">
        <v>0</v>
      </c>
      <c r="O281">
        <v>2</v>
      </c>
      <c r="P281">
        <v>2</v>
      </c>
    </row>
    <row r="282" spans="1:16" x14ac:dyDescent="0.25">
      <c r="A282" s="6">
        <v>280</v>
      </c>
      <c r="B282" s="9">
        <v>40556</v>
      </c>
      <c r="C282" s="6">
        <v>1</v>
      </c>
      <c r="D282" s="6">
        <v>0</v>
      </c>
      <c r="E282" s="6">
        <v>1</v>
      </c>
      <c r="F282" s="6">
        <v>2</v>
      </c>
      <c r="G282" s="6" t="b">
        <v>0</v>
      </c>
      <c r="H282" s="6">
        <v>4</v>
      </c>
      <c r="I282" s="6">
        <v>1</v>
      </c>
      <c r="J282" s="6">
        <v>0.14000000000000001</v>
      </c>
      <c r="K282">
        <v>0.1212</v>
      </c>
      <c r="L282">
        <v>0.5</v>
      </c>
      <c r="M282">
        <v>0.35820000000000002</v>
      </c>
      <c r="N282">
        <v>0</v>
      </c>
      <c r="O282">
        <v>2</v>
      </c>
      <c r="P282">
        <v>2</v>
      </c>
    </row>
    <row r="283" spans="1:16" x14ac:dyDescent="0.25">
      <c r="A283" s="6">
        <v>281</v>
      </c>
      <c r="B283" s="9">
        <v>40556</v>
      </c>
      <c r="C283" s="6">
        <v>1</v>
      </c>
      <c r="D283" s="6">
        <v>0</v>
      </c>
      <c r="E283" s="6">
        <v>1</v>
      </c>
      <c r="F283" s="6">
        <v>3</v>
      </c>
      <c r="G283" s="6" t="b">
        <v>0</v>
      </c>
      <c r="H283" s="6">
        <v>4</v>
      </c>
      <c r="I283" s="6">
        <v>1</v>
      </c>
      <c r="J283" s="6">
        <v>0.14000000000000001</v>
      </c>
      <c r="K283">
        <v>0.1212</v>
      </c>
      <c r="L283">
        <v>0.5</v>
      </c>
      <c r="M283">
        <v>0.32840000000000003</v>
      </c>
      <c r="N283">
        <v>0</v>
      </c>
      <c r="O283">
        <v>3</v>
      </c>
      <c r="P283">
        <v>3</v>
      </c>
    </row>
    <row r="284" spans="1:16" x14ac:dyDescent="0.25">
      <c r="A284" s="6">
        <v>282</v>
      </c>
      <c r="B284" s="9">
        <v>40556</v>
      </c>
      <c r="C284" s="6">
        <v>1</v>
      </c>
      <c r="D284" s="6">
        <v>0</v>
      </c>
      <c r="E284" s="6">
        <v>1</v>
      </c>
      <c r="F284" s="6">
        <v>4</v>
      </c>
      <c r="G284" s="6" t="b">
        <v>0</v>
      </c>
      <c r="H284" s="6">
        <v>4</v>
      </c>
      <c r="I284" s="6">
        <v>1</v>
      </c>
      <c r="J284" s="6">
        <v>0.14000000000000001</v>
      </c>
      <c r="K284">
        <v>0.1212</v>
      </c>
      <c r="L284">
        <v>0.5</v>
      </c>
      <c r="M284">
        <v>0.25369999999999998</v>
      </c>
      <c r="N284">
        <v>0</v>
      </c>
      <c r="O284">
        <v>4</v>
      </c>
      <c r="P284">
        <v>4</v>
      </c>
    </row>
    <row r="285" spans="1:16" x14ac:dyDescent="0.25">
      <c r="A285" s="6">
        <v>283</v>
      </c>
      <c r="B285" s="9">
        <v>40556</v>
      </c>
      <c r="C285" s="6">
        <v>1</v>
      </c>
      <c r="D285" s="6">
        <v>0</v>
      </c>
      <c r="E285" s="6">
        <v>1</v>
      </c>
      <c r="F285" s="6">
        <v>5</v>
      </c>
      <c r="G285" s="6" t="b">
        <v>0</v>
      </c>
      <c r="H285" s="6">
        <v>4</v>
      </c>
      <c r="I285" s="6">
        <v>1</v>
      </c>
      <c r="J285" s="6">
        <v>0.14000000000000001</v>
      </c>
      <c r="K285">
        <v>0.1212</v>
      </c>
      <c r="L285">
        <v>0.5</v>
      </c>
      <c r="M285">
        <v>0.29849999999999999</v>
      </c>
      <c r="N285">
        <v>0</v>
      </c>
      <c r="O285">
        <v>3</v>
      </c>
      <c r="P285">
        <v>3</v>
      </c>
    </row>
    <row r="286" spans="1:16" x14ac:dyDescent="0.25">
      <c r="A286" s="6">
        <v>284</v>
      </c>
      <c r="B286" s="9">
        <v>40556</v>
      </c>
      <c r="C286" s="6">
        <v>1</v>
      </c>
      <c r="D286" s="6">
        <v>0</v>
      </c>
      <c r="E286" s="6">
        <v>1</v>
      </c>
      <c r="F286" s="6">
        <v>6</v>
      </c>
      <c r="G286" s="6" t="b">
        <v>0</v>
      </c>
      <c r="H286" s="6">
        <v>4</v>
      </c>
      <c r="I286" s="6">
        <v>1</v>
      </c>
      <c r="J286" s="6">
        <v>0.12</v>
      </c>
      <c r="K286">
        <v>0.1515</v>
      </c>
      <c r="L286">
        <v>0.54</v>
      </c>
      <c r="M286">
        <v>0.1343</v>
      </c>
      <c r="N286">
        <v>0</v>
      </c>
      <c r="O286">
        <v>28</v>
      </c>
      <c r="P286">
        <v>28</v>
      </c>
    </row>
    <row r="287" spans="1:16" x14ac:dyDescent="0.25">
      <c r="A287" s="6">
        <v>285</v>
      </c>
      <c r="B287" s="9">
        <v>40556</v>
      </c>
      <c r="C287" s="6">
        <v>1</v>
      </c>
      <c r="D287" s="6">
        <v>0</v>
      </c>
      <c r="E287" s="6">
        <v>1</v>
      </c>
      <c r="F287" s="6">
        <v>7</v>
      </c>
      <c r="G287" s="6" t="b">
        <v>0</v>
      </c>
      <c r="H287" s="6">
        <v>4</v>
      </c>
      <c r="I287" s="6">
        <v>1</v>
      </c>
      <c r="J287" s="6">
        <v>0.12</v>
      </c>
      <c r="K287">
        <v>0.1515</v>
      </c>
      <c r="L287">
        <v>0.54</v>
      </c>
      <c r="M287">
        <v>0.1343</v>
      </c>
      <c r="N287">
        <v>0</v>
      </c>
      <c r="O287">
        <v>72</v>
      </c>
      <c r="P287">
        <v>72</v>
      </c>
    </row>
    <row r="288" spans="1:16" x14ac:dyDescent="0.25">
      <c r="A288" s="6">
        <v>286</v>
      </c>
      <c r="B288" s="9">
        <v>40556</v>
      </c>
      <c r="C288" s="6">
        <v>1</v>
      </c>
      <c r="D288" s="6">
        <v>0</v>
      </c>
      <c r="E288" s="6">
        <v>1</v>
      </c>
      <c r="F288" s="6">
        <v>8</v>
      </c>
      <c r="G288" s="6" t="b">
        <v>0</v>
      </c>
      <c r="H288" s="6">
        <v>4</v>
      </c>
      <c r="I288" s="6">
        <v>1</v>
      </c>
      <c r="J288" s="6">
        <v>0.14000000000000001</v>
      </c>
      <c r="K288">
        <v>0.13639999999999999</v>
      </c>
      <c r="L288">
        <v>0.5</v>
      </c>
      <c r="M288">
        <v>0.19400000000000001</v>
      </c>
      <c r="N288">
        <v>5</v>
      </c>
      <c r="O288">
        <v>197</v>
      </c>
      <c r="P288">
        <v>202</v>
      </c>
    </row>
    <row r="289" spans="1:16" x14ac:dyDescent="0.25">
      <c r="A289" s="6">
        <v>287</v>
      </c>
      <c r="B289" s="9">
        <v>40556</v>
      </c>
      <c r="C289" s="6">
        <v>1</v>
      </c>
      <c r="D289" s="6">
        <v>0</v>
      </c>
      <c r="E289" s="6">
        <v>1</v>
      </c>
      <c r="F289" s="6">
        <v>9</v>
      </c>
      <c r="G289" s="6" t="b">
        <v>0</v>
      </c>
      <c r="H289" s="6">
        <v>4</v>
      </c>
      <c r="I289" s="6">
        <v>1</v>
      </c>
      <c r="J289" s="6">
        <v>0.14000000000000001</v>
      </c>
      <c r="K289">
        <v>0.1212</v>
      </c>
      <c r="L289">
        <v>0.5</v>
      </c>
      <c r="M289">
        <v>0.32840000000000003</v>
      </c>
      <c r="N289">
        <v>2</v>
      </c>
      <c r="O289">
        <v>137</v>
      </c>
      <c r="P289">
        <v>139</v>
      </c>
    </row>
    <row r="290" spans="1:16" x14ac:dyDescent="0.25">
      <c r="A290" s="6">
        <v>288</v>
      </c>
      <c r="B290" s="9">
        <v>40556</v>
      </c>
      <c r="C290" s="6">
        <v>1</v>
      </c>
      <c r="D290" s="6">
        <v>0</v>
      </c>
      <c r="E290" s="6">
        <v>1</v>
      </c>
      <c r="F290" s="6">
        <v>10</v>
      </c>
      <c r="G290" s="6" t="b">
        <v>0</v>
      </c>
      <c r="H290" s="6">
        <v>4</v>
      </c>
      <c r="I290" s="6">
        <v>2</v>
      </c>
      <c r="J290" s="6">
        <v>0.16</v>
      </c>
      <c r="K290">
        <v>0.13639999999999999</v>
      </c>
      <c r="L290">
        <v>0.5</v>
      </c>
      <c r="M290">
        <v>0.35820000000000002</v>
      </c>
      <c r="N290">
        <v>2</v>
      </c>
      <c r="O290">
        <v>36</v>
      </c>
      <c r="P290">
        <v>38</v>
      </c>
    </row>
    <row r="291" spans="1:16" x14ac:dyDescent="0.25">
      <c r="A291" s="6">
        <v>289</v>
      </c>
      <c r="B291" s="9">
        <v>40556</v>
      </c>
      <c r="C291" s="6">
        <v>1</v>
      </c>
      <c r="D291" s="6">
        <v>0</v>
      </c>
      <c r="E291" s="6">
        <v>1</v>
      </c>
      <c r="F291" s="6">
        <v>11</v>
      </c>
      <c r="G291" s="6" t="b">
        <v>0</v>
      </c>
      <c r="H291" s="6">
        <v>4</v>
      </c>
      <c r="I291" s="6">
        <v>2</v>
      </c>
      <c r="J291" s="6">
        <v>0.2</v>
      </c>
      <c r="K291">
        <v>0.16669999999999999</v>
      </c>
      <c r="L291">
        <v>0.44</v>
      </c>
      <c r="M291">
        <v>0.44779999999999998</v>
      </c>
      <c r="N291">
        <v>4</v>
      </c>
      <c r="O291">
        <v>33</v>
      </c>
      <c r="P291">
        <v>37</v>
      </c>
    </row>
    <row r="292" spans="1:16" x14ac:dyDescent="0.25">
      <c r="A292" s="6">
        <v>290</v>
      </c>
      <c r="B292" s="9">
        <v>40556</v>
      </c>
      <c r="C292" s="6">
        <v>1</v>
      </c>
      <c r="D292" s="6">
        <v>0</v>
      </c>
      <c r="E292" s="6">
        <v>1</v>
      </c>
      <c r="F292" s="6">
        <v>12</v>
      </c>
      <c r="G292" s="6" t="b">
        <v>0</v>
      </c>
      <c r="H292" s="6">
        <v>4</v>
      </c>
      <c r="I292" s="6">
        <v>1</v>
      </c>
      <c r="J292" s="6">
        <v>0.2</v>
      </c>
      <c r="K292">
        <v>0.16669999999999999</v>
      </c>
      <c r="L292">
        <v>0.44</v>
      </c>
      <c r="M292">
        <v>0.41789999999999999</v>
      </c>
      <c r="N292">
        <v>3</v>
      </c>
      <c r="O292">
        <v>49</v>
      </c>
      <c r="P292">
        <v>52</v>
      </c>
    </row>
    <row r="293" spans="1:16" x14ac:dyDescent="0.25">
      <c r="A293" s="6">
        <v>291</v>
      </c>
      <c r="B293" s="9">
        <v>40556</v>
      </c>
      <c r="C293" s="6">
        <v>1</v>
      </c>
      <c r="D293" s="6">
        <v>0</v>
      </c>
      <c r="E293" s="6">
        <v>1</v>
      </c>
      <c r="F293" s="6">
        <v>13</v>
      </c>
      <c r="G293" s="6" t="b">
        <v>0</v>
      </c>
      <c r="H293" s="6">
        <v>4</v>
      </c>
      <c r="I293" s="6">
        <v>1</v>
      </c>
      <c r="J293" s="6">
        <v>0.22</v>
      </c>
      <c r="K293">
        <v>0.19700000000000001</v>
      </c>
      <c r="L293">
        <v>0.41</v>
      </c>
      <c r="M293">
        <v>0.44779999999999998</v>
      </c>
      <c r="N293">
        <v>2</v>
      </c>
      <c r="O293">
        <v>81</v>
      </c>
      <c r="P293">
        <v>83</v>
      </c>
    </row>
    <row r="294" spans="1:16" x14ac:dyDescent="0.25">
      <c r="A294" s="6">
        <v>292</v>
      </c>
      <c r="B294" s="9">
        <v>40556</v>
      </c>
      <c r="C294" s="6">
        <v>1</v>
      </c>
      <c r="D294" s="6">
        <v>0</v>
      </c>
      <c r="E294" s="6">
        <v>1</v>
      </c>
      <c r="F294" s="6">
        <v>14</v>
      </c>
      <c r="G294" s="6" t="b">
        <v>0</v>
      </c>
      <c r="H294" s="6">
        <v>4</v>
      </c>
      <c r="I294" s="6">
        <v>1</v>
      </c>
      <c r="J294" s="6">
        <v>0.22</v>
      </c>
      <c r="K294">
        <v>0.19700000000000001</v>
      </c>
      <c r="L294">
        <v>0.41</v>
      </c>
      <c r="M294">
        <v>0.3881</v>
      </c>
      <c r="N294">
        <v>3</v>
      </c>
      <c r="O294">
        <v>39</v>
      </c>
      <c r="P294">
        <v>42</v>
      </c>
    </row>
    <row r="295" spans="1:16" x14ac:dyDescent="0.25">
      <c r="A295" s="6">
        <v>293</v>
      </c>
      <c r="B295" s="9">
        <v>40556</v>
      </c>
      <c r="C295" s="6">
        <v>1</v>
      </c>
      <c r="D295" s="6">
        <v>0</v>
      </c>
      <c r="E295" s="6">
        <v>1</v>
      </c>
      <c r="F295" s="6">
        <v>15</v>
      </c>
      <c r="G295" s="6" t="b">
        <v>0</v>
      </c>
      <c r="H295" s="6">
        <v>4</v>
      </c>
      <c r="I295" s="6">
        <v>1</v>
      </c>
      <c r="J295" s="6">
        <v>0.24</v>
      </c>
      <c r="K295">
        <v>0.21210000000000001</v>
      </c>
      <c r="L295">
        <v>0.38</v>
      </c>
      <c r="M295">
        <v>0.29849999999999999</v>
      </c>
      <c r="N295">
        <v>5</v>
      </c>
      <c r="O295">
        <v>55</v>
      </c>
      <c r="P295">
        <v>60</v>
      </c>
    </row>
    <row r="296" spans="1:16" x14ac:dyDescent="0.25">
      <c r="A296" s="6">
        <v>294</v>
      </c>
      <c r="B296" s="9">
        <v>40556</v>
      </c>
      <c r="C296" s="6">
        <v>1</v>
      </c>
      <c r="D296" s="6">
        <v>0</v>
      </c>
      <c r="E296" s="6">
        <v>1</v>
      </c>
      <c r="F296" s="6">
        <v>16</v>
      </c>
      <c r="G296" s="6" t="b">
        <v>0</v>
      </c>
      <c r="H296" s="6">
        <v>4</v>
      </c>
      <c r="I296" s="6">
        <v>1</v>
      </c>
      <c r="J296" s="6">
        <v>0.24</v>
      </c>
      <c r="K296">
        <v>0.21210000000000001</v>
      </c>
      <c r="L296">
        <v>0.38</v>
      </c>
      <c r="M296">
        <v>0.35820000000000002</v>
      </c>
      <c r="N296">
        <v>2</v>
      </c>
      <c r="O296">
        <v>76</v>
      </c>
      <c r="P296">
        <v>78</v>
      </c>
    </row>
    <row r="297" spans="1:16" x14ac:dyDescent="0.25">
      <c r="A297" s="6">
        <v>295</v>
      </c>
      <c r="B297" s="9">
        <v>40556</v>
      </c>
      <c r="C297" s="6">
        <v>1</v>
      </c>
      <c r="D297" s="6">
        <v>0</v>
      </c>
      <c r="E297" s="6">
        <v>1</v>
      </c>
      <c r="F297" s="6">
        <v>17</v>
      </c>
      <c r="G297" s="6" t="b">
        <v>0</v>
      </c>
      <c r="H297" s="6">
        <v>4</v>
      </c>
      <c r="I297" s="6">
        <v>1</v>
      </c>
      <c r="J297" s="6">
        <v>0.2</v>
      </c>
      <c r="K297">
        <v>0.18179999999999999</v>
      </c>
      <c r="L297">
        <v>0.4</v>
      </c>
      <c r="M297">
        <v>0.28360000000000002</v>
      </c>
      <c r="N297">
        <v>4</v>
      </c>
      <c r="O297">
        <v>158</v>
      </c>
      <c r="P297">
        <v>162</v>
      </c>
    </row>
    <row r="298" spans="1:16" x14ac:dyDescent="0.25">
      <c r="A298" s="6">
        <v>296</v>
      </c>
      <c r="B298" s="9">
        <v>40556</v>
      </c>
      <c r="C298" s="6">
        <v>1</v>
      </c>
      <c r="D298" s="6">
        <v>0</v>
      </c>
      <c r="E298" s="6">
        <v>1</v>
      </c>
      <c r="F298" s="6">
        <v>18</v>
      </c>
      <c r="G298" s="6" t="b">
        <v>0</v>
      </c>
      <c r="H298" s="6">
        <v>4</v>
      </c>
      <c r="I298" s="6">
        <v>1</v>
      </c>
      <c r="J298" s="6">
        <v>0.2</v>
      </c>
      <c r="K298">
        <v>0.18179999999999999</v>
      </c>
      <c r="L298">
        <v>0.4</v>
      </c>
      <c r="M298">
        <v>0.32840000000000003</v>
      </c>
      <c r="N298">
        <v>3</v>
      </c>
      <c r="O298">
        <v>141</v>
      </c>
      <c r="P298">
        <v>144</v>
      </c>
    </row>
    <row r="299" spans="1:16" x14ac:dyDescent="0.25">
      <c r="A299" s="6">
        <v>297</v>
      </c>
      <c r="B299" s="9">
        <v>40556</v>
      </c>
      <c r="C299" s="6">
        <v>1</v>
      </c>
      <c r="D299" s="6">
        <v>0</v>
      </c>
      <c r="E299" s="6">
        <v>1</v>
      </c>
      <c r="F299" s="6">
        <v>19</v>
      </c>
      <c r="G299" s="6" t="b">
        <v>0</v>
      </c>
      <c r="H299" s="6">
        <v>4</v>
      </c>
      <c r="I299" s="6">
        <v>1</v>
      </c>
      <c r="J299" s="6">
        <v>0.16</v>
      </c>
      <c r="K299">
        <v>0.1515</v>
      </c>
      <c r="L299">
        <v>0.47</v>
      </c>
      <c r="M299">
        <v>0.25369999999999998</v>
      </c>
      <c r="N299">
        <v>1</v>
      </c>
      <c r="O299">
        <v>98</v>
      </c>
      <c r="P299">
        <v>99</v>
      </c>
    </row>
    <row r="300" spans="1:16" x14ac:dyDescent="0.25">
      <c r="A300" s="6">
        <v>298</v>
      </c>
      <c r="B300" s="9">
        <v>40556</v>
      </c>
      <c r="C300" s="6">
        <v>1</v>
      </c>
      <c r="D300" s="6">
        <v>0</v>
      </c>
      <c r="E300" s="6">
        <v>1</v>
      </c>
      <c r="F300" s="6">
        <v>20</v>
      </c>
      <c r="G300" s="6" t="b">
        <v>0</v>
      </c>
      <c r="H300" s="6">
        <v>4</v>
      </c>
      <c r="I300" s="6">
        <v>1</v>
      </c>
      <c r="J300" s="6">
        <v>0.16</v>
      </c>
      <c r="K300">
        <v>0.1515</v>
      </c>
      <c r="L300">
        <v>0.47</v>
      </c>
      <c r="M300">
        <v>0.22389999999999999</v>
      </c>
      <c r="N300">
        <v>0</v>
      </c>
      <c r="O300">
        <v>64</v>
      </c>
      <c r="P300">
        <v>64</v>
      </c>
    </row>
    <row r="301" spans="1:16" x14ac:dyDescent="0.25">
      <c r="A301" s="6">
        <v>299</v>
      </c>
      <c r="B301" s="9">
        <v>40556</v>
      </c>
      <c r="C301" s="6">
        <v>1</v>
      </c>
      <c r="D301" s="6">
        <v>0</v>
      </c>
      <c r="E301" s="6">
        <v>1</v>
      </c>
      <c r="F301" s="6">
        <v>21</v>
      </c>
      <c r="G301" s="6" t="b">
        <v>0</v>
      </c>
      <c r="H301" s="6">
        <v>4</v>
      </c>
      <c r="I301" s="6">
        <v>1</v>
      </c>
      <c r="J301" s="6">
        <v>0.14000000000000001</v>
      </c>
      <c r="K301">
        <v>0.1212</v>
      </c>
      <c r="L301">
        <v>0.46</v>
      </c>
      <c r="M301">
        <v>0.29849999999999999</v>
      </c>
      <c r="N301">
        <v>0</v>
      </c>
      <c r="O301">
        <v>40</v>
      </c>
      <c r="P301">
        <v>40</v>
      </c>
    </row>
    <row r="302" spans="1:16" x14ac:dyDescent="0.25">
      <c r="A302" s="6">
        <v>300</v>
      </c>
      <c r="B302" s="9">
        <v>40556</v>
      </c>
      <c r="C302" s="6">
        <v>1</v>
      </c>
      <c r="D302" s="6">
        <v>0</v>
      </c>
      <c r="E302" s="6">
        <v>1</v>
      </c>
      <c r="F302" s="6">
        <v>22</v>
      </c>
      <c r="G302" s="6" t="b">
        <v>0</v>
      </c>
      <c r="H302" s="6">
        <v>4</v>
      </c>
      <c r="I302" s="6">
        <v>1</v>
      </c>
      <c r="J302" s="6">
        <v>0.14000000000000001</v>
      </c>
      <c r="K302">
        <v>0.1212</v>
      </c>
      <c r="L302">
        <v>0.46</v>
      </c>
      <c r="M302">
        <v>0.32840000000000003</v>
      </c>
      <c r="N302">
        <v>0</v>
      </c>
      <c r="O302">
        <v>30</v>
      </c>
      <c r="P302">
        <v>30</v>
      </c>
    </row>
    <row r="303" spans="1:16" x14ac:dyDescent="0.25">
      <c r="A303" s="6">
        <v>301</v>
      </c>
      <c r="B303" s="9">
        <v>40556</v>
      </c>
      <c r="C303" s="6">
        <v>1</v>
      </c>
      <c r="D303" s="6">
        <v>0</v>
      </c>
      <c r="E303" s="6">
        <v>1</v>
      </c>
      <c r="F303" s="6">
        <v>23</v>
      </c>
      <c r="G303" s="6" t="b">
        <v>0</v>
      </c>
      <c r="H303" s="6">
        <v>4</v>
      </c>
      <c r="I303" s="6">
        <v>1</v>
      </c>
      <c r="J303" s="6">
        <v>0.12</v>
      </c>
      <c r="K303">
        <v>0.13639999999999999</v>
      </c>
      <c r="L303">
        <v>0.5</v>
      </c>
      <c r="M303">
        <v>0.19400000000000001</v>
      </c>
      <c r="N303">
        <v>1</v>
      </c>
      <c r="O303">
        <v>14</v>
      </c>
      <c r="P303">
        <v>15</v>
      </c>
    </row>
    <row r="304" spans="1:16" x14ac:dyDescent="0.25">
      <c r="A304" s="6">
        <v>302</v>
      </c>
      <c r="B304" s="9">
        <v>40557</v>
      </c>
      <c r="C304" s="6">
        <v>1</v>
      </c>
      <c r="D304" s="6">
        <v>0</v>
      </c>
      <c r="E304" s="6">
        <v>1</v>
      </c>
      <c r="F304" s="6">
        <v>0</v>
      </c>
      <c r="G304" s="6" t="b">
        <v>0</v>
      </c>
      <c r="H304" s="6">
        <v>5</v>
      </c>
      <c r="I304" s="6">
        <v>1</v>
      </c>
      <c r="J304" s="6">
        <v>0.12</v>
      </c>
      <c r="K304">
        <v>0.13639999999999999</v>
      </c>
      <c r="L304">
        <v>0.5</v>
      </c>
      <c r="M304">
        <v>0.19400000000000001</v>
      </c>
      <c r="N304">
        <v>0</v>
      </c>
      <c r="O304">
        <v>14</v>
      </c>
      <c r="P304">
        <v>14</v>
      </c>
    </row>
    <row r="305" spans="1:16" x14ac:dyDescent="0.25">
      <c r="A305" s="6">
        <v>303</v>
      </c>
      <c r="B305" s="9">
        <v>40557</v>
      </c>
      <c r="C305" s="6">
        <v>1</v>
      </c>
      <c r="D305" s="6">
        <v>0</v>
      </c>
      <c r="E305" s="6">
        <v>1</v>
      </c>
      <c r="F305" s="6">
        <v>1</v>
      </c>
      <c r="G305" s="6" t="b">
        <v>0</v>
      </c>
      <c r="H305" s="6">
        <v>5</v>
      </c>
      <c r="I305" s="6">
        <v>1</v>
      </c>
      <c r="J305" s="6">
        <v>0.1</v>
      </c>
      <c r="K305">
        <v>0.1212</v>
      </c>
      <c r="L305">
        <v>0.54</v>
      </c>
      <c r="M305">
        <v>0.16420000000000001</v>
      </c>
      <c r="N305">
        <v>0</v>
      </c>
      <c r="O305">
        <v>5</v>
      </c>
      <c r="P305">
        <v>5</v>
      </c>
    </row>
    <row r="306" spans="1:16" x14ac:dyDescent="0.25">
      <c r="A306" s="6">
        <v>304</v>
      </c>
      <c r="B306" s="9">
        <v>40557</v>
      </c>
      <c r="C306" s="6">
        <v>1</v>
      </c>
      <c r="D306" s="6">
        <v>0</v>
      </c>
      <c r="E306" s="6">
        <v>1</v>
      </c>
      <c r="F306" s="6">
        <v>2</v>
      </c>
      <c r="G306" s="6" t="b">
        <v>0</v>
      </c>
      <c r="H306" s="6">
        <v>5</v>
      </c>
      <c r="I306" s="6">
        <v>1</v>
      </c>
      <c r="J306" s="6">
        <v>0.1</v>
      </c>
      <c r="K306">
        <v>0.1212</v>
      </c>
      <c r="L306">
        <v>0.54</v>
      </c>
      <c r="M306">
        <v>0.1343</v>
      </c>
      <c r="N306">
        <v>0</v>
      </c>
      <c r="O306">
        <v>1</v>
      </c>
      <c r="P306">
        <v>1</v>
      </c>
    </row>
    <row r="307" spans="1:16" x14ac:dyDescent="0.25">
      <c r="A307" s="6">
        <v>305</v>
      </c>
      <c r="B307" s="9">
        <v>40557</v>
      </c>
      <c r="C307" s="6">
        <v>1</v>
      </c>
      <c r="D307" s="6">
        <v>0</v>
      </c>
      <c r="E307" s="6">
        <v>1</v>
      </c>
      <c r="F307" s="6">
        <v>3</v>
      </c>
      <c r="G307" s="6" t="b">
        <v>0</v>
      </c>
      <c r="H307" s="6">
        <v>5</v>
      </c>
      <c r="I307" s="6">
        <v>1</v>
      </c>
      <c r="J307" s="6">
        <v>0.1</v>
      </c>
      <c r="K307">
        <v>0.13639999999999999</v>
      </c>
      <c r="L307">
        <v>0.54</v>
      </c>
      <c r="M307">
        <v>0.1045</v>
      </c>
      <c r="N307">
        <v>0</v>
      </c>
      <c r="O307">
        <v>1</v>
      </c>
      <c r="P307">
        <v>1</v>
      </c>
    </row>
    <row r="308" spans="1:16" x14ac:dyDescent="0.25">
      <c r="A308" s="6">
        <v>306</v>
      </c>
      <c r="B308" s="9">
        <v>40557</v>
      </c>
      <c r="C308" s="6">
        <v>1</v>
      </c>
      <c r="D308" s="6">
        <v>0</v>
      </c>
      <c r="E308" s="6">
        <v>1</v>
      </c>
      <c r="F308" s="6">
        <v>5</v>
      </c>
      <c r="G308" s="6" t="b">
        <v>0</v>
      </c>
      <c r="H308" s="6">
        <v>5</v>
      </c>
      <c r="I308" s="6">
        <v>1</v>
      </c>
      <c r="J308" s="6">
        <v>0.1</v>
      </c>
      <c r="K308">
        <v>0.13639999999999999</v>
      </c>
      <c r="L308">
        <v>0.54</v>
      </c>
      <c r="M308">
        <v>8.9599999999999999E-2</v>
      </c>
      <c r="N308">
        <v>0</v>
      </c>
      <c r="O308">
        <v>8</v>
      </c>
      <c r="P308">
        <v>8</v>
      </c>
    </row>
    <row r="309" spans="1:16" x14ac:dyDescent="0.25">
      <c r="A309" s="6">
        <v>307</v>
      </c>
      <c r="B309" s="9">
        <v>40557</v>
      </c>
      <c r="C309" s="6">
        <v>1</v>
      </c>
      <c r="D309" s="6">
        <v>0</v>
      </c>
      <c r="E309" s="6">
        <v>1</v>
      </c>
      <c r="F309" s="6">
        <v>6</v>
      </c>
      <c r="G309" s="6" t="b">
        <v>0</v>
      </c>
      <c r="H309" s="6">
        <v>5</v>
      </c>
      <c r="I309" s="6">
        <v>1</v>
      </c>
      <c r="J309" s="6">
        <v>0.1</v>
      </c>
      <c r="K309">
        <v>0.18179999999999999</v>
      </c>
      <c r="L309">
        <v>0.54</v>
      </c>
      <c r="M309">
        <v>0</v>
      </c>
      <c r="N309">
        <v>0</v>
      </c>
      <c r="O309">
        <v>17</v>
      </c>
      <c r="P309">
        <v>17</v>
      </c>
    </row>
    <row r="310" spans="1:16" x14ac:dyDescent="0.25">
      <c r="A310" s="6">
        <v>308</v>
      </c>
      <c r="B310" s="9">
        <v>40557</v>
      </c>
      <c r="C310" s="6">
        <v>1</v>
      </c>
      <c r="D310" s="6">
        <v>0</v>
      </c>
      <c r="E310" s="6">
        <v>1</v>
      </c>
      <c r="F310" s="6">
        <v>7</v>
      </c>
      <c r="G310" s="6" t="b">
        <v>0</v>
      </c>
      <c r="H310" s="6">
        <v>5</v>
      </c>
      <c r="I310" s="6">
        <v>1</v>
      </c>
      <c r="J310" s="6">
        <v>0.1</v>
      </c>
      <c r="K310">
        <v>0.1212</v>
      </c>
      <c r="L310">
        <v>0.74</v>
      </c>
      <c r="M310">
        <v>0.16420000000000001</v>
      </c>
      <c r="N310">
        <v>0</v>
      </c>
      <c r="O310">
        <v>70</v>
      </c>
      <c r="P310">
        <v>70</v>
      </c>
    </row>
    <row r="311" spans="1:16" x14ac:dyDescent="0.25">
      <c r="A311" s="6">
        <v>309</v>
      </c>
      <c r="B311" s="9">
        <v>40557</v>
      </c>
      <c r="C311" s="6">
        <v>1</v>
      </c>
      <c r="D311" s="6">
        <v>0</v>
      </c>
      <c r="E311" s="6">
        <v>1</v>
      </c>
      <c r="F311" s="6">
        <v>8</v>
      </c>
      <c r="G311" s="6" t="b">
        <v>0</v>
      </c>
      <c r="H311" s="6">
        <v>5</v>
      </c>
      <c r="I311" s="6">
        <v>1</v>
      </c>
      <c r="J311" s="6">
        <v>0.12</v>
      </c>
      <c r="K311">
        <v>0.16669999999999999</v>
      </c>
      <c r="L311">
        <v>0.68</v>
      </c>
      <c r="M311">
        <v>0</v>
      </c>
      <c r="N311">
        <v>2</v>
      </c>
      <c r="O311">
        <v>156</v>
      </c>
      <c r="P311">
        <v>158</v>
      </c>
    </row>
    <row r="312" spans="1:16" x14ac:dyDescent="0.25">
      <c r="A312" s="6">
        <v>310</v>
      </c>
      <c r="B312" s="9">
        <v>40557</v>
      </c>
      <c r="C312" s="6">
        <v>1</v>
      </c>
      <c r="D312" s="6">
        <v>0</v>
      </c>
      <c r="E312" s="6">
        <v>1</v>
      </c>
      <c r="F312" s="6">
        <v>9</v>
      </c>
      <c r="G312" s="6" t="b">
        <v>0</v>
      </c>
      <c r="H312" s="6">
        <v>5</v>
      </c>
      <c r="I312" s="6">
        <v>1</v>
      </c>
      <c r="J312" s="6">
        <v>0.14000000000000001</v>
      </c>
      <c r="K312">
        <v>0.1515</v>
      </c>
      <c r="L312">
        <v>0.69</v>
      </c>
      <c r="M312">
        <v>0.1343</v>
      </c>
      <c r="N312">
        <v>0</v>
      </c>
      <c r="O312">
        <v>117</v>
      </c>
      <c r="P312">
        <v>117</v>
      </c>
    </row>
    <row r="313" spans="1:16" x14ac:dyDescent="0.25">
      <c r="A313" s="6">
        <v>311</v>
      </c>
      <c r="B313" s="9">
        <v>40557</v>
      </c>
      <c r="C313" s="6">
        <v>1</v>
      </c>
      <c r="D313" s="6">
        <v>0</v>
      </c>
      <c r="E313" s="6">
        <v>1</v>
      </c>
      <c r="F313" s="6">
        <v>10</v>
      </c>
      <c r="G313" s="6" t="b">
        <v>0</v>
      </c>
      <c r="H313" s="6">
        <v>5</v>
      </c>
      <c r="I313" s="6">
        <v>1</v>
      </c>
      <c r="J313" s="6">
        <v>0.18</v>
      </c>
      <c r="K313">
        <v>0.18179999999999999</v>
      </c>
      <c r="L313">
        <v>0.55000000000000004</v>
      </c>
      <c r="M313">
        <v>0.19400000000000001</v>
      </c>
      <c r="N313">
        <v>4</v>
      </c>
      <c r="O313">
        <v>40</v>
      </c>
      <c r="P313">
        <v>44</v>
      </c>
    </row>
    <row r="314" spans="1:16" x14ac:dyDescent="0.25">
      <c r="A314" s="6">
        <v>312</v>
      </c>
      <c r="B314" s="9">
        <v>40557</v>
      </c>
      <c r="C314" s="6">
        <v>1</v>
      </c>
      <c r="D314" s="6">
        <v>0</v>
      </c>
      <c r="E314" s="6">
        <v>1</v>
      </c>
      <c r="F314" s="6">
        <v>11</v>
      </c>
      <c r="G314" s="6" t="b">
        <v>0</v>
      </c>
      <c r="H314" s="6">
        <v>5</v>
      </c>
      <c r="I314" s="6">
        <v>1</v>
      </c>
      <c r="J314" s="6">
        <v>0.18</v>
      </c>
      <c r="K314">
        <v>0.16669999999999999</v>
      </c>
      <c r="L314">
        <v>0.51</v>
      </c>
      <c r="M314">
        <v>0.28360000000000002</v>
      </c>
      <c r="N314">
        <v>6</v>
      </c>
      <c r="O314">
        <v>47</v>
      </c>
      <c r="P314">
        <v>53</v>
      </c>
    </row>
    <row r="315" spans="1:16" x14ac:dyDescent="0.25">
      <c r="A315" s="6">
        <v>313</v>
      </c>
      <c r="B315" s="9">
        <v>40557</v>
      </c>
      <c r="C315" s="6">
        <v>1</v>
      </c>
      <c r="D315" s="6">
        <v>0</v>
      </c>
      <c r="E315" s="6">
        <v>1</v>
      </c>
      <c r="F315" s="6">
        <v>12</v>
      </c>
      <c r="G315" s="6" t="b">
        <v>0</v>
      </c>
      <c r="H315" s="6">
        <v>5</v>
      </c>
      <c r="I315" s="6">
        <v>1</v>
      </c>
      <c r="J315" s="6">
        <v>0.2</v>
      </c>
      <c r="K315">
        <v>0.19700000000000001</v>
      </c>
      <c r="L315">
        <v>0.44</v>
      </c>
      <c r="M315">
        <v>0.25369999999999998</v>
      </c>
      <c r="N315">
        <v>2</v>
      </c>
      <c r="O315">
        <v>59</v>
      </c>
      <c r="P315">
        <v>61</v>
      </c>
    </row>
    <row r="316" spans="1:16" x14ac:dyDescent="0.25">
      <c r="A316" s="6">
        <v>314</v>
      </c>
      <c r="B316" s="9">
        <v>40557</v>
      </c>
      <c r="C316" s="6">
        <v>1</v>
      </c>
      <c r="D316" s="6">
        <v>0</v>
      </c>
      <c r="E316" s="6">
        <v>1</v>
      </c>
      <c r="F316" s="6">
        <v>13</v>
      </c>
      <c r="G316" s="6" t="b">
        <v>0</v>
      </c>
      <c r="H316" s="6">
        <v>5</v>
      </c>
      <c r="I316" s="6">
        <v>1</v>
      </c>
      <c r="J316" s="6">
        <v>0.22</v>
      </c>
      <c r="K316">
        <v>0.19700000000000001</v>
      </c>
      <c r="L316">
        <v>0.37</v>
      </c>
      <c r="M316">
        <v>0.3881</v>
      </c>
      <c r="N316">
        <v>4</v>
      </c>
      <c r="O316">
        <v>73</v>
      </c>
      <c r="P316">
        <v>77</v>
      </c>
    </row>
    <row r="317" spans="1:16" x14ac:dyDescent="0.25">
      <c r="A317" s="6">
        <v>315</v>
      </c>
      <c r="B317" s="9">
        <v>40557</v>
      </c>
      <c r="C317" s="6">
        <v>1</v>
      </c>
      <c r="D317" s="6">
        <v>0</v>
      </c>
      <c r="E317" s="6">
        <v>1</v>
      </c>
      <c r="F317" s="6">
        <v>14</v>
      </c>
      <c r="G317" s="6" t="b">
        <v>0</v>
      </c>
      <c r="H317" s="6">
        <v>5</v>
      </c>
      <c r="I317" s="6">
        <v>1</v>
      </c>
      <c r="J317" s="6">
        <v>0.22</v>
      </c>
      <c r="K317">
        <v>0.21210000000000001</v>
      </c>
      <c r="L317">
        <v>0.41</v>
      </c>
      <c r="M317">
        <v>0.28360000000000002</v>
      </c>
      <c r="N317">
        <v>5</v>
      </c>
      <c r="O317">
        <v>59</v>
      </c>
      <c r="P317">
        <v>64</v>
      </c>
    </row>
    <row r="318" spans="1:16" x14ac:dyDescent="0.25">
      <c r="A318" s="6">
        <v>316</v>
      </c>
      <c r="B318" s="9">
        <v>40557</v>
      </c>
      <c r="C318" s="6">
        <v>1</v>
      </c>
      <c r="D318" s="6">
        <v>0</v>
      </c>
      <c r="E318" s="6">
        <v>1</v>
      </c>
      <c r="F318" s="6">
        <v>15</v>
      </c>
      <c r="G318" s="6" t="b">
        <v>0</v>
      </c>
      <c r="H318" s="6">
        <v>5</v>
      </c>
      <c r="I318" s="6">
        <v>1</v>
      </c>
      <c r="J318" s="6">
        <v>0.24</v>
      </c>
      <c r="K318">
        <v>0.2424</v>
      </c>
      <c r="L318">
        <v>0.38</v>
      </c>
      <c r="M318">
        <v>0.16420000000000001</v>
      </c>
      <c r="N318">
        <v>9</v>
      </c>
      <c r="O318">
        <v>59</v>
      </c>
      <c r="P318">
        <v>68</v>
      </c>
    </row>
    <row r="319" spans="1:16" x14ac:dyDescent="0.25">
      <c r="A319" s="6">
        <v>317</v>
      </c>
      <c r="B319" s="9">
        <v>40557</v>
      </c>
      <c r="C319" s="6">
        <v>1</v>
      </c>
      <c r="D319" s="6">
        <v>0</v>
      </c>
      <c r="E319" s="6">
        <v>1</v>
      </c>
      <c r="F319" s="6">
        <v>16</v>
      </c>
      <c r="G319" s="6" t="b">
        <v>0</v>
      </c>
      <c r="H319" s="6">
        <v>5</v>
      </c>
      <c r="I319" s="6">
        <v>1</v>
      </c>
      <c r="J319" s="6">
        <v>0.22</v>
      </c>
      <c r="K319">
        <v>0.2424</v>
      </c>
      <c r="L319">
        <v>0.41</v>
      </c>
      <c r="M319">
        <v>0.1045</v>
      </c>
      <c r="N319">
        <v>3</v>
      </c>
      <c r="O319">
        <v>87</v>
      </c>
      <c r="P319">
        <v>90</v>
      </c>
    </row>
    <row r="320" spans="1:16" x14ac:dyDescent="0.25">
      <c r="A320" s="6">
        <v>318</v>
      </c>
      <c r="B320" s="9">
        <v>40557</v>
      </c>
      <c r="C320" s="6">
        <v>1</v>
      </c>
      <c r="D320" s="6">
        <v>0</v>
      </c>
      <c r="E320" s="6">
        <v>1</v>
      </c>
      <c r="F320" s="6">
        <v>17</v>
      </c>
      <c r="G320" s="6" t="b">
        <v>0</v>
      </c>
      <c r="H320" s="6">
        <v>5</v>
      </c>
      <c r="I320" s="6">
        <v>1</v>
      </c>
      <c r="J320" s="6">
        <v>0.22</v>
      </c>
      <c r="K320">
        <v>0.2273</v>
      </c>
      <c r="L320">
        <v>0.41</v>
      </c>
      <c r="M320">
        <v>0.16420000000000001</v>
      </c>
      <c r="N320">
        <v>4</v>
      </c>
      <c r="O320">
        <v>155</v>
      </c>
      <c r="P320">
        <v>159</v>
      </c>
    </row>
    <row r="321" spans="1:16" x14ac:dyDescent="0.25">
      <c r="A321" s="6">
        <v>319</v>
      </c>
      <c r="B321" s="9">
        <v>40557</v>
      </c>
      <c r="C321" s="6">
        <v>1</v>
      </c>
      <c r="D321" s="6">
        <v>0</v>
      </c>
      <c r="E321" s="6">
        <v>1</v>
      </c>
      <c r="F321" s="6">
        <v>18</v>
      </c>
      <c r="G321" s="6" t="b">
        <v>0</v>
      </c>
      <c r="H321" s="6">
        <v>5</v>
      </c>
      <c r="I321" s="6">
        <v>1</v>
      </c>
      <c r="J321" s="6">
        <v>0.2</v>
      </c>
      <c r="K321">
        <v>0.2576</v>
      </c>
      <c r="L321">
        <v>0.47</v>
      </c>
      <c r="M321">
        <v>0</v>
      </c>
      <c r="N321">
        <v>5</v>
      </c>
      <c r="O321">
        <v>134</v>
      </c>
      <c r="P321">
        <v>139</v>
      </c>
    </row>
    <row r="322" spans="1:16" x14ac:dyDescent="0.25">
      <c r="A322" s="6">
        <v>320</v>
      </c>
      <c r="B322" s="9">
        <v>40557</v>
      </c>
      <c r="C322" s="6">
        <v>1</v>
      </c>
      <c r="D322" s="6">
        <v>0</v>
      </c>
      <c r="E322" s="6">
        <v>1</v>
      </c>
      <c r="F322" s="6">
        <v>19</v>
      </c>
      <c r="G322" s="6" t="b">
        <v>0</v>
      </c>
      <c r="H322" s="6">
        <v>5</v>
      </c>
      <c r="I322" s="6">
        <v>1</v>
      </c>
      <c r="J322" s="6">
        <v>0.16</v>
      </c>
      <c r="K322">
        <v>0.19700000000000001</v>
      </c>
      <c r="L322">
        <v>0.59</v>
      </c>
      <c r="M322">
        <v>8.9599999999999999E-2</v>
      </c>
      <c r="N322">
        <v>3</v>
      </c>
      <c r="O322">
        <v>89</v>
      </c>
      <c r="P322">
        <v>92</v>
      </c>
    </row>
    <row r="323" spans="1:16" x14ac:dyDescent="0.25">
      <c r="A323" s="6">
        <v>321</v>
      </c>
      <c r="B323" s="9">
        <v>40557</v>
      </c>
      <c r="C323" s="6">
        <v>1</v>
      </c>
      <c r="D323" s="6">
        <v>0</v>
      </c>
      <c r="E323" s="6">
        <v>1</v>
      </c>
      <c r="F323" s="6">
        <v>20</v>
      </c>
      <c r="G323" s="6" t="b">
        <v>0</v>
      </c>
      <c r="H323" s="6">
        <v>5</v>
      </c>
      <c r="I323" s="6">
        <v>1</v>
      </c>
      <c r="J323" s="6">
        <v>0.18</v>
      </c>
      <c r="K323">
        <v>0.2424</v>
      </c>
      <c r="L323">
        <v>0.59</v>
      </c>
      <c r="M323">
        <v>0</v>
      </c>
      <c r="N323">
        <v>0</v>
      </c>
      <c r="O323">
        <v>68</v>
      </c>
      <c r="P323">
        <v>68</v>
      </c>
    </row>
    <row r="324" spans="1:16" x14ac:dyDescent="0.25">
      <c r="A324" s="6">
        <v>322</v>
      </c>
      <c r="B324" s="9">
        <v>40557</v>
      </c>
      <c r="C324" s="6">
        <v>1</v>
      </c>
      <c r="D324" s="6">
        <v>0</v>
      </c>
      <c r="E324" s="6">
        <v>1</v>
      </c>
      <c r="F324" s="6">
        <v>21</v>
      </c>
      <c r="G324" s="6" t="b">
        <v>0</v>
      </c>
      <c r="H324" s="6">
        <v>5</v>
      </c>
      <c r="I324" s="6">
        <v>1</v>
      </c>
      <c r="J324" s="6">
        <v>0.16</v>
      </c>
      <c r="K324">
        <v>0.2273</v>
      </c>
      <c r="L324">
        <v>0.69</v>
      </c>
      <c r="M324">
        <v>0</v>
      </c>
      <c r="N324">
        <v>4</v>
      </c>
      <c r="O324">
        <v>48</v>
      </c>
      <c r="P324">
        <v>52</v>
      </c>
    </row>
    <row r="325" spans="1:16" x14ac:dyDescent="0.25">
      <c r="A325" s="6">
        <v>323</v>
      </c>
      <c r="B325" s="9">
        <v>40557</v>
      </c>
      <c r="C325" s="6">
        <v>1</v>
      </c>
      <c r="D325" s="6">
        <v>0</v>
      </c>
      <c r="E325" s="6">
        <v>1</v>
      </c>
      <c r="F325" s="6">
        <v>22</v>
      </c>
      <c r="G325" s="6" t="b">
        <v>0</v>
      </c>
      <c r="H325" s="6">
        <v>5</v>
      </c>
      <c r="I325" s="6">
        <v>2</v>
      </c>
      <c r="J325" s="6">
        <v>0.16</v>
      </c>
      <c r="K325">
        <v>0.2273</v>
      </c>
      <c r="L325">
        <v>0.69</v>
      </c>
      <c r="M325">
        <v>0</v>
      </c>
      <c r="N325">
        <v>2</v>
      </c>
      <c r="O325">
        <v>34</v>
      </c>
      <c r="P325">
        <v>36</v>
      </c>
    </row>
    <row r="326" spans="1:16" x14ac:dyDescent="0.25">
      <c r="A326" s="6">
        <v>324</v>
      </c>
      <c r="B326" s="9">
        <v>40557</v>
      </c>
      <c r="C326" s="6">
        <v>1</v>
      </c>
      <c r="D326" s="6">
        <v>0</v>
      </c>
      <c r="E326" s="6">
        <v>1</v>
      </c>
      <c r="F326" s="6">
        <v>23</v>
      </c>
      <c r="G326" s="6" t="b">
        <v>0</v>
      </c>
      <c r="H326" s="6">
        <v>5</v>
      </c>
      <c r="I326" s="6">
        <v>2</v>
      </c>
      <c r="J326" s="6">
        <v>0.18</v>
      </c>
      <c r="K326">
        <v>0.2424</v>
      </c>
      <c r="L326">
        <v>0.55000000000000004</v>
      </c>
      <c r="M326">
        <v>0</v>
      </c>
      <c r="N326">
        <v>1</v>
      </c>
      <c r="O326">
        <v>26</v>
      </c>
      <c r="P326">
        <v>27</v>
      </c>
    </row>
    <row r="327" spans="1:16" x14ac:dyDescent="0.25">
      <c r="A327" s="6">
        <v>325</v>
      </c>
      <c r="B327" s="9">
        <v>40558</v>
      </c>
      <c r="C327" s="6">
        <v>1</v>
      </c>
      <c r="D327" s="6">
        <v>0</v>
      </c>
      <c r="E327" s="6">
        <v>1</v>
      </c>
      <c r="F327" s="6">
        <v>0</v>
      </c>
      <c r="G327" s="6" t="b">
        <v>0</v>
      </c>
      <c r="H327" s="6">
        <v>6</v>
      </c>
      <c r="I327" s="6">
        <v>1</v>
      </c>
      <c r="J327" s="6">
        <v>0.18</v>
      </c>
      <c r="K327">
        <v>0.2424</v>
      </c>
      <c r="L327">
        <v>0.55000000000000004</v>
      </c>
      <c r="M327">
        <v>0</v>
      </c>
      <c r="N327">
        <v>3</v>
      </c>
      <c r="O327">
        <v>25</v>
      </c>
      <c r="P327">
        <v>28</v>
      </c>
    </row>
    <row r="328" spans="1:16" x14ac:dyDescent="0.25">
      <c r="A328" s="6">
        <v>326</v>
      </c>
      <c r="B328" s="9">
        <v>40558</v>
      </c>
      <c r="C328" s="6">
        <v>1</v>
      </c>
      <c r="D328" s="6">
        <v>0</v>
      </c>
      <c r="E328" s="6">
        <v>1</v>
      </c>
      <c r="F328" s="6">
        <v>1</v>
      </c>
      <c r="G328" s="6" t="b">
        <v>0</v>
      </c>
      <c r="H328" s="6">
        <v>6</v>
      </c>
      <c r="I328" s="6">
        <v>2</v>
      </c>
      <c r="J328" s="6">
        <v>0.16</v>
      </c>
      <c r="K328">
        <v>0.19700000000000001</v>
      </c>
      <c r="L328">
        <v>0.59</v>
      </c>
      <c r="M328">
        <v>8.9599999999999999E-2</v>
      </c>
      <c r="N328">
        <v>2</v>
      </c>
      <c r="O328">
        <v>18</v>
      </c>
      <c r="P328">
        <v>20</v>
      </c>
    </row>
    <row r="329" spans="1:16" x14ac:dyDescent="0.25">
      <c r="A329" s="6">
        <v>327</v>
      </c>
      <c r="B329" s="9">
        <v>40558</v>
      </c>
      <c r="C329" s="6">
        <v>1</v>
      </c>
      <c r="D329" s="6">
        <v>0</v>
      </c>
      <c r="E329" s="6">
        <v>1</v>
      </c>
      <c r="F329" s="6">
        <v>2</v>
      </c>
      <c r="G329" s="6" t="b">
        <v>0</v>
      </c>
      <c r="H329" s="6">
        <v>6</v>
      </c>
      <c r="I329" s="6">
        <v>2</v>
      </c>
      <c r="J329" s="6">
        <v>0.16</v>
      </c>
      <c r="K329">
        <v>0.19700000000000001</v>
      </c>
      <c r="L329">
        <v>0.59</v>
      </c>
      <c r="M329">
        <v>8.9599999999999999E-2</v>
      </c>
      <c r="N329">
        <v>0</v>
      </c>
      <c r="O329">
        <v>12</v>
      </c>
      <c r="P329">
        <v>12</v>
      </c>
    </row>
    <row r="330" spans="1:16" x14ac:dyDescent="0.25">
      <c r="A330" s="6">
        <v>328</v>
      </c>
      <c r="B330" s="9">
        <v>40558</v>
      </c>
      <c r="C330" s="6">
        <v>1</v>
      </c>
      <c r="D330" s="6">
        <v>0</v>
      </c>
      <c r="E330" s="6">
        <v>1</v>
      </c>
      <c r="F330" s="6">
        <v>3</v>
      </c>
      <c r="G330" s="6" t="b">
        <v>0</v>
      </c>
      <c r="H330" s="6">
        <v>6</v>
      </c>
      <c r="I330" s="6">
        <v>2</v>
      </c>
      <c r="J330" s="6">
        <v>0.16</v>
      </c>
      <c r="K330">
        <v>0.2273</v>
      </c>
      <c r="L330">
        <v>0.59</v>
      </c>
      <c r="M330">
        <v>0</v>
      </c>
      <c r="N330">
        <v>1</v>
      </c>
      <c r="O330">
        <v>7</v>
      </c>
      <c r="P330">
        <v>8</v>
      </c>
    </row>
    <row r="331" spans="1:16" x14ac:dyDescent="0.25">
      <c r="A331" s="6">
        <v>329</v>
      </c>
      <c r="B331" s="9">
        <v>40558</v>
      </c>
      <c r="C331" s="6">
        <v>1</v>
      </c>
      <c r="D331" s="6">
        <v>0</v>
      </c>
      <c r="E331" s="6">
        <v>1</v>
      </c>
      <c r="F331" s="6">
        <v>4</v>
      </c>
      <c r="G331" s="6" t="b">
        <v>0</v>
      </c>
      <c r="H331" s="6">
        <v>6</v>
      </c>
      <c r="I331" s="6">
        <v>2</v>
      </c>
      <c r="J331" s="6">
        <v>0.16</v>
      </c>
      <c r="K331">
        <v>0.2273</v>
      </c>
      <c r="L331">
        <v>0.59</v>
      </c>
      <c r="M331">
        <v>0</v>
      </c>
      <c r="N331">
        <v>0</v>
      </c>
      <c r="O331">
        <v>5</v>
      </c>
      <c r="P331">
        <v>5</v>
      </c>
    </row>
    <row r="332" spans="1:16" x14ac:dyDescent="0.25">
      <c r="A332" s="6">
        <v>330</v>
      </c>
      <c r="B332" s="9">
        <v>40558</v>
      </c>
      <c r="C332" s="6">
        <v>1</v>
      </c>
      <c r="D332" s="6">
        <v>0</v>
      </c>
      <c r="E332" s="6">
        <v>1</v>
      </c>
      <c r="F332" s="6">
        <v>5</v>
      </c>
      <c r="G332" s="6" t="b">
        <v>0</v>
      </c>
      <c r="H332" s="6">
        <v>6</v>
      </c>
      <c r="I332" s="6">
        <v>1</v>
      </c>
      <c r="J332" s="6">
        <v>0.16</v>
      </c>
      <c r="K332">
        <v>0.2273</v>
      </c>
      <c r="L332">
        <v>0.59</v>
      </c>
      <c r="M332">
        <v>0</v>
      </c>
      <c r="N332">
        <v>0</v>
      </c>
      <c r="O332">
        <v>1</v>
      </c>
      <c r="P332">
        <v>1</v>
      </c>
    </row>
    <row r="333" spans="1:16" x14ac:dyDescent="0.25">
      <c r="A333" s="6">
        <v>331</v>
      </c>
      <c r="B333" s="9">
        <v>40558</v>
      </c>
      <c r="C333" s="6">
        <v>1</v>
      </c>
      <c r="D333" s="6">
        <v>0</v>
      </c>
      <c r="E333" s="6">
        <v>1</v>
      </c>
      <c r="F333" s="6">
        <v>6</v>
      </c>
      <c r="G333" s="6" t="b">
        <v>0</v>
      </c>
      <c r="H333" s="6">
        <v>6</v>
      </c>
      <c r="I333" s="6">
        <v>1</v>
      </c>
      <c r="J333" s="6">
        <v>0.14000000000000001</v>
      </c>
      <c r="K333">
        <v>0.16669999999999999</v>
      </c>
      <c r="L333">
        <v>0.63</v>
      </c>
      <c r="M333">
        <v>0.1045</v>
      </c>
      <c r="N333">
        <v>1</v>
      </c>
      <c r="O333">
        <v>2</v>
      </c>
      <c r="P333">
        <v>3</v>
      </c>
    </row>
    <row r="334" spans="1:16" x14ac:dyDescent="0.25">
      <c r="A334" s="6">
        <v>332</v>
      </c>
      <c r="B334" s="9">
        <v>40558</v>
      </c>
      <c r="C334" s="6">
        <v>1</v>
      </c>
      <c r="D334" s="6">
        <v>0</v>
      </c>
      <c r="E334" s="6">
        <v>1</v>
      </c>
      <c r="F334" s="6">
        <v>7</v>
      </c>
      <c r="G334" s="6" t="b">
        <v>0</v>
      </c>
      <c r="H334" s="6">
        <v>6</v>
      </c>
      <c r="I334" s="6">
        <v>1</v>
      </c>
      <c r="J334" s="6">
        <v>0.14000000000000001</v>
      </c>
      <c r="K334">
        <v>0.21210000000000001</v>
      </c>
      <c r="L334">
        <v>0.63</v>
      </c>
      <c r="M334">
        <v>0</v>
      </c>
      <c r="N334">
        <v>1</v>
      </c>
      <c r="O334">
        <v>9</v>
      </c>
      <c r="P334">
        <v>10</v>
      </c>
    </row>
    <row r="335" spans="1:16" x14ac:dyDescent="0.25">
      <c r="A335" s="6">
        <v>333</v>
      </c>
      <c r="B335" s="9">
        <v>40558</v>
      </c>
      <c r="C335" s="6">
        <v>1</v>
      </c>
      <c r="D335" s="6">
        <v>0</v>
      </c>
      <c r="E335" s="6">
        <v>1</v>
      </c>
      <c r="F335" s="6">
        <v>8</v>
      </c>
      <c r="G335" s="6" t="b">
        <v>0</v>
      </c>
      <c r="H335" s="6">
        <v>6</v>
      </c>
      <c r="I335" s="6">
        <v>1</v>
      </c>
      <c r="J335" s="6">
        <v>0.14000000000000001</v>
      </c>
      <c r="K335">
        <v>0.1515</v>
      </c>
      <c r="L335">
        <v>0.63</v>
      </c>
      <c r="M335">
        <v>0.1343</v>
      </c>
      <c r="N335">
        <v>1</v>
      </c>
      <c r="O335">
        <v>22</v>
      </c>
      <c r="P335">
        <v>23</v>
      </c>
    </row>
    <row r="336" spans="1:16" x14ac:dyDescent="0.25">
      <c r="A336" s="6">
        <v>334</v>
      </c>
      <c r="B336" s="9">
        <v>40558</v>
      </c>
      <c r="C336" s="6">
        <v>1</v>
      </c>
      <c r="D336" s="6">
        <v>0</v>
      </c>
      <c r="E336" s="6">
        <v>1</v>
      </c>
      <c r="F336" s="6">
        <v>9</v>
      </c>
      <c r="G336" s="6" t="b">
        <v>0</v>
      </c>
      <c r="H336" s="6">
        <v>6</v>
      </c>
      <c r="I336" s="6">
        <v>1</v>
      </c>
      <c r="J336" s="6">
        <v>0.16</v>
      </c>
      <c r="K336">
        <v>0.18179999999999999</v>
      </c>
      <c r="L336">
        <v>0.64</v>
      </c>
      <c r="M336">
        <v>0.1343</v>
      </c>
      <c r="N336">
        <v>2</v>
      </c>
      <c r="O336">
        <v>31</v>
      </c>
      <c r="P336">
        <v>33</v>
      </c>
    </row>
    <row r="337" spans="1:16" x14ac:dyDescent="0.25">
      <c r="A337" s="6">
        <v>335</v>
      </c>
      <c r="B337" s="9">
        <v>40558</v>
      </c>
      <c r="C337" s="6">
        <v>1</v>
      </c>
      <c r="D337" s="6">
        <v>0</v>
      </c>
      <c r="E337" s="6">
        <v>1</v>
      </c>
      <c r="F337" s="6">
        <v>10</v>
      </c>
      <c r="G337" s="6" t="b">
        <v>0</v>
      </c>
      <c r="H337" s="6">
        <v>6</v>
      </c>
      <c r="I337" s="6">
        <v>1</v>
      </c>
      <c r="J337" s="6">
        <v>0.18</v>
      </c>
      <c r="K337">
        <v>0.19700000000000001</v>
      </c>
      <c r="L337">
        <v>0.59</v>
      </c>
      <c r="M337">
        <v>0.16420000000000001</v>
      </c>
      <c r="N337">
        <v>2</v>
      </c>
      <c r="O337">
        <v>57</v>
      </c>
      <c r="P337">
        <v>59</v>
      </c>
    </row>
    <row r="338" spans="1:16" x14ac:dyDescent="0.25">
      <c r="A338" s="6">
        <v>336</v>
      </c>
      <c r="B338" s="9">
        <v>40558</v>
      </c>
      <c r="C338" s="6">
        <v>1</v>
      </c>
      <c r="D338" s="6">
        <v>0</v>
      </c>
      <c r="E338" s="6">
        <v>1</v>
      </c>
      <c r="F338" s="6">
        <v>11</v>
      </c>
      <c r="G338" s="6" t="b">
        <v>0</v>
      </c>
      <c r="H338" s="6">
        <v>6</v>
      </c>
      <c r="I338" s="6">
        <v>1</v>
      </c>
      <c r="J338" s="6">
        <v>0.2</v>
      </c>
      <c r="K338">
        <v>0.19700000000000001</v>
      </c>
      <c r="L338">
        <v>0.55000000000000004</v>
      </c>
      <c r="M338">
        <v>0.22389999999999999</v>
      </c>
      <c r="N338">
        <v>18</v>
      </c>
      <c r="O338">
        <v>54</v>
      </c>
      <c r="P338">
        <v>72</v>
      </c>
    </row>
    <row r="339" spans="1:16" x14ac:dyDescent="0.25">
      <c r="A339" s="6">
        <v>337</v>
      </c>
      <c r="B339" s="9">
        <v>40558</v>
      </c>
      <c r="C339" s="6">
        <v>1</v>
      </c>
      <c r="D339" s="6">
        <v>0</v>
      </c>
      <c r="E339" s="6">
        <v>1</v>
      </c>
      <c r="F339" s="6">
        <v>12</v>
      </c>
      <c r="G339" s="6" t="b">
        <v>0</v>
      </c>
      <c r="H339" s="6">
        <v>6</v>
      </c>
      <c r="I339" s="6">
        <v>1</v>
      </c>
      <c r="J339" s="6">
        <v>0.24</v>
      </c>
      <c r="K339">
        <v>0.2273</v>
      </c>
      <c r="L339">
        <v>0.48</v>
      </c>
      <c r="M339">
        <v>0.22389999999999999</v>
      </c>
      <c r="N339">
        <v>15</v>
      </c>
      <c r="O339">
        <v>74</v>
      </c>
      <c r="P339">
        <v>89</v>
      </c>
    </row>
    <row r="340" spans="1:16" x14ac:dyDescent="0.25">
      <c r="A340" s="6">
        <v>338</v>
      </c>
      <c r="B340" s="9">
        <v>40558</v>
      </c>
      <c r="C340" s="6">
        <v>1</v>
      </c>
      <c r="D340" s="6">
        <v>0</v>
      </c>
      <c r="E340" s="6">
        <v>1</v>
      </c>
      <c r="F340" s="6">
        <v>13</v>
      </c>
      <c r="G340" s="6" t="b">
        <v>0</v>
      </c>
      <c r="H340" s="6">
        <v>6</v>
      </c>
      <c r="I340" s="6">
        <v>1</v>
      </c>
      <c r="J340" s="6">
        <v>0.28000000000000003</v>
      </c>
      <c r="K340">
        <v>0.2576</v>
      </c>
      <c r="L340">
        <v>0.38</v>
      </c>
      <c r="M340">
        <v>0.29849999999999999</v>
      </c>
      <c r="N340">
        <v>21</v>
      </c>
      <c r="O340">
        <v>80</v>
      </c>
      <c r="P340">
        <v>101</v>
      </c>
    </row>
    <row r="341" spans="1:16" x14ac:dyDescent="0.25">
      <c r="A341" s="6">
        <v>339</v>
      </c>
      <c r="B341" s="9">
        <v>40558</v>
      </c>
      <c r="C341" s="6">
        <v>1</v>
      </c>
      <c r="D341" s="6">
        <v>0</v>
      </c>
      <c r="E341" s="6">
        <v>1</v>
      </c>
      <c r="F341" s="6">
        <v>14</v>
      </c>
      <c r="G341" s="6" t="b">
        <v>0</v>
      </c>
      <c r="H341" s="6">
        <v>6</v>
      </c>
      <c r="I341" s="6">
        <v>1</v>
      </c>
      <c r="J341" s="6">
        <v>0.3</v>
      </c>
      <c r="K341">
        <v>0.28789999999999999</v>
      </c>
      <c r="L341">
        <v>0.39</v>
      </c>
      <c r="M341">
        <v>0.28360000000000002</v>
      </c>
      <c r="N341">
        <v>26</v>
      </c>
      <c r="O341">
        <v>92</v>
      </c>
      <c r="P341">
        <v>118</v>
      </c>
    </row>
    <row r="342" spans="1:16" x14ac:dyDescent="0.25">
      <c r="A342" s="6">
        <v>340</v>
      </c>
      <c r="B342" s="9">
        <v>40558</v>
      </c>
      <c r="C342" s="6">
        <v>1</v>
      </c>
      <c r="D342" s="6">
        <v>0</v>
      </c>
      <c r="E342" s="6">
        <v>1</v>
      </c>
      <c r="F342" s="6">
        <v>15</v>
      </c>
      <c r="G342" s="6" t="b">
        <v>0</v>
      </c>
      <c r="H342" s="6">
        <v>6</v>
      </c>
      <c r="I342" s="6">
        <v>2</v>
      </c>
      <c r="J342" s="6">
        <v>0.32</v>
      </c>
      <c r="K342">
        <v>0.31819999999999998</v>
      </c>
      <c r="L342">
        <v>0.36</v>
      </c>
      <c r="M342">
        <v>0.19400000000000001</v>
      </c>
      <c r="N342">
        <v>21</v>
      </c>
      <c r="O342">
        <v>108</v>
      </c>
      <c r="P342">
        <v>129</v>
      </c>
    </row>
    <row r="343" spans="1:16" x14ac:dyDescent="0.25">
      <c r="A343" s="6">
        <v>341</v>
      </c>
      <c r="B343" s="9">
        <v>40558</v>
      </c>
      <c r="C343" s="6">
        <v>1</v>
      </c>
      <c r="D343" s="6">
        <v>0</v>
      </c>
      <c r="E343" s="6">
        <v>1</v>
      </c>
      <c r="F343" s="6">
        <v>16</v>
      </c>
      <c r="G343" s="6" t="b">
        <v>0</v>
      </c>
      <c r="H343" s="6">
        <v>6</v>
      </c>
      <c r="I343" s="6">
        <v>2</v>
      </c>
      <c r="J343" s="6">
        <v>0.34</v>
      </c>
      <c r="K343">
        <v>0.33329999999999999</v>
      </c>
      <c r="L343">
        <v>0.34</v>
      </c>
      <c r="M343">
        <v>0.19400000000000001</v>
      </c>
      <c r="N343">
        <v>33</v>
      </c>
      <c r="O343">
        <v>95</v>
      </c>
      <c r="P343">
        <v>128</v>
      </c>
    </row>
    <row r="344" spans="1:16" x14ac:dyDescent="0.25">
      <c r="A344" s="6">
        <v>342</v>
      </c>
      <c r="B344" s="9">
        <v>40558</v>
      </c>
      <c r="C344" s="6">
        <v>1</v>
      </c>
      <c r="D344" s="6">
        <v>0</v>
      </c>
      <c r="E344" s="6">
        <v>1</v>
      </c>
      <c r="F344" s="6">
        <v>17</v>
      </c>
      <c r="G344" s="6" t="b">
        <v>0</v>
      </c>
      <c r="H344" s="6">
        <v>6</v>
      </c>
      <c r="I344" s="6">
        <v>2</v>
      </c>
      <c r="J344" s="6">
        <v>0.32</v>
      </c>
      <c r="K344">
        <v>0.30299999999999999</v>
      </c>
      <c r="L344">
        <v>0.36</v>
      </c>
      <c r="M344">
        <v>0.28360000000000002</v>
      </c>
      <c r="N344">
        <v>29</v>
      </c>
      <c r="O344">
        <v>54</v>
      </c>
      <c r="P344">
        <v>83</v>
      </c>
    </row>
    <row r="345" spans="1:16" x14ac:dyDescent="0.25">
      <c r="A345" s="6">
        <v>343</v>
      </c>
      <c r="B345" s="9">
        <v>40558</v>
      </c>
      <c r="C345" s="6">
        <v>1</v>
      </c>
      <c r="D345" s="6">
        <v>0</v>
      </c>
      <c r="E345" s="6">
        <v>1</v>
      </c>
      <c r="F345" s="6">
        <v>18</v>
      </c>
      <c r="G345" s="6" t="b">
        <v>0</v>
      </c>
      <c r="H345" s="6">
        <v>6</v>
      </c>
      <c r="I345" s="6">
        <v>2</v>
      </c>
      <c r="J345" s="6">
        <v>0.3</v>
      </c>
      <c r="K345">
        <v>0.28789999999999999</v>
      </c>
      <c r="L345">
        <v>0.45</v>
      </c>
      <c r="M345">
        <v>0.25369999999999998</v>
      </c>
      <c r="N345">
        <v>15</v>
      </c>
      <c r="O345">
        <v>69</v>
      </c>
      <c r="P345">
        <v>84</v>
      </c>
    </row>
    <row r="346" spans="1:16" x14ac:dyDescent="0.25">
      <c r="A346" s="6">
        <v>344</v>
      </c>
      <c r="B346" s="9">
        <v>40558</v>
      </c>
      <c r="C346" s="6">
        <v>1</v>
      </c>
      <c r="D346" s="6">
        <v>0</v>
      </c>
      <c r="E346" s="6">
        <v>1</v>
      </c>
      <c r="F346" s="6">
        <v>19</v>
      </c>
      <c r="G346" s="6" t="b">
        <v>0</v>
      </c>
      <c r="H346" s="6">
        <v>6</v>
      </c>
      <c r="I346" s="6">
        <v>2</v>
      </c>
      <c r="J346" s="6">
        <v>0.32</v>
      </c>
      <c r="K346">
        <v>0.30299999999999999</v>
      </c>
      <c r="L346">
        <v>0.39</v>
      </c>
      <c r="M346">
        <v>0.25369999999999998</v>
      </c>
      <c r="N346">
        <v>14</v>
      </c>
      <c r="O346">
        <v>60</v>
      </c>
      <c r="P346">
        <v>74</v>
      </c>
    </row>
    <row r="347" spans="1:16" x14ac:dyDescent="0.25">
      <c r="A347" s="6">
        <v>345</v>
      </c>
      <c r="B347" s="9">
        <v>40558</v>
      </c>
      <c r="C347" s="6">
        <v>1</v>
      </c>
      <c r="D347" s="6">
        <v>0</v>
      </c>
      <c r="E347" s="6">
        <v>1</v>
      </c>
      <c r="F347" s="6">
        <v>20</v>
      </c>
      <c r="G347" s="6" t="b">
        <v>0</v>
      </c>
      <c r="H347" s="6">
        <v>6</v>
      </c>
      <c r="I347" s="6">
        <v>2</v>
      </c>
      <c r="J347" s="6">
        <v>0.32</v>
      </c>
      <c r="K347">
        <v>0.30299999999999999</v>
      </c>
      <c r="L347">
        <v>0.39</v>
      </c>
      <c r="M347">
        <v>0.25369999999999998</v>
      </c>
      <c r="N347">
        <v>6</v>
      </c>
      <c r="O347">
        <v>35</v>
      </c>
      <c r="P347">
        <v>41</v>
      </c>
    </row>
    <row r="348" spans="1:16" x14ac:dyDescent="0.25">
      <c r="A348" s="6">
        <v>346</v>
      </c>
      <c r="B348" s="9">
        <v>40558</v>
      </c>
      <c r="C348" s="6">
        <v>1</v>
      </c>
      <c r="D348" s="6">
        <v>0</v>
      </c>
      <c r="E348" s="6">
        <v>1</v>
      </c>
      <c r="F348" s="6">
        <v>21</v>
      </c>
      <c r="G348" s="6" t="b">
        <v>0</v>
      </c>
      <c r="H348" s="6">
        <v>6</v>
      </c>
      <c r="I348" s="6">
        <v>2</v>
      </c>
      <c r="J348" s="6">
        <v>0.32</v>
      </c>
      <c r="K348">
        <v>0.30299999999999999</v>
      </c>
      <c r="L348">
        <v>0.39</v>
      </c>
      <c r="M348">
        <v>0.22389999999999999</v>
      </c>
      <c r="N348">
        <v>6</v>
      </c>
      <c r="O348">
        <v>51</v>
      </c>
      <c r="P348">
        <v>57</v>
      </c>
    </row>
    <row r="349" spans="1:16" x14ac:dyDescent="0.25">
      <c r="A349" s="6">
        <v>347</v>
      </c>
      <c r="B349" s="9">
        <v>40558</v>
      </c>
      <c r="C349" s="6">
        <v>1</v>
      </c>
      <c r="D349" s="6">
        <v>0</v>
      </c>
      <c r="E349" s="6">
        <v>1</v>
      </c>
      <c r="F349" s="6">
        <v>22</v>
      </c>
      <c r="G349" s="6" t="b">
        <v>0</v>
      </c>
      <c r="H349" s="6">
        <v>6</v>
      </c>
      <c r="I349" s="6">
        <v>2</v>
      </c>
      <c r="J349" s="6">
        <v>0.3</v>
      </c>
      <c r="K349">
        <v>0.31819999999999998</v>
      </c>
      <c r="L349">
        <v>0.42</v>
      </c>
      <c r="M349">
        <v>0.1045</v>
      </c>
      <c r="N349">
        <v>0</v>
      </c>
      <c r="O349">
        <v>26</v>
      </c>
      <c r="P349">
        <v>26</v>
      </c>
    </row>
    <row r="350" spans="1:16" x14ac:dyDescent="0.25">
      <c r="A350" s="6">
        <v>348</v>
      </c>
      <c r="B350" s="9">
        <v>40558</v>
      </c>
      <c r="C350" s="6">
        <v>1</v>
      </c>
      <c r="D350" s="6">
        <v>0</v>
      </c>
      <c r="E350" s="6">
        <v>1</v>
      </c>
      <c r="F350" s="6">
        <v>23</v>
      </c>
      <c r="G350" s="6" t="b">
        <v>0</v>
      </c>
      <c r="H350" s="6">
        <v>6</v>
      </c>
      <c r="I350" s="6">
        <v>1</v>
      </c>
      <c r="J350" s="6">
        <v>0.3</v>
      </c>
      <c r="K350">
        <v>0.28789999999999999</v>
      </c>
      <c r="L350">
        <v>0.45</v>
      </c>
      <c r="M350">
        <v>0.28360000000000002</v>
      </c>
      <c r="N350">
        <v>5</v>
      </c>
      <c r="O350">
        <v>39</v>
      </c>
      <c r="P350">
        <v>44</v>
      </c>
    </row>
    <row r="351" spans="1:16" x14ac:dyDescent="0.25">
      <c r="A351" s="6">
        <v>349</v>
      </c>
      <c r="B351" s="9">
        <v>40559</v>
      </c>
      <c r="C351" s="6">
        <v>1</v>
      </c>
      <c r="D351" s="6">
        <v>0</v>
      </c>
      <c r="E351" s="6">
        <v>1</v>
      </c>
      <c r="F351" s="6">
        <v>0</v>
      </c>
      <c r="G351" s="6" t="b">
        <v>0</v>
      </c>
      <c r="H351" s="6">
        <v>0</v>
      </c>
      <c r="I351" s="6">
        <v>1</v>
      </c>
      <c r="J351" s="6">
        <v>0.26</v>
      </c>
      <c r="K351">
        <v>0.30299999999999999</v>
      </c>
      <c r="L351">
        <v>0.56000000000000005</v>
      </c>
      <c r="M351">
        <v>0</v>
      </c>
      <c r="N351">
        <v>6</v>
      </c>
      <c r="O351">
        <v>33</v>
      </c>
      <c r="P351">
        <v>39</v>
      </c>
    </row>
    <row r="352" spans="1:16" x14ac:dyDescent="0.25">
      <c r="A352" s="6">
        <v>350</v>
      </c>
      <c r="B352" s="9">
        <v>40559</v>
      </c>
      <c r="C352" s="6">
        <v>1</v>
      </c>
      <c r="D352" s="6">
        <v>0</v>
      </c>
      <c r="E352" s="6">
        <v>1</v>
      </c>
      <c r="F352" s="6">
        <v>1</v>
      </c>
      <c r="G352" s="6" t="b">
        <v>0</v>
      </c>
      <c r="H352" s="6">
        <v>0</v>
      </c>
      <c r="I352" s="6">
        <v>1</v>
      </c>
      <c r="J352" s="6">
        <v>0.26</v>
      </c>
      <c r="K352">
        <v>0.2727</v>
      </c>
      <c r="L352">
        <v>0.56000000000000005</v>
      </c>
      <c r="M352">
        <v>0.1343</v>
      </c>
      <c r="N352">
        <v>4</v>
      </c>
      <c r="O352">
        <v>19</v>
      </c>
      <c r="P352">
        <v>23</v>
      </c>
    </row>
    <row r="353" spans="1:16" x14ac:dyDescent="0.25">
      <c r="A353" s="6">
        <v>351</v>
      </c>
      <c r="B353" s="9">
        <v>40559</v>
      </c>
      <c r="C353" s="6">
        <v>1</v>
      </c>
      <c r="D353" s="6">
        <v>0</v>
      </c>
      <c r="E353" s="6">
        <v>1</v>
      </c>
      <c r="F353" s="6">
        <v>2</v>
      </c>
      <c r="G353" s="6" t="b">
        <v>0</v>
      </c>
      <c r="H353" s="6">
        <v>0</v>
      </c>
      <c r="I353" s="6">
        <v>1</v>
      </c>
      <c r="J353" s="6">
        <v>0.26</v>
      </c>
      <c r="K353">
        <v>0.28789999999999999</v>
      </c>
      <c r="L353">
        <v>0.56000000000000005</v>
      </c>
      <c r="M353">
        <v>8.9599999999999999E-2</v>
      </c>
      <c r="N353">
        <v>3</v>
      </c>
      <c r="O353">
        <v>13</v>
      </c>
      <c r="P353">
        <v>16</v>
      </c>
    </row>
    <row r="354" spans="1:16" x14ac:dyDescent="0.25">
      <c r="A354" s="6">
        <v>352</v>
      </c>
      <c r="B354" s="9">
        <v>40559</v>
      </c>
      <c r="C354" s="6">
        <v>1</v>
      </c>
      <c r="D354" s="6">
        <v>0</v>
      </c>
      <c r="E354" s="6">
        <v>1</v>
      </c>
      <c r="F354" s="6">
        <v>3</v>
      </c>
      <c r="G354" s="6" t="b">
        <v>0</v>
      </c>
      <c r="H354" s="6">
        <v>0</v>
      </c>
      <c r="I354" s="6">
        <v>1</v>
      </c>
      <c r="J354" s="6">
        <v>0.22</v>
      </c>
      <c r="K354">
        <v>0.2727</v>
      </c>
      <c r="L354">
        <v>0.69</v>
      </c>
      <c r="M354">
        <v>0</v>
      </c>
      <c r="N354">
        <v>9</v>
      </c>
      <c r="O354">
        <v>6</v>
      </c>
      <c r="P354">
        <v>15</v>
      </c>
    </row>
    <row r="355" spans="1:16" x14ac:dyDescent="0.25">
      <c r="A355" s="6">
        <v>353</v>
      </c>
      <c r="B355" s="9">
        <v>40559</v>
      </c>
      <c r="C355" s="6">
        <v>1</v>
      </c>
      <c r="D355" s="6">
        <v>0</v>
      </c>
      <c r="E355" s="6">
        <v>1</v>
      </c>
      <c r="F355" s="6">
        <v>4</v>
      </c>
      <c r="G355" s="6" t="b">
        <v>0</v>
      </c>
      <c r="H355" s="6">
        <v>0</v>
      </c>
      <c r="I355" s="6">
        <v>1</v>
      </c>
      <c r="J355" s="6">
        <v>0.26</v>
      </c>
      <c r="K355">
        <v>0.2576</v>
      </c>
      <c r="L355">
        <v>0.56000000000000005</v>
      </c>
      <c r="M355">
        <v>0.16420000000000001</v>
      </c>
      <c r="N355">
        <v>0</v>
      </c>
      <c r="O355">
        <v>1</v>
      </c>
      <c r="P355">
        <v>1</v>
      </c>
    </row>
    <row r="356" spans="1:16" x14ac:dyDescent="0.25">
      <c r="A356" s="6">
        <v>354</v>
      </c>
      <c r="B356" s="9">
        <v>40559</v>
      </c>
      <c r="C356" s="6">
        <v>1</v>
      </c>
      <c r="D356" s="6">
        <v>0</v>
      </c>
      <c r="E356" s="6">
        <v>1</v>
      </c>
      <c r="F356" s="6">
        <v>5</v>
      </c>
      <c r="G356" s="6" t="b">
        <v>0</v>
      </c>
      <c r="H356" s="6">
        <v>0</v>
      </c>
      <c r="I356" s="6">
        <v>2</v>
      </c>
      <c r="J356" s="6">
        <v>0.26</v>
      </c>
      <c r="K356">
        <v>0.2576</v>
      </c>
      <c r="L356">
        <v>0.56000000000000005</v>
      </c>
      <c r="M356">
        <v>0.16420000000000001</v>
      </c>
      <c r="N356">
        <v>1</v>
      </c>
      <c r="O356">
        <v>1</v>
      </c>
      <c r="P356">
        <v>2</v>
      </c>
    </row>
    <row r="357" spans="1:16" x14ac:dyDescent="0.25">
      <c r="A357" s="6">
        <v>355</v>
      </c>
      <c r="B357" s="9">
        <v>40559</v>
      </c>
      <c r="C357" s="6">
        <v>1</v>
      </c>
      <c r="D357" s="6">
        <v>0</v>
      </c>
      <c r="E357" s="6">
        <v>1</v>
      </c>
      <c r="F357" s="6">
        <v>6</v>
      </c>
      <c r="G357" s="6" t="b">
        <v>0</v>
      </c>
      <c r="H357" s="6">
        <v>0</v>
      </c>
      <c r="I357" s="6">
        <v>2</v>
      </c>
      <c r="J357" s="6">
        <v>0.26</v>
      </c>
      <c r="K357">
        <v>0.2576</v>
      </c>
      <c r="L357">
        <v>0.56000000000000005</v>
      </c>
      <c r="M357">
        <v>0.16420000000000001</v>
      </c>
      <c r="N357">
        <v>0</v>
      </c>
      <c r="O357">
        <v>1</v>
      </c>
      <c r="P357">
        <v>1</v>
      </c>
    </row>
    <row r="358" spans="1:16" x14ac:dyDescent="0.25">
      <c r="A358" s="6">
        <v>356</v>
      </c>
      <c r="B358" s="9">
        <v>40559</v>
      </c>
      <c r="C358" s="6">
        <v>1</v>
      </c>
      <c r="D358" s="6">
        <v>0</v>
      </c>
      <c r="E358" s="6">
        <v>1</v>
      </c>
      <c r="F358" s="6">
        <v>7</v>
      </c>
      <c r="G358" s="6" t="b">
        <v>0</v>
      </c>
      <c r="H358" s="6">
        <v>0</v>
      </c>
      <c r="I358" s="6">
        <v>2</v>
      </c>
      <c r="J358" s="6">
        <v>0.24</v>
      </c>
      <c r="K358">
        <v>0.21210000000000001</v>
      </c>
      <c r="L358">
        <v>0.56000000000000005</v>
      </c>
      <c r="M358">
        <v>0.29849999999999999</v>
      </c>
      <c r="N358">
        <v>0</v>
      </c>
      <c r="O358">
        <v>3</v>
      </c>
      <c r="P358">
        <v>3</v>
      </c>
    </row>
    <row r="359" spans="1:16" x14ac:dyDescent="0.25">
      <c r="A359" s="6">
        <v>357</v>
      </c>
      <c r="B359" s="9">
        <v>40559</v>
      </c>
      <c r="C359" s="6">
        <v>1</v>
      </c>
      <c r="D359" s="6">
        <v>0</v>
      </c>
      <c r="E359" s="6">
        <v>1</v>
      </c>
      <c r="F359" s="6">
        <v>8</v>
      </c>
      <c r="G359" s="6" t="b">
        <v>0</v>
      </c>
      <c r="H359" s="6">
        <v>0</v>
      </c>
      <c r="I359" s="6">
        <v>1</v>
      </c>
      <c r="J359" s="6">
        <v>0.22</v>
      </c>
      <c r="K359">
        <v>0.21210000000000001</v>
      </c>
      <c r="L359">
        <v>0.55000000000000004</v>
      </c>
      <c r="M359">
        <v>0.28360000000000002</v>
      </c>
      <c r="N359">
        <v>0</v>
      </c>
      <c r="O359">
        <v>18</v>
      </c>
      <c r="P359">
        <v>18</v>
      </c>
    </row>
    <row r="360" spans="1:16" x14ac:dyDescent="0.25">
      <c r="A360" s="6">
        <v>358</v>
      </c>
      <c r="B360" s="9">
        <v>40559</v>
      </c>
      <c r="C360" s="6">
        <v>1</v>
      </c>
      <c r="D360" s="6">
        <v>0</v>
      </c>
      <c r="E360" s="6">
        <v>1</v>
      </c>
      <c r="F360" s="6">
        <v>9</v>
      </c>
      <c r="G360" s="6" t="b">
        <v>0</v>
      </c>
      <c r="H360" s="6">
        <v>0</v>
      </c>
      <c r="I360" s="6">
        <v>1</v>
      </c>
      <c r="J360" s="6">
        <v>0.22</v>
      </c>
      <c r="K360">
        <v>0.21210000000000001</v>
      </c>
      <c r="L360">
        <v>0.51</v>
      </c>
      <c r="M360">
        <v>0.25369999999999998</v>
      </c>
      <c r="N360">
        <v>3</v>
      </c>
      <c r="O360">
        <v>29</v>
      </c>
      <c r="P360">
        <v>32</v>
      </c>
    </row>
    <row r="361" spans="1:16" x14ac:dyDescent="0.25">
      <c r="A361" s="6">
        <v>359</v>
      </c>
      <c r="B361" s="9">
        <v>40559</v>
      </c>
      <c r="C361" s="6">
        <v>1</v>
      </c>
      <c r="D361" s="6">
        <v>0</v>
      </c>
      <c r="E361" s="6">
        <v>1</v>
      </c>
      <c r="F361" s="6">
        <v>10</v>
      </c>
      <c r="G361" s="6" t="b">
        <v>0</v>
      </c>
      <c r="H361" s="6">
        <v>0</v>
      </c>
      <c r="I361" s="6">
        <v>1</v>
      </c>
      <c r="J361" s="6">
        <v>0.22</v>
      </c>
      <c r="K361">
        <v>0.21210000000000001</v>
      </c>
      <c r="L361">
        <v>0.51</v>
      </c>
      <c r="M361">
        <v>0.28360000000000002</v>
      </c>
      <c r="N361">
        <v>8</v>
      </c>
      <c r="O361">
        <v>71</v>
      </c>
      <c r="P361">
        <v>79</v>
      </c>
    </row>
    <row r="362" spans="1:16" x14ac:dyDescent="0.25">
      <c r="A362" s="6">
        <v>360</v>
      </c>
      <c r="B362" s="9">
        <v>40559</v>
      </c>
      <c r="C362" s="6">
        <v>1</v>
      </c>
      <c r="D362" s="6">
        <v>0</v>
      </c>
      <c r="E362" s="6">
        <v>1</v>
      </c>
      <c r="F362" s="6">
        <v>11</v>
      </c>
      <c r="G362" s="6" t="b">
        <v>0</v>
      </c>
      <c r="H362" s="6">
        <v>0</v>
      </c>
      <c r="I362" s="6">
        <v>1</v>
      </c>
      <c r="J362" s="6">
        <v>0.24</v>
      </c>
      <c r="K362">
        <v>0.2273</v>
      </c>
      <c r="L362">
        <v>0.44</v>
      </c>
      <c r="M362">
        <v>0.25369999999999998</v>
      </c>
      <c r="N362">
        <v>23</v>
      </c>
      <c r="O362">
        <v>70</v>
      </c>
      <c r="P362">
        <v>93</v>
      </c>
    </row>
    <row r="363" spans="1:16" x14ac:dyDescent="0.25">
      <c r="A363" s="6">
        <v>361</v>
      </c>
      <c r="B363" s="9">
        <v>40559</v>
      </c>
      <c r="C363" s="6">
        <v>1</v>
      </c>
      <c r="D363" s="6">
        <v>0</v>
      </c>
      <c r="E363" s="6">
        <v>1</v>
      </c>
      <c r="F363" s="6">
        <v>12</v>
      </c>
      <c r="G363" s="6" t="b">
        <v>0</v>
      </c>
      <c r="H363" s="6">
        <v>0</v>
      </c>
      <c r="I363" s="6">
        <v>1</v>
      </c>
      <c r="J363" s="6">
        <v>0.24</v>
      </c>
      <c r="K363">
        <v>0.21210000000000001</v>
      </c>
      <c r="L363">
        <v>0.41</v>
      </c>
      <c r="M363">
        <v>0.28360000000000002</v>
      </c>
      <c r="N363">
        <v>29</v>
      </c>
      <c r="O363">
        <v>75</v>
      </c>
      <c r="P363">
        <v>104</v>
      </c>
    </row>
    <row r="364" spans="1:16" x14ac:dyDescent="0.25">
      <c r="A364" s="6">
        <v>362</v>
      </c>
      <c r="B364" s="9">
        <v>40559</v>
      </c>
      <c r="C364" s="6">
        <v>1</v>
      </c>
      <c r="D364" s="6">
        <v>0</v>
      </c>
      <c r="E364" s="6">
        <v>1</v>
      </c>
      <c r="F364" s="6">
        <v>13</v>
      </c>
      <c r="G364" s="6" t="b">
        <v>0</v>
      </c>
      <c r="H364" s="6">
        <v>0</v>
      </c>
      <c r="I364" s="6">
        <v>1</v>
      </c>
      <c r="J364" s="6">
        <v>0.26</v>
      </c>
      <c r="K364">
        <v>0.2273</v>
      </c>
      <c r="L364">
        <v>0.35</v>
      </c>
      <c r="M364">
        <v>0.29849999999999999</v>
      </c>
      <c r="N364">
        <v>23</v>
      </c>
      <c r="O364">
        <v>95</v>
      </c>
      <c r="P364">
        <v>118</v>
      </c>
    </row>
    <row r="365" spans="1:16" x14ac:dyDescent="0.25">
      <c r="A365" s="6">
        <v>363</v>
      </c>
      <c r="B365" s="9">
        <v>40559</v>
      </c>
      <c r="C365" s="6">
        <v>1</v>
      </c>
      <c r="D365" s="6">
        <v>0</v>
      </c>
      <c r="E365" s="6">
        <v>1</v>
      </c>
      <c r="F365" s="6">
        <v>14</v>
      </c>
      <c r="G365" s="6" t="b">
        <v>0</v>
      </c>
      <c r="H365" s="6">
        <v>0</v>
      </c>
      <c r="I365" s="6">
        <v>1</v>
      </c>
      <c r="J365" s="6">
        <v>0.28000000000000003</v>
      </c>
      <c r="K365">
        <v>0.2727</v>
      </c>
      <c r="L365">
        <v>0.36</v>
      </c>
      <c r="M365">
        <v>0.25369999999999998</v>
      </c>
      <c r="N365">
        <v>22</v>
      </c>
      <c r="O365">
        <v>69</v>
      </c>
      <c r="P365">
        <v>91</v>
      </c>
    </row>
    <row r="366" spans="1:16" x14ac:dyDescent="0.25">
      <c r="A366" s="6">
        <v>364</v>
      </c>
      <c r="B366" s="9">
        <v>40559</v>
      </c>
      <c r="C366" s="6">
        <v>1</v>
      </c>
      <c r="D366" s="6">
        <v>0</v>
      </c>
      <c r="E366" s="6">
        <v>1</v>
      </c>
      <c r="F366" s="6">
        <v>15</v>
      </c>
      <c r="G366" s="6" t="b">
        <v>0</v>
      </c>
      <c r="H366" s="6">
        <v>0</v>
      </c>
      <c r="I366" s="6">
        <v>1</v>
      </c>
      <c r="J366" s="6">
        <v>0.26</v>
      </c>
      <c r="K366">
        <v>0.2424</v>
      </c>
      <c r="L366">
        <v>0.38</v>
      </c>
      <c r="M366">
        <v>0.25369999999999998</v>
      </c>
      <c r="N366">
        <v>35</v>
      </c>
      <c r="O366">
        <v>78</v>
      </c>
      <c r="P366">
        <v>113</v>
      </c>
    </row>
    <row r="367" spans="1:16" x14ac:dyDescent="0.25">
      <c r="A367" s="6">
        <v>365</v>
      </c>
      <c r="B367" s="9">
        <v>40559</v>
      </c>
      <c r="C367" s="6">
        <v>1</v>
      </c>
      <c r="D367" s="6">
        <v>0</v>
      </c>
      <c r="E367" s="6">
        <v>1</v>
      </c>
      <c r="F367" s="6">
        <v>16</v>
      </c>
      <c r="G367" s="6" t="b">
        <v>0</v>
      </c>
      <c r="H367" s="6">
        <v>0</v>
      </c>
      <c r="I367" s="6">
        <v>1</v>
      </c>
      <c r="J367" s="6">
        <v>0.24</v>
      </c>
      <c r="K367">
        <v>0.2273</v>
      </c>
      <c r="L367">
        <v>0.38</v>
      </c>
      <c r="M367">
        <v>0.22389999999999999</v>
      </c>
      <c r="N367">
        <v>22</v>
      </c>
      <c r="O367">
        <v>77</v>
      </c>
      <c r="P367">
        <v>99</v>
      </c>
    </row>
    <row r="368" spans="1:16" x14ac:dyDescent="0.25">
      <c r="A368" s="6">
        <v>366</v>
      </c>
      <c r="B368" s="9">
        <v>40559</v>
      </c>
      <c r="C368" s="6">
        <v>1</v>
      </c>
      <c r="D368" s="6">
        <v>0</v>
      </c>
      <c r="E368" s="6">
        <v>1</v>
      </c>
      <c r="F368" s="6">
        <v>17</v>
      </c>
      <c r="G368" s="6" t="b">
        <v>0</v>
      </c>
      <c r="H368" s="6">
        <v>0</v>
      </c>
      <c r="I368" s="6">
        <v>1</v>
      </c>
      <c r="J368" s="6">
        <v>0.22</v>
      </c>
      <c r="K368">
        <v>0.21210000000000001</v>
      </c>
      <c r="L368">
        <v>0.37</v>
      </c>
      <c r="M368">
        <v>0.25369999999999998</v>
      </c>
      <c r="N368">
        <v>23</v>
      </c>
      <c r="O368">
        <v>82</v>
      </c>
      <c r="P368">
        <v>105</v>
      </c>
    </row>
    <row r="369" spans="1:16" x14ac:dyDescent="0.25">
      <c r="A369" s="6">
        <v>367</v>
      </c>
      <c r="B369" s="9">
        <v>40559</v>
      </c>
      <c r="C369" s="6">
        <v>1</v>
      </c>
      <c r="D369" s="6">
        <v>0</v>
      </c>
      <c r="E369" s="6">
        <v>1</v>
      </c>
      <c r="F369" s="6">
        <v>18</v>
      </c>
      <c r="G369" s="6" t="b">
        <v>0</v>
      </c>
      <c r="H369" s="6">
        <v>0</v>
      </c>
      <c r="I369" s="6">
        <v>1</v>
      </c>
      <c r="J369" s="6">
        <v>0.2</v>
      </c>
      <c r="K369">
        <v>0.21210000000000001</v>
      </c>
      <c r="L369">
        <v>0.4</v>
      </c>
      <c r="M369">
        <v>0.16420000000000001</v>
      </c>
      <c r="N369">
        <v>11</v>
      </c>
      <c r="O369">
        <v>56</v>
      </c>
      <c r="P369">
        <v>67</v>
      </c>
    </row>
    <row r="370" spans="1:16" x14ac:dyDescent="0.25">
      <c r="A370" s="6">
        <v>368</v>
      </c>
      <c r="B370" s="9">
        <v>40559</v>
      </c>
      <c r="C370" s="6">
        <v>1</v>
      </c>
      <c r="D370" s="6">
        <v>0</v>
      </c>
      <c r="E370" s="6">
        <v>1</v>
      </c>
      <c r="F370" s="6">
        <v>19</v>
      </c>
      <c r="G370" s="6" t="b">
        <v>0</v>
      </c>
      <c r="H370" s="6">
        <v>0</v>
      </c>
      <c r="I370" s="6">
        <v>1</v>
      </c>
      <c r="J370" s="6">
        <v>0.18</v>
      </c>
      <c r="K370">
        <v>0.19700000000000001</v>
      </c>
      <c r="L370">
        <v>0.47</v>
      </c>
      <c r="M370">
        <v>0.1343</v>
      </c>
      <c r="N370">
        <v>14</v>
      </c>
      <c r="O370">
        <v>47</v>
      </c>
      <c r="P370">
        <v>61</v>
      </c>
    </row>
    <row r="371" spans="1:16" x14ac:dyDescent="0.25">
      <c r="A371" s="6">
        <v>369</v>
      </c>
      <c r="B371" s="9">
        <v>40559</v>
      </c>
      <c r="C371" s="6">
        <v>1</v>
      </c>
      <c r="D371" s="6">
        <v>0</v>
      </c>
      <c r="E371" s="6">
        <v>1</v>
      </c>
      <c r="F371" s="6">
        <v>20</v>
      </c>
      <c r="G371" s="6" t="b">
        <v>0</v>
      </c>
      <c r="H371" s="6">
        <v>0</v>
      </c>
      <c r="I371" s="6">
        <v>1</v>
      </c>
      <c r="J371" s="6">
        <v>0.18</v>
      </c>
      <c r="K371">
        <v>0.19700000000000001</v>
      </c>
      <c r="L371">
        <v>0.47</v>
      </c>
      <c r="M371">
        <v>0.16420000000000001</v>
      </c>
      <c r="N371">
        <v>7</v>
      </c>
      <c r="O371">
        <v>50</v>
      </c>
      <c r="P371">
        <v>57</v>
      </c>
    </row>
    <row r="372" spans="1:16" x14ac:dyDescent="0.25">
      <c r="A372" s="6">
        <v>370</v>
      </c>
      <c r="B372" s="9">
        <v>40559</v>
      </c>
      <c r="C372" s="6">
        <v>1</v>
      </c>
      <c r="D372" s="6">
        <v>0</v>
      </c>
      <c r="E372" s="6">
        <v>1</v>
      </c>
      <c r="F372" s="6">
        <v>21</v>
      </c>
      <c r="G372" s="6" t="b">
        <v>0</v>
      </c>
      <c r="H372" s="6">
        <v>0</v>
      </c>
      <c r="I372" s="6">
        <v>1</v>
      </c>
      <c r="J372" s="6">
        <v>0.18</v>
      </c>
      <c r="K372">
        <v>0.19700000000000001</v>
      </c>
      <c r="L372">
        <v>0.51</v>
      </c>
      <c r="M372">
        <v>0.16420000000000001</v>
      </c>
      <c r="N372">
        <v>6</v>
      </c>
      <c r="O372">
        <v>22</v>
      </c>
      <c r="P372">
        <v>28</v>
      </c>
    </row>
    <row r="373" spans="1:16" x14ac:dyDescent="0.25">
      <c r="A373" s="6">
        <v>371</v>
      </c>
      <c r="B373" s="9">
        <v>40559</v>
      </c>
      <c r="C373" s="6">
        <v>1</v>
      </c>
      <c r="D373" s="6">
        <v>0</v>
      </c>
      <c r="E373" s="6">
        <v>1</v>
      </c>
      <c r="F373" s="6">
        <v>22</v>
      </c>
      <c r="G373" s="6" t="b">
        <v>0</v>
      </c>
      <c r="H373" s="6">
        <v>0</v>
      </c>
      <c r="I373" s="6">
        <v>2</v>
      </c>
      <c r="J373" s="6">
        <v>0.2</v>
      </c>
      <c r="K373">
        <v>0.21210000000000001</v>
      </c>
      <c r="L373">
        <v>0.49</v>
      </c>
      <c r="M373">
        <v>0.1343</v>
      </c>
      <c r="N373">
        <v>2</v>
      </c>
      <c r="O373">
        <v>19</v>
      </c>
      <c r="P373">
        <v>21</v>
      </c>
    </row>
    <row r="374" spans="1:16" x14ac:dyDescent="0.25">
      <c r="A374" s="6">
        <v>372</v>
      </c>
      <c r="B374" s="9">
        <v>40559</v>
      </c>
      <c r="C374" s="6">
        <v>1</v>
      </c>
      <c r="D374" s="6">
        <v>0</v>
      </c>
      <c r="E374" s="6">
        <v>1</v>
      </c>
      <c r="F374" s="6">
        <v>23</v>
      </c>
      <c r="G374" s="6" t="b">
        <v>0</v>
      </c>
      <c r="H374" s="6">
        <v>0</v>
      </c>
      <c r="I374" s="6">
        <v>2</v>
      </c>
      <c r="J374" s="6">
        <v>0.2</v>
      </c>
      <c r="K374">
        <v>0.2273</v>
      </c>
      <c r="L374">
        <v>0.4</v>
      </c>
      <c r="M374">
        <v>0.1045</v>
      </c>
      <c r="N374">
        <v>0</v>
      </c>
      <c r="O374">
        <v>18</v>
      </c>
      <c r="P374">
        <v>18</v>
      </c>
    </row>
    <row r="375" spans="1:16" x14ac:dyDescent="0.25">
      <c r="A375" s="6">
        <v>373</v>
      </c>
      <c r="B375" s="9">
        <v>40560</v>
      </c>
      <c r="C375" s="6">
        <v>1</v>
      </c>
      <c r="D375" s="6">
        <v>0</v>
      </c>
      <c r="E375" s="6">
        <v>1</v>
      </c>
      <c r="F375" s="6">
        <v>0</v>
      </c>
      <c r="G375" s="6" t="b">
        <v>1</v>
      </c>
      <c r="H375" s="6">
        <v>1</v>
      </c>
      <c r="I375" s="6">
        <v>2</v>
      </c>
      <c r="J375" s="6">
        <v>0.2</v>
      </c>
      <c r="K375">
        <v>0.19700000000000001</v>
      </c>
      <c r="L375">
        <v>0.47</v>
      </c>
      <c r="M375">
        <v>0.22389999999999999</v>
      </c>
      <c r="N375">
        <v>1</v>
      </c>
      <c r="O375">
        <v>16</v>
      </c>
      <c r="P375">
        <v>17</v>
      </c>
    </row>
    <row r="376" spans="1:16" x14ac:dyDescent="0.25">
      <c r="A376" s="6">
        <v>374</v>
      </c>
      <c r="B376" s="9">
        <v>40560</v>
      </c>
      <c r="C376" s="6">
        <v>1</v>
      </c>
      <c r="D376" s="6">
        <v>0</v>
      </c>
      <c r="E376" s="6">
        <v>1</v>
      </c>
      <c r="F376" s="6">
        <v>1</v>
      </c>
      <c r="G376" s="6" t="b">
        <v>1</v>
      </c>
      <c r="H376" s="6">
        <v>1</v>
      </c>
      <c r="I376" s="6">
        <v>2</v>
      </c>
      <c r="J376" s="6">
        <v>0.2</v>
      </c>
      <c r="K376">
        <v>0.19700000000000001</v>
      </c>
      <c r="L376">
        <v>0.44</v>
      </c>
      <c r="M376">
        <v>0.19400000000000001</v>
      </c>
      <c r="N376">
        <v>1</v>
      </c>
      <c r="O376">
        <v>15</v>
      </c>
      <c r="P376">
        <v>16</v>
      </c>
    </row>
    <row r="377" spans="1:16" x14ac:dyDescent="0.25">
      <c r="A377" s="6">
        <v>375</v>
      </c>
      <c r="B377" s="9">
        <v>40560</v>
      </c>
      <c r="C377" s="6">
        <v>1</v>
      </c>
      <c r="D377" s="6">
        <v>0</v>
      </c>
      <c r="E377" s="6">
        <v>1</v>
      </c>
      <c r="F377" s="6">
        <v>2</v>
      </c>
      <c r="G377" s="6" t="b">
        <v>1</v>
      </c>
      <c r="H377" s="6">
        <v>1</v>
      </c>
      <c r="I377" s="6">
        <v>2</v>
      </c>
      <c r="J377" s="6">
        <v>0.18</v>
      </c>
      <c r="K377">
        <v>0.16669999999999999</v>
      </c>
      <c r="L377">
        <v>0.43</v>
      </c>
      <c r="M377">
        <v>0.25369999999999998</v>
      </c>
      <c r="N377">
        <v>0</v>
      </c>
      <c r="O377">
        <v>8</v>
      </c>
      <c r="P377">
        <v>8</v>
      </c>
    </row>
    <row r="378" spans="1:16" x14ac:dyDescent="0.25">
      <c r="A378" s="6">
        <v>376</v>
      </c>
      <c r="B378" s="9">
        <v>40560</v>
      </c>
      <c r="C378" s="6">
        <v>1</v>
      </c>
      <c r="D378" s="6">
        <v>0</v>
      </c>
      <c r="E378" s="6">
        <v>1</v>
      </c>
      <c r="F378" s="6">
        <v>3</v>
      </c>
      <c r="G378" s="6" t="b">
        <v>1</v>
      </c>
      <c r="H378" s="6">
        <v>1</v>
      </c>
      <c r="I378" s="6">
        <v>2</v>
      </c>
      <c r="J378" s="6">
        <v>0.18</v>
      </c>
      <c r="K378">
        <v>0.18179999999999999</v>
      </c>
      <c r="L378">
        <v>0.43</v>
      </c>
      <c r="M378">
        <v>0.19400000000000001</v>
      </c>
      <c r="N378">
        <v>0</v>
      </c>
      <c r="O378">
        <v>2</v>
      </c>
      <c r="P378">
        <v>2</v>
      </c>
    </row>
    <row r="379" spans="1:16" x14ac:dyDescent="0.25">
      <c r="A379" s="6">
        <v>377</v>
      </c>
      <c r="B379" s="9">
        <v>40560</v>
      </c>
      <c r="C379" s="6">
        <v>1</v>
      </c>
      <c r="D379" s="6">
        <v>0</v>
      </c>
      <c r="E379" s="6">
        <v>1</v>
      </c>
      <c r="F379" s="6">
        <v>4</v>
      </c>
      <c r="G379" s="6" t="b">
        <v>1</v>
      </c>
      <c r="H379" s="6">
        <v>1</v>
      </c>
      <c r="I379" s="6">
        <v>2</v>
      </c>
      <c r="J379" s="6">
        <v>0.18</v>
      </c>
      <c r="K379">
        <v>0.19700000000000001</v>
      </c>
      <c r="L379">
        <v>0.43</v>
      </c>
      <c r="M379">
        <v>0.1343</v>
      </c>
      <c r="N379">
        <v>1</v>
      </c>
      <c r="O379">
        <v>2</v>
      </c>
      <c r="P379">
        <v>3</v>
      </c>
    </row>
    <row r="380" spans="1:16" x14ac:dyDescent="0.25">
      <c r="A380" s="6">
        <v>378</v>
      </c>
      <c r="B380" s="9">
        <v>40560</v>
      </c>
      <c r="C380" s="6">
        <v>1</v>
      </c>
      <c r="D380" s="6">
        <v>0</v>
      </c>
      <c r="E380" s="6">
        <v>1</v>
      </c>
      <c r="F380" s="6">
        <v>5</v>
      </c>
      <c r="G380" s="6" t="b">
        <v>1</v>
      </c>
      <c r="H380" s="6">
        <v>1</v>
      </c>
      <c r="I380" s="6">
        <v>2</v>
      </c>
      <c r="J380" s="6">
        <v>0.18</v>
      </c>
      <c r="K380">
        <v>0.19700000000000001</v>
      </c>
      <c r="L380">
        <v>0.43</v>
      </c>
      <c r="M380">
        <v>0.16420000000000001</v>
      </c>
      <c r="N380">
        <v>0</v>
      </c>
      <c r="O380">
        <v>1</v>
      </c>
      <c r="P380">
        <v>1</v>
      </c>
    </row>
    <row r="381" spans="1:16" x14ac:dyDescent="0.25">
      <c r="A381" s="6">
        <v>379</v>
      </c>
      <c r="B381" s="9">
        <v>40560</v>
      </c>
      <c r="C381" s="6">
        <v>1</v>
      </c>
      <c r="D381" s="6">
        <v>0</v>
      </c>
      <c r="E381" s="6">
        <v>1</v>
      </c>
      <c r="F381" s="6">
        <v>6</v>
      </c>
      <c r="G381" s="6" t="b">
        <v>1</v>
      </c>
      <c r="H381" s="6">
        <v>1</v>
      </c>
      <c r="I381" s="6">
        <v>2</v>
      </c>
      <c r="J381" s="6">
        <v>0.18</v>
      </c>
      <c r="K381">
        <v>0.18179999999999999</v>
      </c>
      <c r="L381">
        <v>0.43</v>
      </c>
      <c r="M381">
        <v>0.19400000000000001</v>
      </c>
      <c r="N381">
        <v>0</v>
      </c>
      <c r="O381">
        <v>5</v>
      </c>
      <c r="P381">
        <v>5</v>
      </c>
    </row>
    <row r="382" spans="1:16" x14ac:dyDescent="0.25">
      <c r="A382" s="6">
        <v>380</v>
      </c>
      <c r="B382" s="9">
        <v>40560</v>
      </c>
      <c r="C382" s="6">
        <v>1</v>
      </c>
      <c r="D382" s="6">
        <v>0</v>
      </c>
      <c r="E382" s="6">
        <v>1</v>
      </c>
      <c r="F382" s="6">
        <v>7</v>
      </c>
      <c r="G382" s="6" t="b">
        <v>1</v>
      </c>
      <c r="H382" s="6">
        <v>1</v>
      </c>
      <c r="I382" s="6">
        <v>2</v>
      </c>
      <c r="J382" s="6">
        <v>0.16</v>
      </c>
      <c r="K382">
        <v>0.18179999999999999</v>
      </c>
      <c r="L382">
        <v>0.5</v>
      </c>
      <c r="M382">
        <v>0.1343</v>
      </c>
      <c r="N382">
        <v>4</v>
      </c>
      <c r="O382">
        <v>9</v>
      </c>
      <c r="P382">
        <v>13</v>
      </c>
    </row>
    <row r="383" spans="1:16" x14ac:dyDescent="0.25">
      <c r="A383" s="6">
        <v>381</v>
      </c>
      <c r="B383" s="9">
        <v>40560</v>
      </c>
      <c r="C383" s="6">
        <v>1</v>
      </c>
      <c r="D383" s="6">
        <v>0</v>
      </c>
      <c r="E383" s="6">
        <v>1</v>
      </c>
      <c r="F383" s="6">
        <v>8</v>
      </c>
      <c r="G383" s="6" t="b">
        <v>1</v>
      </c>
      <c r="H383" s="6">
        <v>1</v>
      </c>
      <c r="I383" s="6">
        <v>2</v>
      </c>
      <c r="J383" s="6">
        <v>0.16</v>
      </c>
      <c r="K383">
        <v>0.1515</v>
      </c>
      <c r="L383">
        <v>0.47</v>
      </c>
      <c r="M383">
        <v>0.22389999999999999</v>
      </c>
      <c r="N383">
        <v>3</v>
      </c>
      <c r="O383">
        <v>30</v>
      </c>
      <c r="P383">
        <v>33</v>
      </c>
    </row>
    <row r="384" spans="1:16" x14ac:dyDescent="0.25">
      <c r="A384" s="6">
        <v>382</v>
      </c>
      <c r="B384" s="9">
        <v>40560</v>
      </c>
      <c r="C384" s="6">
        <v>1</v>
      </c>
      <c r="D384" s="6">
        <v>0</v>
      </c>
      <c r="E384" s="6">
        <v>1</v>
      </c>
      <c r="F384" s="6">
        <v>9</v>
      </c>
      <c r="G384" s="6" t="b">
        <v>1</v>
      </c>
      <c r="H384" s="6">
        <v>1</v>
      </c>
      <c r="I384" s="6">
        <v>2</v>
      </c>
      <c r="J384" s="6">
        <v>0.16</v>
      </c>
      <c r="K384">
        <v>0.1515</v>
      </c>
      <c r="L384">
        <v>0.47</v>
      </c>
      <c r="M384">
        <v>0.22389999999999999</v>
      </c>
      <c r="N384">
        <v>8</v>
      </c>
      <c r="O384">
        <v>39</v>
      </c>
      <c r="P384">
        <v>47</v>
      </c>
    </row>
    <row r="385" spans="1:16" x14ac:dyDescent="0.25">
      <c r="A385" s="6">
        <v>383</v>
      </c>
      <c r="B385" s="9">
        <v>40560</v>
      </c>
      <c r="C385" s="6">
        <v>1</v>
      </c>
      <c r="D385" s="6">
        <v>0</v>
      </c>
      <c r="E385" s="6">
        <v>1</v>
      </c>
      <c r="F385" s="6">
        <v>10</v>
      </c>
      <c r="G385" s="6" t="b">
        <v>1</v>
      </c>
      <c r="H385" s="6">
        <v>1</v>
      </c>
      <c r="I385" s="6">
        <v>2</v>
      </c>
      <c r="J385" s="6">
        <v>0.16</v>
      </c>
      <c r="K385">
        <v>0.1515</v>
      </c>
      <c r="L385">
        <v>0.5</v>
      </c>
      <c r="M385">
        <v>0.25369999999999998</v>
      </c>
      <c r="N385">
        <v>7</v>
      </c>
      <c r="O385">
        <v>50</v>
      </c>
      <c r="P385">
        <v>57</v>
      </c>
    </row>
    <row r="386" spans="1:16" x14ac:dyDescent="0.25">
      <c r="A386" s="6">
        <v>384</v>
      </c>
      <c r="B386" s="9">
        <v>40560</v>
      </c>
      <c r="C386" s="6">
        <v>1</v>
      </c>
      <c r="D386" s="6">
        <v>0</v>
      </c>
      <c r="E386" s="6">
        <v>1</v>
      </c>
      <c r="F386" s="6">
        <v>11</v>
      </c>
      <c r="G386" s="6" t="b">
        <v>1</v>
      </c>
      <c r="H386" s="6">
        <v>1</v>
      </c>
      <c r="I386" s="6">
        <v>2</v>
      </c>
      <c r="J386" s="6">
        <v>0.16</v>
      </c>
      <c r="K386">
        <v>0.1515</v>
      </c>
      <c r="L386">
        <v>0.55000000000000004</v>
      </c>
      <c r="M386">
        <v>0.19400000000000001</v>
      </c>
      <c r="N386">
        <v>9</v>
      </c>
      <c r="O386">
        <v>55</v>
      </c>
      <c r="P386">
        <v>64</v>
      </c>
    </row>
    <row r="387" spans="1:16" x14ac:dyDescent="0.25">
      <c r="A387" s="6">
        <v>385</v>
      </c>
      <c r="B387" s="9">
        <v>40560</v>
      </c>
      <c r="C387" s="6">
        <v>1</v>
      </c>
      <c r="D387" s="6">
        <v>0</v>
      </c>
      <c r="E387" s="6">
        <v>1</v>
      </c>
      <c r="F387" s="6">
        <v>12</v>
      </c>
      <c r="G387" s="6" t="b">
        <v>1</v>
      </c>
      <c r="H387" s="6">
        <v>1</v>
      </c>
      <c r="I387" s="6">
        <v>2</v>
      </c>
      <c r="J387" s="6">
        <v>0.18</v>
      </c>
      <c r="K387">
        <v>0.19700000000000001</v>
      </c>
      <c r="L387">
        <v>0.47</v>
      </c>
      <c r="M387">
        <v>0.1343</v>
      </c>
      <c r="N387">
        <v>10</v>
      </c>
      <c r="O387">
        <v>70</v>
      </c>
      <c r="P387">
        <v>80</v>
      </c>
    </row>
    <row r="388" spans="1:16" x14ac:dyDescent="0.25">
      <c r="A388" s="6">
        <v>386</v>
      </c>
      <c r="B388" s="9">
        <v>40560</v>
      </c>
      <c r="C388" s="6">
        <v>1</v>
      </c>
      <c r="D388" s="6">
        <v>0</v>
      </c>
      <c r="E388" s="6">
        <v>1</v>
      </c>
      <c r="F388" s="6">
        <v>13</v>
      </c>
      <c r="G388" s="6" t="b">
        <v>1</v>
      </c>
      <c r="H388" s="6">
        <v>1</v>
      </c>
      <c r="I388" s="6">
        <v>2</v>
      </c>
      <c r="J388" s="6">
        <v>0.18</v>
      </c>
      <c r="K388">
        <v>0.19700000000000001</v>
      </c>
      <c r="L388">
        <v>0.47</v>
      </c>
      <c r="M388">
        <v>0.1343</v>
      </c>
      <c r="N388">
        <v>13</v>
      </c>
      <c r="O388">
        <v>80</v>
      </c>
      <c r="P388">
        <v>93</v>
      </c>
    </row>
    <row r="389" spans="1:16" x14ac:dyDescent="0.25">
      <c r="A389" s="6">
        <v>387</v>
      </c>
      <c r="B389" s="9">
        <v>40560</v>
      </c>
      <c r="C389" s="6">
        <v>1</v>
      </c>
      <c r="D389" s="6">
        <v>0</v>
      </c>
      <c r="E389" s="6">
        <v>1</v>
      </c>
      <c r="F389" s="6">
        <v>14</v>
      </c>
      <c r="G389" s="6" t="b">
        <v>1</v>
      </c>
      <c r="H389" s="6">
        <v>1</v>
      </c>
      <c r="I389" s="6">
        <v>2</v>
      </c>
      <c r="J389" s="6">
        <v>0.18</v>
      </c>
      <c r="K389">
        <v>0.21210000000000001</v>
      </c>
      <c r="L389">
        <v>0.43</v>
      </c>
      <c r="M389">
        <v>0.1045</v>
      </c>
      <c r="N389">
        <v>12</v>
      </c>
      <c r="O389">
        <v>74</v>
      </c>
      <c r="P389">
        <v>86</v>
      </c>
    </row>
    <row r="390" spans="1:16" x14ac:dyDescent="0.25">
      <c r="A390" s="6">
        <v>388</v>
      </c>
      <c r="B390" s="9">
        <v>40560</v>
      </c>
      <c r="C390" s="6">
        <v>1</v>
      </c>
      <c r="D390" s="6">
        <v>0</v>
      </c>
      <c r="E390" s="6">
        <v>1</v>
      </c>
      <c r="F390" s="6">
        <v>15</v>
      </c>
      <c r="G390" s="6" t="b">
        <v>1</v>
      </c>
      <c r="H390" s="6">
        <v>1</v>
      </c>
      <c r="I390" s="6">
        <v>2</v>
      </c>
      <c r="J390" s="6">
        <v>0.2</v>
      </c>
      <c r="K390">
        <v>0.21210000000000001</v>
      </c>
      <c r="L390">
        <v>0.47</v>
      </c>
      <c r="M390">
        <v>0.16420000000000001</v>
      </c>
      <c r="N390">
        <v>21</v>
      </c>
      <c r="O390">
        <v>72</v>
      </c>
      <c r="P390">
        <v>93</v>
      </c>
    </row>
    <row r="391" spans="1:16" x14ac:dyDescent="0.25">
      <c r="A391" s="6">
        <v>389</v>
      </c>
      <c r="B391" s="9">
        <v>40560</v>
      </c>
      <c r="C391" s="6">
        <v>1</v>
      </c>
      <c r="D391" s="6">
        <v>0</v>
      </c>
      <c r="E391" s="6">
        <v>1</v>
      </c>
      <c r="F391" s="6">
        <v>16</v>
      </c>
      <c r="G391" s="6" t="b">
        <v>1</v>
      </c>
      <c r="H391" s="6">
        <v>1</v>
      </c>
      <c r="I391" s="6">
        <v>2</v>
      </c>
      <c r="J391" s="6">
        <v>0.2</v>
      </c>
      <c r="K391">
        <v>0.21210000000000001</v>
      </c>
      <c r="L391">
        <v>0.47</v>
      </c>
      <c r="M391">
        <v>0.16420000000000001</v>
      </c>
      <c r="N391">
        <v>6</v>
      </c>
      <c r="O391">
        <v>76</v>
      </c>
      <c r="P391">
        <v>82</v>
      </c>
    </row>
    <row r="392" spans="1:16" x14ac:dyDescent="0.25">
      <c r="A392" s="6">
        <v>390</v>
      </c>
      <c r="B392" s="9">
        <v>40560</v>
      </c>
      <c r="C392" s="6">
        <v>1</v>
      </c>
      <c r="D392" s="6">
        <v>0</v>
      </c>
      <c r="E392" s="6">
        <v>1</v>
      </c>
      <c r="F392" s="6">
        <v>17</v>
      </c>
      <c r="G392" s="6" t="b">
        <v>1</v>
      </c>
      <c r="H392" s="6">
        <v>1</v>
      </c>
      <c r="I392" s="6">
        <v>1</v>
      </c>
      <c r="J392" s="6">
        <v>0.2</v>
      </c>
      <c r="K392">
        <v>0.19700000000000001</v>
      </c>
      <c r="L392">
        <v>0.51</v>
      </c>
      <c r="M392">
        <v>0.19400000000000001</v>
      </c>
      <c r="N392">
        <v>4</v>
      </c>
      <c r="O392">
        <v>67</v>
      </c>
      <c r="P392">
        <v>71</v>
      </c>
    </row>
    <row r="393" spans="1:16" x14ac:dyDescent="0.25">
      <c r="A393" s="6">
        <v>391</v>
      </c>
      <c r="B393" s="9">
        <v>40560</v>
      </c>
      <c r="C393" s="6">
        <v>1</v>
      </c>
      <c r="D393" s="6">
        <v>0</v>
      </c>
      <c r="E393" s="6">
        <v>1</v>
      </c>
      <c r="F393" s="6">
        <v>18</v>
      </c>
      <c r="G393" s="6" t="b">
        <v>1</v>
      </c>
      <c r="H393" s="6">
        <v>1</v>
      </c>
      <c r="I393" s="6">
        <v>2</v>
      </c>
      <c r="J393" s="6">
        <v>0.18</v>
      </c>
      <c r="K393">
        <v>0.16669999999999999</v>
      </c>
      <c r="L393">
        <v>0.55000000000000004</v>
      </c>
      <c r="M393">
        <v>0.25369999999999998</v>
      </c>
      <c r="N393">
        <v>7</v>
      </c>
      <c r="O393">
        <v>85</v>
      </c>
      <c r="P393">
        <v>92</v>
      </c>
    </row>
    <row r="394" spans="1:16" x14ac:dyDescent="0.25">
      <c r="A394" s="6">
        <v>392</v>
      </c>
      <c r="B394" s="9">
        <v>40560</v>
      </c>
      <c r="C394" s="6">
        <v>1</v>
      </c>
      <c r="D394" s="6">
        <v>0</v>
      </c>
      <c r="E394" s="6">
        <v>1</v>
      </c>
      <c r="F394" s="6">
        <v>19</v>
      </c>
      <c r="G394" s="6" t="b">
        <v>1</v>
      </c>
      <c r="H394" s="6">
        <v>1</v>
      </c>
      <c r="I394" s="6">
        <v>3</v>
      </c>
      <c r="J394" s="6">
        <v>0.18</v>
      </c>
      <c r="K394">
        <v>0.18179999999999999</v>
      </c>
      <c r="L394">
        <v>0.59</v>
      </c>
      <c r="M394">
        <v>0.19400000000000001</v>
      </c>
      <c r="N394">
        <v>2</v>
      </c>
      <c r="O394">
        <v>58</v>
      </c>
      <c r="P394">
        <v>60</v>
      </c>
    </row>
    <row r="395" spans="1:16" x14ac:dyDescent="0.25">
      <c r="A395" s="6">
        <v>393</v>
      </c>
      <c r="B395" s="9">
        <v>40560</v>
      </c>
      <c r="C395" s="6">
        <v>1</v>
      </c>
      <c r="D395" s="6">
        <v>0</v>
      </c>
      <c r="E395" s="6">
        <v>1</v>
      </c>
      <c r="F395" s="6">
        <v>20</v>
      </c>
      <c r="G395" s="6" t="b">
        <v>1</v>
      </c>
      <c r="H395" s="6">
        <v>1</v>
      </c>
      <c r="I395" s="6">
        <v>3</v>
      </c>
      <c r="J395" s="6">
        <v>0.16</v>
      </c>
      <c r="K395">
        <v>0.1515</v>
      </c>
      <c r="L395">
        <v>0.8</v>
      </c>
      <c r="M395">
        <v>0.19400000000000001</v>
      </c>
      <c r="N395">
        <v>4</v>
      </c>
      <c r="O395">
        <v>29</v>
      </c>
      <c r="P395">
        <v>33</v>
      </c>
    </row>
    <row r="396" spans="1:16" x14ac:dyDescent="0.25">
      <c r="A396" s="6">
        <v>394</v>
      </c>
      <c r="B396" s="9">
        <v>40560</v>
      </c>
      <c r="C396" s="6">
        <v>1</v>
      </c>
      <c r="D396" s="6">
        <v>0</v>
      </c>
      <c r="E396" s="6">
        <v>1</v>
      </c>
      <c r="F396" s="6">
        <v>21</v>
      </c>
      <c r="G396" s="6" t="b">
        <v>1</v>
      </c>
      <c r="H396" s="6">
        <v>1</v>
      </c>
      <c r="I396" s="6">
        <v>3</v>
      </c>
      <c r="J396" s="6">
        <v>0.16</v>
      </c>
      <c r="K396">
        <v>0.1515</v>
      </c>
      <c r="L396">
        <v>0.8</v>
      </c>
      <c r="M396">
        <v>0.19400000000000001</v>
      </c>
      <c r="N396">
        <v>3</v>
      </c>
      <c r="O396">
        <v>24</v>
      </c>
      <c r="P396">
        <v>27</v>
      </c>
    </row>
    <row r="397" spans="1:16" x14ac:dyDescent="0.25">
      <c r="A397" s="6">
        <v>395</v>
      </c>
      <c r="B397" s="9">
        <v>40560</v>
      </c>
      <c r="C397" s="6">
        <v>1</v>
      </c>
      <c r="D397" s="6">
        <v>0</v>
      </c>
      <c r="E397" s="6">
        <v>1</v>
      </c>
      <c r="F397" s="6">
        <v>22</v>
      </c>
      <c r="G397" s="6" t="b">
        <v>1</v>
      </c>
      <c r="H397" s="6">
        <v>1</v>
      </c>
      <c r="I397" s="6">
        <v>3</v>
      </c>
      <c r="J397" s="6">
        <v>0.14000000000000001</v>
      </c>
      <c r="K397">
        <v>0.1212</v>
      </c>
      <c r="L397">
        <v>0.93</v>
      </c>
      <c r="M397">
        <v>0.25369999999999998</v>
      </c>
      <c r="N397">
        <v>0</v>
      </c>
      <c r="O397">
        <v>13</v>
      </c>
      <c r="P397">
        <v>13</v>
      </c>
    </row>
    <row r="398" spans="1:16" x14ac:dyDescent="0.25">
      <c r="A398" s="6">
        <v>396</v>
      </c>
      <c r="B398" s="9">
        <v>40560</v>
      </c>
      <c r="C398" s="6">
        <v>1</v>
      </c>
      <c r="D398" s="6">
        <v>0</v>
      </c>
      <c r="E398" s="6">
        <v>1</v>
      </c>
      <c r="F398" s="6">
        <v>23</v>
      </c>
      <c r="G398" s="6" t="b">
        <v>1</v>
      </c>
      <c r="H398" s="6">
        <v>1</v>
      </c>
      <c r="I398" s="6">
        <v>3</v>
      </c>
      <c r="J398" s="6">
        <v>0.16</v>
      </c>
      <c r="K398">
        <v>0.13639999999999999</v>
      </c>
      <c r="L398">
        <v>0.86</v>
      </c>
      <c r="M398">
        <v>0.28360000000000002</v>
      </c>
      <c r="N398">
        <v>1</v>
      </c>
      <c r="O398">
        <v>3</v>
      </c>
      <c r="P398">
        <v>4</v>
      </c>
    </row>
    <row r="399" spans="1:16" x14ac:dyDescent="0.25">
      <c r="A399" s="6">
        <v>397</v>
      </c>
      <c r="B399" s="9">
        <v>40561</v>
      </c>
      <c r="C399" s="6">
        <v>1</v>
      </c>
      <c r="D399" s="6">
        <v>0</v>
      </c>
      <c r="E399" s="6">
        <v>1</v>
      </c>
      <c r="F399" s="6">
        <v>12</v>
      </c>
      <c r="G399" s="6" t="b">
        <v>0</v>
      </c>
      <c r="H399" s="6">
        <v>2</v>
      </c>
      <c r="I399" s="6">
        <v>2</v>
      </c>
      <c r="J399" s="6">
        <v>0.2</v>
      </c>
      <c r="K399">
        <v>0.18179999999999999</v>
      </c>
      <c r="L399">
        <v>0.86</v>
      </c>
      <c r="M399">
        <v>0.32840000000000003</v>
      </c>
      <c r="N399">
        <v>0</v>
      </c>
      <c r="O399">
        <v>3</v>
      </c>
      <c r="P399">
        <v>3</v>
      </c>
    </row>
    <row r="400" spans="1:16" x14ac:dyDescent="0.25">
      <c r="A400" s="6">
        <v>398</v>
      </c>
      <c r="B400" s="9">
        <v>40561</v>
      </c>
      <c r="C400" s="6">
        <v>1</v>
      </c>
      <c r="D400" s="6">
        <v>0</v>
      </c>
      <c r="E400" s="6">
        <v>1</v>
      </c>
      <c r="F400" s="6">
        <v>13</v>
      </c>
      <c r="G400" s="6" t="b">
        <v>0</v>
      </c>
      <c r="H400" s="6">
        <v>2</v>
      </c>
      <c r="I400" s="6">
        <v>2</v>
      </c>
      <c r="J400" s="6">
        <v>0.2</v>
      </c>
      <c r="K400">
        <v>0.19700000000000001</v>
      </c>
      <c r="L400">
        <v>0.86</v>
      </c>
      <c r="M400">
        <v>0.22389999999999999</v>
      </c>
      <c r="N400">
        <v>0</v>
      </c>
      <c r="O400">
        <v>22</v>
      </c>
      <c r="P400">
        <v>22</v>
      </c>
    </row>
    <row r="401" spans="1:16" x14ac:dyDescent="0.25">
      <c r="A401" s="6">
        <v>399</v>
      </c>
      <c r="B401" s="9">
        <v>40561</v>
      </c>
      <c r="C401" s="6">
        <v>1</v>
      </c>
      <c r="D401" s="6">
        <v>0</v>
      </c>
      <c r="E401" s="6">
        <v>1</v>
      </c>
      <c r="F401" s="6">
        <v>14</v>
      </c>
      <c r="G401" s="6" t="b">
        <v>0</v>
      </c>
      <c r="H401" s="6">
        <v>2</v>
      </c>
      <c r="I401" s="6">
        <v>2</v>
      </c>
      <c r="J401" s="6">
        <v>0.22</v>
      </c>
      <c r="K401">
        <v>0.2273</v>
      </c>
      <c r="L401">
        <v>0.8</v>
      </c>
      <c r="M401">
        <v>0.16420000000000001</v>
      </c>
      <c r="N401">
        <v>2</v>
      </c>
      <c r="O401">
        <v>26</v>
      </c>
      <c r="P401">
        <v>28</v>
      </c>
    </row>
    <row r="402" spans="1:16" x14ac:dyDescent="0.25">
      <c r="A402" s="6">
        <v>400</v>
      </c>
      <c r="B402" s="9">
        <v>40561</v>
      </c>
      <c r="C402" s="6">
        <v>1</v>
      </c>
      <c r="D402" s="6">
        <v>0</v>
      </c>
      <c r="E402" s="6">
        <v>1</v>
      </c>
      <c r="F402" s="6">
        <v>15</v>
      </c>
      <c r="G402" s="6" t="b">
        <v>0</v>
      </c>
      <c r="H402" s="6">
        <v>2</v>
      </c>
      <c r="I402" s="6">
        <v>2</v>
      </c>
      <c r="J402" s="6">
        <v>0.22</v>
      </c>
      <c r="K402">
        <v>0.2273</v>
      </c>
      <c r="L402">
        <v>0.87</v>
      </c>
      <c r="M402">
        <v>0.16420000000000001</v>
      </c>
      <c r="N402">
        <v>3</v>
      </c>
      <c r="O402">
        <v>32</v>
      </c>
      <c r="P402">
        <v>35</v>
      </c>
    </row>
    <row r="403" spans="1:16" x14ac:dyDescent="0.25">
      <c r="A403" s="6">
        <v>401</v>
      </c>
      <c r="B403" s="9">
        <v>40561</v>
      </c>
      <c r="C403" s="6">
        <v>1</v>
      </c>
      <c r="D403" s="6">
        <v>0</v>
      </c>
      <c r="E403" s="6">
        <v>1</v>
      </c>
      <c r="F403" s="6">
        <v>16</v>
      </c>
      <c r="G403" s="6" t="b">
        <v>0</v>
      </c>
      <c r="H403" s="6">
        <v>2</v>
      </c>
      <c r="I403" s="6">
        <v>2</v>
      </c>
      <c r="J403" s="6">
        <v>0.22</v>
      </c>
      <c r="K403">
        <v>0.2273</v>
      </c>
      <c r="L403">
        <v>0.87</v>
      </c>
      <c r="M403">
        <v>0.19400000000000001</v>
      </c>
      <c r="N403">
        <v>0</v>
      </c>
      <c r="O403">
        <v>61</v>
      </c>
      <c r="P403">
        <v>61</v>
      </c>
    </row>
    <row r="404" spans="1:16" x14ac:dyDescent="0.25">
      <c r="A404" s="6">
        <v>402</v>
      </c>
      <c r="B404" s="9">
        <v>40561</v>
      </c>
      <c r="C404" s="6">
        <v>1</v>
      </c>
      <c r="D404" s="6">
        <v>0</v>
      </c>
      <c r="E404" s="6">
        <v>1</v>
      </c>
      <c r="F404" s="6">
        <v>17</v>
      </c>
      <c r="G404" s="6" t="b">
        <v>0</v>
      </c>
      <c r="H404" s="6">
        <v>2</v>
      </c>
      <c r="I404" s="6">
        <v>2</v>
      </c>
      <c r="J404" s="6">
        <v>0.22</v>
      </c>
      <c r="K404">
        <v>0.2273</v>
      </c>
      <c r="L404">
        <v>0.82</v>
      </c>
      <c r="M404">
        <v>0.19400000000000001</v>
      </c>
      <c r="N404">
        <v>1</v>
      </c>
      <c r="O404">
        <v>124</v>
      </c>
      <c r="P404">
        <v>125</v>
      </c>
    </row>
    <row r="405" spans="1:16" x14ac:dyDescent="0.25">
      <c r="A405" s="6">
        <v>403</v>
      </c>
      <c r="B405" s="9">
        <v>40561</v>
      </c>
      <c r="C405" s="6">
        <v>1</v>
      </c>
      <c r="D405" s="6">
        <v>0</v>
      </c>
      <c r="E405" s="6">
        <v>1</v>
      </c>
      <c r="F405" s="6">
        <v>18</v>
      </c>
      <c r="G405" s="6" t="b">
        <v>0</v>
      </c>
      <c r="H405" s="6">
        <v>2</v>
      </c>
      <c r="I405" s="6">
        <v>2</v>
      </c>
      <c r="J405" s="6">
        <v>0.22</v>
      </c>
      <c r="K405">
        <v>0.2273</v>
      </c>
      <c r="L405">
        <v>0.8</v>
      </c>
      <c r="M405">
        <v>0.16420000000000001</v>
      </c>
      <c r="N405">
        <v>1</v>
      </c>
      <c r="O405">
        <v>132</v>
      </c>
      <c r="P405">
        <v>133</v>
      </c>
    </row>
    <row r="406" spans="1:16" x14ac:dyDescent="0.25">
      <c r="A406" s="6">
        <v>404</v>
      </c>
      <c r="B406" s="9">
        <v>40561</v>
      </c>
      <c r="C406" s="6">
        <v>1</v>
      </c>
      <c r="D406" s="6">
        <v>0</v>
      </c>
      <c r="E406" s="6">
        <v>1</v>
      </c>
      <c r="F406" s="6">
        <v>19</v>
      </c>
      <c r="G406" s="6" t="b">
        <v>0</v>
      </c>
      <c r="H406" s="6">
        <v>2</v>
      </c>
      <c r="I406" s="6">
        <v>2</v>
      </c>
      <c r="J406" s="6">
        <v>0.22</v>
      </c>
      <c r="K406">
        <v>0.2273</v>
      </c>
      <c r="L406">
        <v>0.8</v>
      </c>
      <c r="M406">
        <v>0.1343</v>
      </c>
      <c r="N406">
        <v>1</v>
      </c>
      <c r="O406">
        <v>98</v>
      </c>
      <c r="P406">
        <v>99</v>
      </c>
    </row>
    <row r="407" spans="1:16" x14ac:dyDescent="0.25">
      <c r="A407" s="6">
        <v>405</v>
      </c>
      <c r="B407" s="9">
        <v>40561</v>
      </c>
      <c r="C407" s="6">
        <v>1</v>
      </c>
      <c r="D407" s="6">
        <v>0</v>
      </c>
      <c r="E407" s="6">
        <v>1</v>
      </c>
      <c r="F407" s="6">
        <v>20</v>
      </c>
      <c r="G407" s="6" t="b">
        <v>0</v>
      </c>
      <c r="H407" s="6">
        <v>2</v>
      </c>
      <c r="I407" s="6">
        <v>2</v>
      </c>
      <c r="J407" s="6">
        <v>0.22</v>
      </c>
      <c r="K407">
        <v>0.2727</v>
      </c>
      <c r="L407">
        <v>0.87</v>
      </c>
      <c r="M407">
        <v>0</v>
      </c>
      <c r="N407">
        <v>0</v>
      </c>
      <c r="O407">
        <v>83</v>
      </c>
      <c r="P407">
        <v>83</v>
      </c>
    </row>
    <row r="408" spans="1:16" x14ac:dyDescent="0.25">
      <c r="A408" s="6">
        <v>406</v>
      </c>
      <c r="B408" s="9">
        <v>40561</v>
      </c>
      <c r="C408" s="6">
        <v>1</v>
      </c>
      <c r="D408" s="6">
        <v>0</v>
      </c>
      <c r="E408" s="6">
        <v>1</v>
      </c>
      <c r="F408" s="6">
        <v>21</v>
      </c>
      <c r="G408" s="6" t="b">
        <v>0</v>
      </c>
      <c r="H408" s="6">
        <v>2</v>
      </c>
      <c r="I408" s="6">
        <v>2</v>
      </c>
      <c r="J408" s="6">
        <v>0.22</v>
      </c>
      <c r="K408">
        <v>0.2424</v>
      </c>
      <c r="L408">
        <v>0.93</v>
      </c>
      <c r="M408">
        <v>0.1045</v>
      </c>
      <c r="N408">
        <v>0</v>
      </c>
      <c r="O408">
        <v>41</v>
      </c>
      <c r="P408">
        <v>41</v>
      </c>
    </row>
    <row r="409" spans="1:16" x14ac:dyDescent="0.25">
      <c r="A409" s="6">
        <v>407</v>
      </c>
      <c r="B409" s="9">
        <v>40561</v>
      </c>
      <c r="C409" s="6">
        <v>1</v>
      </c>
      <c r="D409" s="6">
        <v>0</v>
      </c>
      <c r="E409" s="6">
        <v>1</v>
      </c>
      <c r="F409" s="6">
        <v>22</v>
      </c>
      <c r="G409" s="6" t="b">
        <v>0</v>
      </c>
      <c r="H409" s="6">
        <v>2</v>
      </c>
      <c r="I409" s="6">
        <v>2</v>
      </c>
      <c r="J409" s="6">
        <v>0.22</v>
      </c>
      <c r="K409">
        <v>0.2576</v>
      </c>
      <c r="L409">
        <v>0.93</v>
      </c>
      <c r="M409">
        <v>8.9599999999999999E-2</v>
      </c>
      <c r="N409">
        <v>0</v>
      </c>
      <c r="O409">
        <v>33</v>
      </c>
      <c r="P409">
        <v>33</v>
      </c>
    </row>
    <row r="410" spans="1:16" x14ac:dyDescent="0.25">
      <c r="A410" s="6">
        <v>408</v>
      </c>
      <c r="B410" s="9">
        <v>40561</v>
      </c>
      <c r="C410" s="6">
        <v>1</v>
      </c>
      <c r="D410" s="6">
        <v>0</v>
      </c>
      <c r="E410" s="6">
        <v>1</v>
      </c>
      <c r="F410" s="6">
        <v>23</v>
      </c>
      <c r="G410" s="6" t="b">
        <v>0</v>
      </c>
      <c r="H410" s="6">
        <v>2</v>
      </c>
      <c r="I410" s="6">
        <v>2</v>
      </c>
      <c r="J410" s="6">
        <v>0.22</v>
      </c>
      <c r="K410">
        <v>0.2727</v>
      </c>
      <c r="L410">
        <v>0.93</v>
      </c>
      <c r="M410">
        <v>0</v>
      </c>
      <c r="N410">
        <v>1</v>
      </c>
      <c r="O410">
        <v>19</v>
      </c>
      <c r="P410">
        <v>20</v>
      </c>
    </row>
    <row r="411" spans="1:16" x14ac:dyDescent="0.25">
      <c r="A411" s="6">
        <v>409</v>
      </c>
      <c r="B411" s="9">
        <v>40562</v>
      </c>
      <c r="C411" s="6">
        <v>1</v>
      </c>
      <c r="D411" s="6">
        <v>0</v>
      </c>
      <c r="E411" s="6">
        <v>1</v>
      </c>
      <c r="F411" s="6">
        <v>0</v>
      </c>
      <c r="G411" s="6" t="b">
        <v>0</v>
      </c>
      <c r="H411" s="6">
        <v>3</v>
      </c>
      <c r="I411" s="6">
        <v>2</v>
      </c>
      <c r="J411" s="6">
        <v>0.22</v>
      </c>
      <c r="K411">
        <v>0.2727</v>
      </c>
      <c r="L411">
        <v>0.93</v>
      </c>
      <c r="M411">
        <v>0</v>
      </c>
      <c r="N411">
        <v>0</v>
      </c>
      <c r="O411">
        <v>3</v>
      </c>
      <c r="P411">
        <v>3</v>
      </c>
    </row>
    <row r="412" spans="1:16" x14ac:dyDescent="0.25">
      <c r="A412" s="6">
        <v>410</v>
      </c>
      <c r="B412" s="9">
        <v>40562</v>
      </c>
      <c r="C412" s="6">
        <v>1</v>
      </c>
      <c r="D412" s="6">
        <v>0</v>
      </c>
      <c r="E412" s="6">
        <v>1</v>
      </c>
      <c r="F412" s="6">
        <v>1</v>
      </c>
      <c r="G412" s="6" t="b">
        <v>0</v>
      </c>
      <c r="H412" s="6">
        <v>3</v>
      </c>
      <c r="I412" s="6">
        <v>3</v>
      </c>
      <c r="J412" s="6">
        <v>0.22</v>
      </c>
      <c r="K412">
        <v>0.2273</v>
      </c>
      <c r="L412">
        <v>0.93</v>
      </c>
      <c r="M412">
        <v>0.1343</v>
      </c>
      <c r="N412">
        <v>1</v>
      </c>
      <c r="O412">
        <v>6</v>
      </c>
      <c r="P412">
        <v>7</v>
      </c>
    </row>
    <row r="413" spans="1:16" x14ac:dyDescent="0.25">
      <c r="A413" s="6">
        <v>411</v>
      </c>
      <c r="B413" s="9">
        <v>40562</v>
      </c>
      <c r="C413" s="6">
        <v>1</v>
      </c>
      <c r="D413" s="6">
        <v>0</v>
      </c>
      <c r="E413" s="6">
        <v>1</v>
      </c>
      <c r="F413" s="6">
        <v>2</v>
      </c>
      <c r="G413" s="6" t="b">
        <v>0</v>
      </c>
      <c r="H413" s="6">
        <v>3</v>
      </c>
      <c r="I413" s="6">
        <v>3</v>
      </c>
      <c r="J413" s="6">
        <v>0.22</v>
      </c>
      <c r="K413">
        <v>0.2273</v>
      </c>
      <c r="L413">
        <v>0.93</v>
      </c>
      <c r="M413">
        <v>0.1343</v>
      </c>
      <c r="N413">
        <v>0</v>
      </c>
      <c r="O413">
        <v>3</v>
      </c>
      <c r="P413">
        <v>3</v>
      </c>
    </row>
    <row r="414" spans="1:16" x14ac:dyDescent="0.25">
      <c r="A414" s="6">
        <v>412</v>
      </c>
      <c r="B414" s="9">
        <v>40562</v>
      </c>
      <c r="C414" s="6">
        <v>1</v>
      </c>
      <c r="D414" s="6">
        <v>0</v>
      </c>
      <c r="E414" s="6">
        <v>1</v>
      </c>
      <c r="F414" s="6">
        <v>4</v>
      </c>
      <c r="G414" s="6" t="b">
        <v>0</v>
      </c>
      <c r="H414" s="6">
        <v>3</v>
      </c>
      <c r="I414" s="6">
        <v>3</v>
      </c>
      <c r="J414" s="6">
        <v>0.22</v>
      </c>
      <c r="K414">
        <v>0.2273</v>
      </c>
      <c r="L414">
        <v>0.93</v>
      </c>
      <c r="M414">
        <v>0.1343</v>
      </c>
      <c r="N414">
        <v>1</v>
      </c>
      <c r="O414">
        <v>1</v>
      </c>
      <c r="P414">
        <v>2</v>
      </c>
    </row>
    <row r="415" spans="1:16" x14ac:dyDescent="0.25">
      <c r="A415" s="6">
        <v>413</v>
      </c>
      <c r="B415" s="9">
        <v>40562</v>
      </c>
      <c r="C415" s="6">
        <v>1</v>
      </c>
      <c r="D415" s="6">
        <v>0</v>
      </c>
      <c r="E415" s="6">
        <v>1</v>
      </c>
      <c r="F415" s="6">
        <v>5</v>
      </c>
      <c r="G415" s="6" t="b">
        <v>0</v>
      </c>
      <c r="H415" s="6">
        <v>3</v>
      </c>
      <c r="I415" s="6">
        <v>2</v>
      </c>
      <c r="J415" s="6">
        <v>0.22</v>
      </c>
      <c r="K415">
        <v>0.2576</v>
      </c>
      <c r="L415">
        <v>0.93</v>
      </c>
      <c r="M415">
        <v>8.9599999999999999E-2</v>
      </c>
      <c r="N415">
        <v>0</v>
      </c>
      <c r="O415">
        <v>7</v>
      </c>
      <c r="P415">
        <v>7</v>
      </c>
    </row>
    <row r="416" spans="1:16" x14ac:dyDescent="0.25">
      <c r="A416" s="6">
        <v>414</v>
      </c>
      <c r="B416" s="9">
        <v>40562</v>
      </c>
      <c r="C416" s="6">
        <v>1</v>
      </c>
      <c r="D416" s="6">
        <v>0</v>
      </c>
      <c r="E416" s="6">
        <v>1</v>
      </c>
      <c r="F416" s="6">
        <v>6</v>
      </c>
      <c r="G416" s="6" t="b">
        <v>0</v>
      </c>
      <c r="H416" s="6">
        <v>3</v>
      </c>
      <c r="I416" s="6">
        <v>2</v>
      </c>
      <c r="J416" s="6">
        <v>0.22</v>
      </c>
      <c r="K416">
        <v>0.2576</v>
      </c>
      <c r="L416">
        <v>0.93</v>
      </c>
      <c r="M416">
        <v>8.9599999999999999E-2</v>
      </c>
      <c r="N416">
        <v>0</v>
      </c>
      <c r="O416">
        <v>32</v>
      </c>
      <c r="P416">
        <v>32</v>
      </c>
    </row>
    <row r="417" spans="1:16" x14ac:dyDescent="0.25">
      <c r="A417" s="6">
        <v>415</v>
      </c>
      <c r="B417" s="9">
        <v>40562</v>
      </c>
      <c r="C417" s="6">
        <v>1</v>
      </c>
      <c r="D417" s="6">
        <v>0</v>
      </c>
      <c r="E417" s="6">
        <v>1</v>
      </c>
      <c r="F417" s="6">
        <v>7</v>
      </c>
      <c r="G417" s="6" t="b">
        <v>0</v>
      </c>
      <c r="H417" s="6">
        <v>3</v>
      </c>
      <c r="I417" s="6">
        <v>2</v>
      </c>
      <c r="J417" s="6">
        <v>0.24</v>
      </c>
      <c r="K417">
        <v>0.2576</v>
      </c>
      <c r="L417">
        <v>0.92</v>
      </c>
      <c r="M417">
        <v>0.1045</v>
      </c>
      <c r="N417">
        <v>1</v>
      </c>
      <c r="O417">
        <v>89</v>
      </c>
      <c r="P417">
        <v>90</v>
      </c>
    </row>
    <row r="418" spans="1:16" x14ac:dyDescent="0.25">
      <c r="A418" s="6">
        <v>416</v>
      </c>
      <c r="B418" s="9">
        <v>40562</v>
      </c>
      <c r="C418" s="6">
        <v>1</v>
      </c>
      <c r="D418" s="6">
        <v>0</v>
      </c>
      <c r="E418" s="6">
        <v>1</v>
      </c>
      <c r="F418" s="6">
        <v>8</v>
      </c>
      <c r="G418" s="6" t="b">
        <v>0</v>
      </c>
      <c r="H418" s="6">
        <v>3</v>
      </c>
      <c r="I418" s="6">
        <v>2</v>
      </c>
      <c r="J418" s="6">
        <v>0.24</v>
      </c>
      <c r="K418">
        <v>0.2576</v>
      </c>
      <c r="L418">
        <v>0.93</v>
      </c>
      <c r="M418">
        <v>0.1045</v>
      </c>
      <c r="N418">
        <v>1</v>
      </c>
      <c r="O418">
        <v>196</v>
      </c>
      <c r="P418">
        <v>197</v>
      </c>
    </row>
    <row r="419" spans="1:16" x14ac:dyDescent="0.25">
      <c r="A419" s="6">
        <v>417</v>
      </c>
      <c r="B419" s="9">
        <v>40562</v>
      </c>
      <c r="C419" s="6">
        <v>1</v>
      </c>
      <c r="D419" s="6">
        <v>0</v>
      </c>
      <c r="E419" s="6">
        <v>1</v>
      </c>
      <c r="F419" s="6">
        <v>9</v>
      </c>
      <c r="G419" s="6" t="b">
        <v>0</v>
      </c>
      <c r="H419" s="6">
        <v>3</v>
      </c>
      <c r="I419" s="6">
        <v>2</v>
      </c>
      <c r="J419" s="6">
        <v>0.24</v>
      </c>
      <c r="K419">
        <v>0.2576</v>
      </c>
      <c r="L419">
        <v>0.93</v>
      </c>
      <c r="M419">
        <v>0.1045</v>
      </c>
      <c r="N419">
        <v>2</v>
      </c>
      <c r="O419">
        <v>107</v>
      </c>
      <c r="P419">
        <v>109</v>
      </c>
    </row>
    <row r="420" spans="1:16" x14ac:dyDescent="0.25">
      <c r="A420" s="6">
        <v>418</v>
      </c>
      <c r="B420" s="9">
        <v>40562</v>
      </c>
      <c r="C420" s="6">
        <v>1</v>
      </c>
      <c r="D420" s="6">
        <v>0</v>
      </c>
      <c r="E420" s="6">
        <v>1</v>
      </c>
      <c r="F420" s="6">
        <v>10</v>
      </c>
      <c r="G420" s="6" t="b">
        <v>0</v>
      </c>
      <c r="H420" s="6">
        <v>3</v>
      </c>
      <c r="I420" s="6">
        <v>2</v>
      </c>
      <c r="J420" s="6">
        <v>0.26</v>
      </c>
      <c r="K420">
        <v>0.2727</v>
      </c>
      <c r="L420">
        <v>0.93</v>
      </c>
      <c r="M420">
        <v>0.1343</v>
      </c>
      <c r="N420">
        <v>1</v>
      </c>
      <c r="O420">
        <v>46</v>
      </c>
      <c r="P420">
        <v>47</v>
      </c>
    </row>
    <row r="421" spans="1:16" x14ac:dyDescent="0.25">
      <c r="A421" s="6">
        <v>419</v>
      </c>
      <c r="B421" s="9">
        <v>40562</v>
      </c>
      <c r="C421" s="6">
        <v>1</v>
      </c>
      <c r="D421" s="6">
        <v>0</v>
      </c>
      <c r="E421" s="6">
        <v>1</v>
      </c>
      <c r="F421" s="6">
        <v>11</v>
      </c>
      <c r="G421" s="6" t="b">
        <v>0</v>
      </c>
      <c r="H421" s="6">
        <v>3</v>
      </c>
      <c r="I421" s="6">
        <v>2</v>
      </c>
      <c r="J421" s="6">
        <v>0.28000000000000003</v>
      </c>
      <c r="K421">
        <v>0.30299999999999999</v>
      </c>
      <c r="L421">
        <v>0.87</v>
      </c>
      <c r="M421">
        <v>8.9599999999999999E-2</v>
      </c>
      <c r="N421">
        <v>5</v>
      </c>
      <c r="O421">
        <v>47</v>
      </c>
      <c r="P421">
        <v>52</v>
      </c>
    </row>
    <row r="422" spans="1:16" x14ac:dyDescent="0.25">
      <c r="A422" s="6">
        <v>420</v>
      </c>
      <c r="B422" s="9">
        <v>40562</v>
      </c>
      <c r="C422" s="6">
        <v>1</v>
      </c>
      <c r="D422" s="6">
        <v>0</v>
      </c>
      <c r="E422" s="6">
        <v>1</v>
      </c>
      <c r="F422" s="6">
        <v>12</v>
      </c>
      <c r="G422" s="6" t="b">
        <v>0</v>
      </c>
      <c r="H422" s="6">
        <v>3</v>
      </c>
      <c r="I422" s="6">
        <v>2</v>
      </c>
      <c r="J422" s="6">
        <v>0.3</v>
      </c>
      <c r="K422">
        <v>0.31819999999999998</v>
      </c>
      <c r="L422">
        <v>0.81</v>
      </c>
      <c r="M422">
        <v>8.9599999999999999E-2</v>
      </c>
      <c r="N422">
        <v>5</v>
      </c>
      <c r="O422">
        <v>65</v>
      </c>
      <c r="P422">
        <v>70</v>
      </c>
    </row>
    <row r="423" spans="1:16" x14ac:dyDescent="0.25">
      <c r="A423" s="6">
        <v>421</v>
      </c>
      <c r="B423" s="9">
        <v>40562</v>
      </c>
      <c r="C423" s="6">
        <v>1</v>
      </c>
      <c r="D423" s="6">
        <v>0</v>
      </c>
      <c r="E423" s="6">
        <v>1</v>
      </c>
      <c r="F423" s="6">
        <v>13</v>
      </c>
      <c r="G423" s="6" t="b">
        <v>0</v>
      </c>
      <c r="H423" s="6">
        <v>3</v>
      </c>
      <c r="I423" s="6">
        <v>1</v>
      </c>
      <c r="J423" s="6">
        <v>0.4</v>
      </c>
      <c r="K423">
        <v>0.40910000000000002</v>
      </c>
      <c r="L423">
        <v>0.62</v>
      </c>
      <c r="M423">
        <v>0.28360000000000002</v>
      </c>
      <c r="N423">
        <v>11</v>
      </c>
      <c r="O423">
        <v>67</v>
      </c>
      <c r="P423">
        <v>78</v>
      </c>
    </row>
    <row r="424" spans="1:16" x14ac:dyDescent="0.25">
      <c r="A424" s="6">
        <v>422</v>
      </c>
      <c r="B424" s="9">
        <v>40562</v>
      </c>
      <c r="C424" s="6">
        <v>1</v>
      </c>
      <c r="D424" s="6">
        <v>0</v>
      </c>
      <c r="E424" s="6">
        <v>1</v>
      </c>
      <c r="F424" s="6">
        <v>14</v>
      </c>
      <c r="G424" s="6" t="b">
        <v>0</v>
      </c>
      <c r="H424" s="6">
        <v>3</v>
      </c>
      <c r="I424" s="6">
        <v>1</v>
      </c>
      <c r="J424" s="6">
        <v>0.4</v>
      </c>
      <c r="K424">
        <v>0.40910000000000002</v>
      </c>
      <c r="L424">
        <v>0.57999999999999996</v>
      </c>
      <c r="M424">
        <v>0.25369999999999998</v>
      </c>
      <c r="N424">
        <v>7</v>
      </c>
      <c r="O424">
        <v>68</v>
      </c>
      <c r="P424">
        <v>75</v>
      </c>
    </row>
    <row r="425" spans="1:16" x14ac:dyDescent="0.25">
      <c r="A425" s="6">
        <v>423</v>
      </c>
      <c r="B425" s="9">
        <v>40562</v>
      </c>
      <c r="C425" s="6">
        <v>1</v>
      </c>
      <c r="D425" s="6">
        <v>0</v>
      </c>
      <c r="E425" s="6">
        <v>1</v>
      </c>
      <c r="F425" s="6">
        <v>15</v>
      </c>
      <c r="G425" s="6" t="b">
        <v>0</v>
      </c>
      <c r="H425" s="6">
        <v>3</v>
      </c>
      <c r="I425" s="6">
        <v>1</v>
      </c>
      <c r="J425" s="6">
        <v>0.4</v>
      </c>
      <c r="K425">
        <v>0.40910000000000002</v>
      </c>
      <c r="L425">
        <v>0.54</v>
      </c>
      <c r="M425">
        <v>0.28360000000000002</v>
      </c>
      <c r="N425">
        <v>4</v>
      </c>
      <c r="O425">
        <v>78</v>
      </c>
      <c r="P425">
        <v>82</v>
      </c>
    </row>
    <row r="426" spans="1:16" x14ac:dyDescent="0.25">
      <c r="A426" s="6">
        <v>424</v>
      </c>
      <c r="B426" s="9">
        <v>40562</v>
      </c>
      <c r="C426" s="6">
        <v>1</v>
      </c>
      <c r="D426" s="6">
        <v>0</v>
      </c>
      <c r="E426" s="6">
        <v>1</v>
      </c>
      <c r="F426" s="6">
        <v>16</v>
      </c>
      <c r="G426" s="6" t="b">
        <v>0</v>
      </c>
      <c r="H426" s="6">
        <v>3</v>
      </c>
      <c r="I426" s="6">
        <v>1</v>
      </c>
      <c r="J426" s="6">
        <v>0.38</v>
      </c>
      <c r="K426">
        <v>0.39389999999999997</v>
      </c>
      <c r="L426">
        <v>0.57999999999999996</v>
      </c>
      <c r="M426">
        <v>0.3881</v>
      </c>
      <c r="N426">
        <v>10</v>
      </c>
      <c r="O426">
        <v>94</v>
      </c>
      <c r="P426">
        <v>104</v>
      </c>
    </row>
    <row r="427" spans="1:16" x14ac:dyDescent="0.25">
      <c r="A427" s="6">
        <v>425</v>
      </c>
      <c r="B427" s="9">
        <v>40562</v>
      </c>
      <c r="C427" s="6">
        <v>1</v>
      </c>
      <c r="D427" s="6">
        <v>0</v>
      </c>
      <c r="E427" s="6">
        <v>1</v>
      </c>
      <c r="F427" s="6">
        <v>17</v>
      </c>
      <c r="G427" s="6" t="b">
        <v>0</v>
      </c>
      <c r="H427" s="6">
        <v>3</v>
      </c>
      <c r="I427" s="6">
        <v>1</v>
      </c>
      <c r="J427" s="6">
        <v>0.36</v>
      </c>
      <c r="K427">
        <v>0.33329999999999999</v>
      </c>
      <c r="L427">
        <v>0.56999999999999995</v>
      </c>
      <c r="M427">
        <v>0.32840000000000003</v>
      </c>
      <c r="N427">
        <v>7</v>
      </c>
      <c r="O427">
        <v>190</v>
      </c>
      <c r="P427">
        <v>197</v>
      </c>
    </row>
    <row r="428" spans="1:16" x14ac:dyDescent="0.25">
      <c r="A428" s="6">
        <v>426</v>
      </c>
      <c r="B428" s="9">
        <v>40562</v>
      </c>
      <c r="C428" s="6">
        <v>1</v>
      </c>
      <c r="D428" s="6">
        <v>0</v>
      </c>
      <c r="E428" s="6">
        <v>1</v>
      </c>
      <c r="F428" s="6">
        <v>18</v>
      </c>
      <c r="G428" s="6" t="b">
        <v>0</v>
      </c>
      <c r="H428" s="6">
        <v>3</v>
      </c>
      <c r="I428" s="6">
        <v>1</v>
      </c>
      <c r="J428" s="6">
        <v>0.34</v>
      </c>
      <c r="K428">
        <v>0.31819999999999998</v>
      </c>
      <c r="L428">
        <v>0.61</v>
      </c>
      <c r="M428">
        <v>0.28360000000000002</v>
      </c>
      <c r="N428">
        <v>5</v>
      </c>
      <c r="O428">
        <v>156</v>
      </c>
      <c r="P428">
        <v>161</v>
      </c>
    </row>
    <row r="429" spans="1:16" x14ac:dyDescent="0.25">
      <c r="A429" s="6">
        <v>427</v>
      </c>
      <c r="B429" s="9">
        <v>40562</v>
      </c>
      <c r="C429" s="6">
        <v>1</v>
      </c>
      <c r="D429" s="6">
        <v>0</v>
      </c>
      <c r="E429" s="6">
        <v>1</v>
      </c>
      <c r="F429" s="6">
        <v>19</v>
      </c>
      <c r="G429" s="6" t="b">
        <v>0</v>
      </c>
      <c r="H429" s="6">
        <v>3</v>
      </c>
      <c r="I429" s="6">
        <v>1</v>
      </c>
      <c r="J429" s="6">
        <v>0.32</v>
      </c>
      <c r="K429">
        <v>0.28789999999999999</v>
      </c>
      <c r="L429">
        <v>0.56999999999999995</v>
      </c>
      <c r="M429">
        <v>0.41789999999999999</v>
      </c>
      <c r="N429">
        <v>4</v>
      </c>
      <c r="O429">
        <v>108</v>
      </c>
      <c r="P429">
        <v>112</v>
      </c>
    </row>
    <row r="430" spans="1:16" x14ac:dyDescent="0.25">
      <c r="A430" s="6">
        <v>428</v>
      </c>
      <c r="B430" s="9">
        <v>40562</v>
      </c>
      <c r="C430" s="6">
        <v>1</v>
      </c>
      <c r="D430" s="6">
        <v>0</v>
      </c>
      <c r="E430" s="6">
        <v>1</v>
      </c>
      <c r="F430" s="6">
        <v>20</v>
      </c>
      <c r="G430" s="6" t="b">
        <v>0</v>
      </c>
      <c r="H430" s="6">
        <v>3</v>
      </c>
      <c r="I430" s="6">
        <v>1</v>
      </c>
      <c r="J430" s="6">
        <v>0.32</v>
      </c>
      <c r="K430">
        <v>0.30299999999999999</v>
      </c>
      <c r="L430">
        <v>0.49</v>
      </c>
      <c r="M430">
        <v>0.29849999999999999</v>
      </c>
      <c r="N430">
        <v>2</v>
      </c>
      <c r="O430">
        <v>74</v>
      </c>
      <c r="P430">
        <v>76</v>
      </c>
    </row>
    <row r="431" spans="1:16" x14ac:dyDescent="0.25">
      <c r="A431" s="6">
        <v>429</v>
      </c>
      <c r="B431" s="9">
        <v>40562</v>
      </c>
      <c r="C431" s="6">
        <v>1</v>
      </c>
      <c r="D431" s="6">
        <v>0</v>
      </c>
      <c r="E431" s="6">
        <v>1</v>
      </c>
      <c r="F431" s="6">
        <v>21</v>
      </c>
      <c r="G431" s="6" t="b">
        <v>0</v>
      </c>
      <c r="H431" s="6">
        <v>3</v>
      </c>
      <c r="I431" s="6">
        <v>1</v>
      </c>
      <c r="J431" s="6">
        <v>0.32</v>
      </c>
      <c r="K431">
        <v>0.28789999999999999</v>
      </c>
      <c r="L431">
        <v>0.49</v>
      </c>
      <c r="M431">
        <v>0.41789999999999999</v>
      </c>
      <c r="N431">
        <v>4</v>
      </c>
      <c r="O431">
        <v>55</v>
      </c>
      <c r="P431">
        <v>59</v>
      </c>
    </row>
    <row r="432" spans="1:16" x14ac:dyDescent="0.25">
      <c r="A432" s="6">
        <v>430</v>
      </c>
      <c r="B432" s="9">
        <v>40562</v>
      </c>
      <c r="C432" s="6">
        <v>1</v>
      </c>
      <c r="D432" s="6">
        <v>0</v>
      </c>
      <c r="E432" s="6">
        <v>1</v>
      </c>
      <c r="F432" s="6">
        <v>22</v>
      </c>
      <c r="G432" s="6" t="b">
        <v>0</v>
      </c>
      <c r="H432" s="6">
        <v>3</v>
      </c>
      <c r="I432" s="6">
        <v>1</v>
      </c>
      <c r="J432" s="6">
        <v>0.3</v>
      </c>
      <c r="K432">
        <v>0.30299999999999999</v>
      </c>
      <c r="L432">
        <v>0.52</v>
      </c>
      <c r="M432">
        <v>0.16420000000000001</v>
      </c>
      <c r="N432">
        <v>6</v>
      </c>
      <c r="O432">
        <v>53</v>
      </c>
      <c r="P432">
        <v>59</v>
      </c>
    </row>
    <row r="433" spans="1:16" x14ac:dyDescent="0.25">
      <c r="A433" s="6">
        <v>431</v>
      </c>
      <c r="B433" s="9">
        <v>40562</v>
      </c>
      <c r="C433" s="6">
        <v>1</v>
      </c>
      <c r="D433" s="6">
        <v>0</v>
      </c>
      <c r="E433" s="6">
        <v>1</v>
      </c>
      <c r="F433" s="6">
        <v>23</v>
      </c>
      <c r="G433" s="6" t="b">
        <v>0</v>
      </c>
      <c r="H433" s="6">
        <v>3</v>
      </c>
      <c r="I433" s="6">
        <v>1</v>
      </c>
      <c r="J433" s="6">
        <v>0.3</v>
      </c>
      <c r="K433">
        <v>0.2727</v>
      </c>
      <c r="L433">
        <v>0.52</v>
      </c>
      <c r="M433">
        <v>0.4627</v>
      </c>
      <c r="N433">
        <v>1</v>
      </c>
      <c r="O433">
        <v>27</v>
      </c>
      <c r="P433">
        <v>28</v>
      </c>
    </row>
    <row r="434" spans="1:16" x14ac:dyDescent="0.25">
      <c r="A434" s="6">
        <v>432</v>
      </c>
      <c r="B434" s="9">
        <v>40563</v>
      </c>
      <c r="C434" s="6">
        <v>1</v>
      </c>
      <c r="D434" s="6">
        <v>0</v>
      </c>
      <c r="E434" s="6">
        <v>1</v>
      </c>
      <c r="F434" s="6">
        <v>0</v>
      </c>
      <c r="G434" s="6" t="b">
        <v>0</v>
      </c>
      <c r="H434" s="6">
        <v>4</v>
      </c>
      <c r="I434" s="6">
        <v>1</v>
      </c>
      <c r="J434" s="6">
        <v>0.26</v>
      </c>
      <c r="K434">
        <v>0.2273</v>
      </c>
      <c r="L434">
        <v>0.56000000000000005</v>
      </c>
      <c r="M434">
        <v>0.3881</v>
      </c>
      <c r="N434">
        <v>5</v>
      </c>
      <c r="O434">
        <v>8</v>
      </c>
      <c r="P434">
        <v>13</v>
      </c>
    </row>
    <row r="435" spans="1:16" x14ac:dyDescent="0.25">
      <c r="A435" s="6">
        <v>433</v>
      </c>
      <c r="B435" s="9">
        <v>40563</v>
      </c>
      <c r="C435" s="6">
        <v>1</v>
      </c>
      <c r="D435" s="6">
        <v>0</v>
      </c>
      <c r="E435" s="6">
        <v>1</v>
      </c>
      <c r="F435" s="6">
        <v>1</v>
      </c>
      <c r="G435" s="6" t="b">
        <v>0</v>
      </c>
      <c r="H435" s="6">
        <v>4</v>
      </c>
      <c r="I435" s="6">
        <v>1</v>
      </c>
      <c r="J435" s="6">
        <v>0.26</v>
      </c>
      <c r="K435">
        <v>0.2727</v>
      </c>
      <c r="L435">
        <v>0.56000000000000005</v>
      </c>
      <c r="M435">
        <v>0</v>
      </c>
      <c r="N435">
        <v>2</v>
      </c>
      <c r="O435">
        <v>3</v>
      </c>
      <c r="P435">
        <v>5</v>
      </c>
    </row>
    <row r="436" spans="1:16" x14ac:dyDescent="0.25">
      <c r="A436" s="6">
        <v>434</v>
      </c>
      <c r="B436" s="9">
        <v>40563</v>
      </c>
      <c r="C436" s="6">
        <v>1</v>
      </c>
      <c r="D436" s="6">
        <v>0</v>
      </c>
      <c r="E436" s="6">
        <v>1</v>
      </c>
      <c r="F436" s="6">
        <v>2</v>
      </c>
      <c r="G436" s="6" t="b">
        <v>0</v>
      </c>
      <c r="H436" s="6">
        <v>4</v>
      </c>
      <c r="I436" s="6">
        <v>1</v>
      </c>
      <c r="J436" s="6">
        <v>0.26</v>
      </c>
      <c r="K436">
        <v>0.2727</v>
      </c>
      <c r="L436">
        <v>0.56000000000000005</v>
      </c>
      <c r="M436">
        <v>0</v>
      </c>
      <c r="N436">
        <v>0</v>
      </c>
      <c r="O436">
        <v>2</v>
      </c>
      <c r="P436">
        <v>2</v>
      </c>
    </row>
    <row r="437" spans="1:16" x14ac:dyDescent="0.25">
      <c r="A437" s="6">
        <v>435</v>
      </c>
      <c r="B437" s="9">
        <v>40563</v>
      </c>
      <c r="C437" s="6">
        <v>1</v>
      </c>
      <c r="D437" s="6">
        <v>0</v>
      </c>
      <c r="E437" s="6">
        <v>1</v>
      </c>
      <c r="F437" s="6">
        <v>3</v>
      </c>
      <c r="G437" s="6" t="b">
        <v>0</v>
      </c>
      <c r="H437" s="6">
        <v>4</v>
      </c>
      <c r="I437" s="6">
        <v>1</v>
      </c>
      <c r="J437" s="6">
        <v>0.26</v>
      </c>
      <c r="K437">
        <v>0.2576</v>
      </c>
      <c r="L437">
        <v>0.56000000000000005</v>
      </c>
      <c r="M437">
        <v>0.16420000000000001</v>
      </c>
      <c r="N437">
        <v>0</v>
      </c>
      <c r="O437">
        <v>1</v>
      </c>
      <c r="P437">
        <v>1</v>
      </c>
    </row>
    <row r="438" spans="1:16" x14ac:dyDescent="0.25">
      <c r="A438" s="6">
        <v>436</v>
      </c>
      <c r="B438" s="9">
        <v>40563</v>
      </c>
      <c r="C438" s="6">
        <v>1</v>
      </c>
      <c r="D438" s="6">
        <v>0</v>
      </c>
      <c r="E438" s="6">
        <v>1</v>
      </c>
      <c r="F438" s="6">
        <v>4</v>
      </c>
      <c r="G438" s="6" t="b">
        <v>0</v>
      </c>
      <c r="H438" s="6">
        <v>4</v>
      </c>
      <c r="I438" s="6">
        <v>1</v>
      </c>
      <c r="J438" s="6">
        <v>0.26</v>
      </c>
      <c r="K438">
        <v>0.2576</v>
      </c>
      <c r="L438">
        <v>0.56000000000000005</v>
      </c>
      <c r="M438">
        <v>0.16420000000000001</v>
      </c>
      <c r="N438">
        <v>0</v>
      </c>
      <c r="O438">
        <v>1</v>
      </c>
      <c r="P438">
        <v>1</v>
      </c>
    </row>
    <row r="439" spans="1:16" x14ac:dyDescent="0.25">
      <c r="A439" s="6">
        <v>437</v>
      </c>
      <c r="B439" s="9">
        <v>40563</v>
      </c>
      <c r="C439" s="6">
        <v>1</v>
      </c>
      <c r="D439" s="6">
        <v>0</v>
      </c>
      <c r="E439" s="6">
        <v>1</v>
      </c>
      <c r="F439" s="6">
        <v>5</v>
      </c>
      <c r="G439" s="6" t="b">
        <v>0</v>
      </c>
      <c r="H439" s="6">
        <v>4</v>
      </c>
      <c r="I439" s="6">
        <v>1</v>
      </c>
      <c r="J439" s="6">
        <v>0.24</v>
      </c>
      <c r="K439">
        <v>0.2273</v>
      </c>
      <c r="L439">
        <v>0.6</v>
      </c>
      <c r="M439">
        <v>0.22389999999999999</v>
      </c>
      <c r="N439">
        <v>0</v>
      </c>
      <c r="O439">
        <v>6</v>
      </c>
      <c r="P439">
        <v>6</v>
      </c>
    </row>
    <row r="440" spans="1:16" x14ac:dyDescent="0.25">
      <c r="A440" s="6">
        <v>438</v>
      </c>
      <c r="B440" s="9">
        <v>40563</v>
      </c>
      <c r="C440" s="6">
        <v>1</v>
      </c>
      <c r="D440" s="6">
        <v>0</v>
      </c>
      <c r="E440" s="6">
        <v>1</v>
      </c>
      <c r="F440" s="6">
        <v>6</v>
      </c>
      <c r="G440" s="6" t="b">
        <v>0</v>
      </c>
      <c r="H440" s="6">
        <v>4</v>
      </c>
      <c r="I440" s="6">
        <v>1</v>
      </c>
      <c r="J440" s="6">
        <v>0.22</v>
      </c>
      <c r="K440">
        <v>0.21210000000000001</v>
      </c>
      <c r="L440">
        <v>0.6</v>
      </c>
      <c r="M440">
        <v>0.22389999999999999</v>
      </c>
      <c r="N440">
        <v>0</v>
      </c>
      <c r="O440">
        <v>35</v>
      </c>
      <c r="P440">
        <v>35</v>
      </c>
    </row>
    <row r="441" spans="1:16" x14ac:dyDescent="0.25">
      <c r="A441" s="6">
        <v>439</v>
      </c>
      <c r="B441" s="9">
        <v>40563</v>
      </c>
      <c r="C441" s="6">
        <v>1</v>
      </c>
      <c r="D441" s="6">
        <v>0</v>
      </c>
      <c r="E441" s="6">
        <v>1</v>
      </c>
      <c r="F441" s="6">
        <v>7</v>
      </c>
      <c r="G441" s="6" t="b">
        <v>0</v>
      </c>
      <c r="H441" s="6">
        <v>4</v>
      </c>
      <c r="I441" s="6">
        <v>1</v>
      </c>
      <c r="J441" s="6">
        <v>0.22</v>
      </c>
      <c r="K441">
        <v>0.21210000000000001</v>
      </c>
      <c r="L441">
        <v>0.55000000000000004</v>
      </c>
      <c r="M441">
        <v>0.22389999999999999</v>
      </c>
      <c r="N441">
        <v>1</v>
      </c>
      <c r="O441">
        <v>100</v>
      </c>
      <c r="P441">
        <v>101</v>
      </c>
    </row>
    <row r="442" spans="1:16" x14ac:dyDescent="0.25">
      <c r="A442" s="6">
        <v>440</v>
      </c>
      <c r="B442" s="9">
        <v>40563</v>
      </c>
      <c r="C442" s="6">
        <v>1</v>
      </c>
      <c r="D442" s="6">
        <v>0</v>
      </c>
      <c r="E442" s="6">
        <v>1</v>
      </c>
      <c r="F442" s="6">
        <v>8</v>
      </c>
      <c r="G442" s="6" t="b">
        <v>0</v>
      </c>
      <c r="H442" s="6">
        <v>4</v>
      </c>
      <c r="I442" s="6">
        <v>1</v>
      </c>
      <c r="J442" s="6">
        <v>0.22</v>
      </c>
      <c r="K442">
        <v>0.21210000000000001</v>
      </c>
      <c r="L442">
        <v>0.55000000000000004</v>
      </c>
      <c r="M442">
        <v>0.28360000000000002</v>
      </c>
      <c r="N442">
        <v>2</v>
      </c>
      <c r="O442">
        <v>247</v>
      </c>
      <c r="P442">
        <v>249</v>
      </c>
    </row>
    <row r="443" spans="1:16" x14ac:dyDescent="0.25">
      <c r="A443" s="6">
        <v>441</v>
      </c>
      <c r="B443" s="9">
        <v>40563</v>
      </c>
      <c r="C443" s="6">
        <v>1</v>
      </c>
      <c r="D443" s="6">
        <v>0</v>
      </c>
      <c r="E443" s="6">
        <v>1</v>
      </c>
      <c r="F443" s="6">
        <v>9</v>
      </c>
      <c r="G443" s="6" t="b">
        <v>0</v>
      </c>
      <c r="H443" s="6">
        <v>4</v>
      </c>
      <c r="I443" s="6">
        <v>2</v>
      </c>
      <c r="J443" s="6">
        <v>0.24</v>
      </c>
      <c r="K443">
        <v>0.2273</v>
      </c>
      <c r="L443">
        <v>0.52</v>
      </c>
      <c r="M443">
        <v>0.22389999999999999</v>
      </c>
      <c r="N443">
        <v>3</v>
      </c>
      <c r="O443">
        <v>140</v>
      </c>
      <c r="P443">
        <v>143</v>
      </c>
    </row>
    <row r="444" spans="1:16" x14ac:dyDescent="0.25">
      <c r="A444" s="6">
        <v>442</v>
      </c>
      <c r="B444" s="9">
        <v>40563</v>
      </c>
      <c r="C444" s="6">
        <v>1</v>
      </c>
      <c r="D444" s="6">
        <v>0</v>
      </c>
      <c r="E444" s="6">
        <v>1</v>
      </c>
      <c r="F444" s="6">
        <v>10</v>
      </c>
      <c r="G444" s="6" t="b">
        <v>0</v>
      </c>
      <c r="H444" s="6">
        <v>4</v>
      </c>
      <c r="I444" s="6">
        <v>1</v>
      </c>
      <c r="J444" s="6">
        <v>0.26</v>
      </c>
      <c r="K444">
        <v>0.2273</v>
      </c>
      <c r="L444">
        <v>0.48</v>
      </c>
      <c r="M444">
        <v>0.29849999999999999</v>
      </c>
      <c r="N444">
        <v>1</v>
      </c>
      <c r="O444">
        <v>56</v>
      </c>
      <c r="P444">
        <v>57</v>
      </c>
    </row>
    <row r="445" spans="1:16" x14ac:dyDescent="0.25">
      <c r="A445" s="6">
        <v>443</v>
      </c>
      <c r="B445" s="9">
        <v>40563</v>
      </c>
      <c r="C445" s="6">
        <v>1</v>
      </c>
      <c r="D445" s="6">
        <v>0</v>
      </c>
      <c r="E445" s="6">
        <v>1</v>
      </c>
      <c r="F445" s="6">
        <v>11</v>
      </c>
      <c r="G445" s="6" t="b">
        <v>0</v>
      </c>
      <c r="H445" s="6">
        <v>4</v>
      </c>
      <c r="I445" s="6">
        <v>2</v>
      </c>
      <c r="J445" s="6">
        <v>0.28000000000000003</v>
      </c>
      <c r="K445">
        <v>0.2727</v>
      </c>
      <c r="L445">
        <v>0.45</v>
      </c>
      <c r="M445">
        <v>0.16420000000000001</v>
      </c>
      <c r="N445">
        <v>5</v>
      </c>
      <c r="O445">
        <v>63</v>
      </c>
      <c r="P445">
        <v>68</v>
      </c>
    </row>
    <row r="446" spans="1:16" x14ac:dyDescent="0.25">
      <c r="A446" s="6">
        <v>444</v>
      </c>
      <c r="B446" s="9">
        <v>40563</v>
      </c>
      <c r="C446" s="6">
        <v>1</v>
      </c>
      <c r="D446" s="6">
        <v>0</v>
      </c>
      <c r="E446" s="6">
        <v>1</v>
      </c>
      <c r="F446" s="6">
        <v>12</v>
      </c>
      <c r="G446" s="6" t="b">
        <v>0</v>
      </c>
      <c r="H446" s="6">
        <v>4</v>
      </c>
      <c r="I446" s="6">
        <v>2</v>
      </c>
      <c r="J446" s="6">
        <v>0.3</v>
      </c>
      <c r="K446">
        <v>0.33329999999999999</v>
      </c>
      <c r="L446">
        <v>0.42</v>
      </c>
      <c r="M446">
        <v>0</v>
      </c>
      <c r="N446">
        <v>7</v>
      </c>
      <c r="O446">
        <v>77</v>
      </c>
      <c r="P446">
        <v>84</v>
      </c>
    </row>
    <row r="447" spans="1:16" x14ac:dyDescent="0.25">
      <c r="A447" s="6">
        <v>445</v>
      </c>
      <c r="B447" s="9">
        <v>40563</v>
      </c>
      <c r="C447" s="6">
        <v>1</v>
      </c>
      <c r="D447" s="6">
        <v>0</v>
      </c>
      <c r="E447" s="6">
        <v>1</v>
      </c>
      <c r="F447" s="6">
        <v>13</v>
      </c>
      <c r="G447" s="6" t="b">
        <v>0</v>
      </c>
      <c r="H447" s="6">
        <v>4</v>
      </c>
      <c r="I447" s="6">
        <v>2</v>
      </c>
      <c r="J447" s="6">
        <v>0.28000000000000003</v>
      </c>
      <c r="K447">
        <v>0.28789999999999999</v>
      </c>
      <c r="L447">
        <v>0.45</v>
      </c>
      <c r="M447">
        <v>0.1045</v>
      </c>
      <c r="N447">
        <v>12</v>
      </c>
      <c r="O447">
        <v>86</v>
      </c>
      <c r="P447">
        <v>98</v>
      </c>
    </row>
    <row r="448" spans="1:16" x14ac:dyDescent="0.25">
      <c r="A448" s="6">
        <v>446</v>
      </c>
      <c r="B448" s="9">
        <v>40563</v>
      </c>
      <c r="C448" s="6">
        <v>1</v>
      </c>
      <c r="D448" s="6">
        <v>0</v>
      </c>
      <c r="E448" s="6">
        <v>1</v>
      </c>
      <c r="F448" s="6">
        <v>14</v>
      </c>
      <c r="G448" s="6" t="b">
        <v>0</v>
      </c>
      <c r="H448" s="6">
        <v>4</v>
      </c>
      <c r="I448" s="6">
        <v>2</v>
      </c>
      <c r="J448" s="6">
        <v>0.3</v>
      </c>
      <c r="K448">
        <v>0.30299999999999999</v>
      </c>
      <c r="L448">
        <v>0.45</v>
      </c>
      <c r="M448">
        <v>0.1343</v>
      </c>
      <c r="N448">
        <v>6</v>
      </c>
      <c r="O448">
        <v>75</v>
      </c>
      <c r="P448">
        <v>81</v>
      </c>
    </row>
    <row r="449" spans="1:16" x14ac:dyDescent="0.25">
      <c r="A449" s="6">
        <v>447</v>
      </c>
      <c r="B449" s="9">
        <v>40563</v>
      </c>
      <c r="C449" s="6">
        <v>1</v>
      </c>
      <c r="D449" s="6">
        <v>0</v>
      </c>
      <c r="E449" s="6">
        <v>1</v>
      </c>
      <c r="F449" s="6">
        <v>15</v>
      </c>
      <c r="G449" s="6" t="b">
        <v>0</v>
      </c>
      <c r="H449" s="6">
        <v>4</v>
      </c>
      <c r="I449" s="6">
        <v>2</v>
      </c>
      <c r="J449" s="6">
        <v>0.32</v>
      </c>
      <c r="K449">
        <v>0.31819999999999998</v>
      </c>
      <c r="L449">
        <v>0.45</v>
      </c>
      <c r="M449">
        <v>0.19400000000000001</v>
      </c>
      <c r="N449">
        <v>8</v>
      </c>
      <c r="O449">
        <v>62</v>
      </c>
      <c r="P449">
        <v>70</v>
      </c>
    </row>
    <row r="450" spans="1:16" x14ac:dyDescent="0.25">
      <c r="A450" s="6">
        <v>448</v>
      </c>
      <c r="B450" s="9">
        <v>40563</v>
      </c>
      <c r="C450" s="6">
        <v>1</v>
      </c>
      <c r="D450" s="6">
        <v>0</v>
      </c>
      <c r="E450" s="6">
        <v>1</v>
      </c>
      <c r="F450" s="6">
        <v>16</v>
      </c>
      <c r="G450" s="6" t="b">
        <v>0</v>
      </c>
      <c r="H450" s="6">
        <v>4</v>
      </c>
      <c r="I450" s="6">
        <v>2</v>
      </c>
      <c r="J450" s="6">
        <v>0.3</v>
      </c>
      <c r="K450">
        <v>0.30299999999999999</v>
      </c>
      <c r="L450">
        <v>0.49</v>
      </c>
      <c r="M450">
        <v>0.1343</v>
      </c>
      <c r="N450">
        <v>8</v>
      </c>
      <c r="O450">
        <v>83</v>
      </c>
      <c r="P450">
        <v>91</v>
      </c>
    </row>
    <row r="451" spans="1:16" x14ac:dyDescent="0.25">
      <c r="A451" s="6">
        <v>449</v>
      </c>
      <c r="B451" s="9">
        <v>40563</v>
      </c>
      <c r="C451" s="6">
        <v>1</v>
      </c>
      <c r="D451" s="6">
        <v>0</v>
      </c>
      <c r="E451" s="6">
        <v>1</v>
      </c>
      <c r="F451" s="6">
        <v>17</v>
      </c>
      <c r="G451" s="6" t="b">
        <v>0</v>
      </c>
      <c r="H451" s="6">
        <v>4</v>
      </c>
      <c r="I451" s="6">
        <v>2</v>
      </c>
      <c r="J451" s="6">
        <v>0.3</v>
      </c>
      <c r="K451">
        <v>0.31819999999999998</v>
      </c>
      <c r="L451">
        <v>0.49</v>
      </c>
      <c r="M451">
        <v>0.1045</v>
      </c>
      <c r="N451">
        <v>8</v>
      </c>
      <c r="O451">
        <v>207</v>
      </c>
      <c r="P451">
        <v>215</v>
      </c>
    </row>
    <row r="452" spans="1:16" x14ac:dyDescent="0.25">
      <c r="A452" s="6">
        <v>450</v>
      </c>
      <c r="B452" s="9">
        <v>40563</v>
      </c>
      <c r="C452" s="6">
        <v>1</v>
      </c>
      <c r="D452" s="6">
        <v>0</v>
      </c>
      <c r="E452" s="6">
        <v>1</v>
      </c>
      <c r="F452" s="6">
        <v>18</v>
      </c>
      <c r="G452" s="6" t="b">
        <v>0</v>
      </c>
      <c r="H452" s="6">
        <v>4</v>
      </c>
      <c r="I452" s="6">
        <v>2</v>
      </c>
      <c r="J452" s="6">
        <v>0.26</v>
      </c>
      <c r="K452">
        <v>0.2576</v>
      </c>
      <c r="L452">
        <v>0.56000000000000005</v>
      </c>
      <c r="M452">
        <v>0.19400000000000001</v>
      </c>
      <c r="N452">
        <v>1</v>
      </c>
      <c r="O452">
        <v>184</v>
      </c>
      <c r="P452">
        <v>185</v>
      </c>
    </row>
    <row r="453" spans="1:16" x14ac:dyDescent="0.25">
      <c r="A453" s="6">
        <v>451</v>
      </c>
      <c r="B453" s="9">
        <v>40563</v>
      </c>
      <c r="C453" s="6">
        <v>1</v>
      </c>
      <c r="D453" s="6">
        <v>0</v>
      </c>
      <c r="E453" s="6">
        <v>1</v>
      </c>
      <c r="F453" s="6">
        <v>19</v>
      </c>
      <c r="G453" s="6" t="b">
        <v>0</v>
      </c>
      <c r="H453" s="6">
        <v>4</v>
      </c>
      <c r="I453" s="6">
        <v>1</v>
      </c>
      <c r="J453" s="6">
        <v>0.26</v>
      </c>
      <c r="K453">
        <v>0.2273</v>
      </c>
      <c r="L453">
        <v>0.56000000000000005</v>
      </c>
      <c r="M453">
        <v>0.32840000000000003</v>
      </c>
      <c r="N453">
        <v>6</v>
      </c>
      <c r="O453">
        <v>146</v>
      </c>
      <c r="P453">
        <v>152</v>
      </c>
    </row>
    <row r="454" spans="1:16" x14ac:dyDescent="0.25">
      <c r="A454" s="6">
        <v>452</v>
      </c>
      <c r="B454" s="9">
        <v>40563</v>
      </c>
      <c r="C454" s="6">
        <v>1</v>
      </c>
      <c r="D454" s="6">
        <v>0</v>
      </c>
      <c r="E454" s="6">
        <v>1</v>
      </c>
      <c r="F454" s="6">
        <v>20</v>
      </c>
      <c r="G454" s="6" t="b">
        <v>0</v>
      </c>
      <c r="H454" s="6">
        <v>4</v>
      </c>
      <c r="I454" s="6">
        <v>2</v>
      </c>
      <c r="J454" s="6">
        <v>0.26</v>
      </c>
      <c r="K454">
        <v>0.2424</v>
      </c>
      <c r="L454">
        <v>0.6</v>
      </c>
      <c r="M454">
        <v>0.28360000000000002</v>
      </c>
      <c r="N454">
        <v>2</v>
      </c>
      <c r="O454">
        <v>124</v>
      </c>
      <c r="P454">
        <v>126</v>
      </c>
    </row>
    <row r="455" spans="1:16" x14ac:dyDescent="0.25">
      <c r="A455" s="6">
        <v>453</v>
      </c>
      <c r="B455" s="9">
        <v>40563</v>
      </c>
      <c r="C455" s="6">
        <v>1</v>
      </c>
      <c r="D455" s="6">
        <v>0</v>
      </c>
      <c r="E455" s="6">
        <v>1</v>
      </c>
      <c r="F455" s="6">
        <v>21</v>
      </c>
      <c r="G455" s="6" t="b">
        <v>0</v>
      </c>
      <c r="H455" s="6">
        <v>4</v>
      </c>
      <c r="I455" s="6">
        <v>2</v>
      </c>
      <c r="J455" s="6">
        <v>0.24</v>
      </c>
      <c r="K455">
        <v>0.2273</v>
      </c>
      <c r="L455">
        <v>0.6</v>
      </c>
      <c r="M455">
        <v>0.25369999999999998</v>
      </c>
      <c r="N455">
        <v>3</v>
      </c>
      <c r="O455">
        <v>54</v>
      </c>
      <c r="P455">
        <v>57</v>
      </c>
    </row>
    <row r="456" spans="1:16" x14ac:dyDescent="0.25">
      <c r="A456" s="6">
        <v>454</v>
      </c>
      <c r="B456" s="9">
        <v>40563</v>
      </c>
      <c r="C456" s="6">
        <v>1</v>
      </c>
      <c r="D456" s="6">
        <v>0</v>
      </c>
      <c r="E456" s="6">
        <v>1</v>
      </c>
      <c r="F456" s="6">
        <v>22</v>
      </c>
      <c r="G456" s="6" t="b">
        <v>0</v>
      </c>
      <c r="H456" s="6">
        <v>4</v>
      </c>
      <c r="I456" s="6">
        <v>2</v>
      </c>
      <c r="J456" s="6">
        <v>0.24</v>
      </c>
      <c r="K456">
        <v>0.21210000000000001</v>
      </c>
      <c r="L456">
        <v>0.65</v>
      </c>
      <c r="M456">
        <v>0.28360000000000002</v>
      </c>
      <c r="N456">
        <v>0</v>
      </c>
      <c r="O456">
        <v>56</v>
      </c>
      <c r="P456">
        <v>56</v>
      </c>
    </row>
    <row r="457" spans="1:16" x14ac:dyDescent="0.25">
      <c r="A457" s="6">
        <v>455</v>
      </c>
      <c r="B457" s="9">
        <v>40563</v>
      </c>
      <c r="C457" s="6">
        <v>1</v>
      </c>
      <c r="D457" s="6">
        <v>0</v>
      </c>
      <c r="E457" s="6">
        <v>1</v>
      </c>
      <c r="F457" s="6">
        <v>23</v>
      </c>
      <c r="G457" s="6" t="b">
        <v>0</v>
      </c>
      <c r="H457" s="6">
        <v>4</v>
      </c>
      <c r="I457" s="6">
        <v>2</v>
      </c>
      <c r="J457" s="6">
        <v>0.24</v>
      </c>
      <c r="K457">
        <v>0.21210000000000001</v>
      </c>
      <c r="L457">
        <v>0.65</v>
      </c>
      <c r="M457">
        <v>0.32840000000000003</v>
      </c>
      <c r="N457">
        <v>3</v>
      </c>
      <c r="O457">
        <v>28</v>
      </c>
      <c r="P457">
        <v>31</v>
      </c>
    </row>
    <row r="458" spans="1:16" x14ac:dyDescent="0.25">
      <c r="A458" s="6">
        <v>456</v>
      </c>
      <c r="B458" s="9">
        <v>40564</v>
      </c>
      <c r="C458" s="6">
        <v>1</v>
      </c>
      <c r="D458" s="6">
        <v>0</v>
      </c>
      <c r="E458" s="6">
        <v>1</v>
      </c>
      <c r="F458" s="6">
        <v>0</v>
      </c>
      <c r="G458" s="6" t="b">
        <v>0</v>
      </c>
      <c r="H458" s="6">
        <v>5</v>
      </c>
      <c r="I458" s="6">
        <v>2</v>
      </c>
      <c r="J458" s="6">
        <v>0.24</v>
      </c>
      <c r="K458">
        <v>0.2273</v>
      </c>
      <c r="L458">
        <v>0.7</v>
      </c>
      <c r="M458">
        <v>0.25369999999999998</v>
      </c>
      <c r="N458">
        <v>1</v>
      </c>
      <c r="O458">
        <v>20</v>
      </c>
      <c r="P458">
        <v>21</v>
      </c>
    </row>
    <row r="459" spans="1:16" x14ac:dyDescent="0.25">
      <c r="A459" s="6">
        <v>457</v>
      </c>
      <c r="B459" s="9">
        <v>40564</v>
      </c>
      <c r="C459" s="6">
        <v>1</v>
      </c>
      <c r="D459" s="6">
        <v>0</v>
      </c>
      <c r="E459" s="6">
        <v>1</v>
      </c>
      <c r="F459" s="6">
        <v>1</v>
      </c>
      <c r="G459" s="6" t="b">
        <v>0</v>
      </c>
      <c r="H459" s="6">
        <v>5</v>
      </c>
      <c r="I459" s="6">
        <v>2</v>
      </c>
      <c r="J459" s="6">
        <v>0.24</v>
      </c>
      <c r="K459">
        <v>0.2273</v>
      </c>
      <c r="L459">
        <v>0.7</v>
      </c>
      <c r="M459">
        <v>0.25369999999999998</v>
      </c>
      <c r="N459">
        <v>0</v>
      </c>
      <c r="O459">
        <v>6</v>
      </c>
      <c r="P459">
        <v>6</v>
      </c>
    </row>
    <row r="460" spans="1:16" x14ac:dyDescent="0.25">
      <c r="A460" s="6">
        <v>458</v>
      </c>
      <c r="B460" s="9">
        <v>40564</v>
      </c>
      <c r="C460" s="6">
        <v>1</v>
      </c>
      <c r="D460" s="6">
        <v>0</v>
      </c>
      <c r="E460" s="6">
        <v>1</v>
      </c>
      <c r="F460" s="6">
        <v>2</v>
      </c>
      <c r="G460" s="6" t="b">
        <v>0</v>
      </c>
      <c r="H460" s="6">
        <v>5</v>
      </c>
      <c r="I460" s="6">
        <v>3</v>
      </c>
      <c r="J460" s="6">
        <v>0.24</v>
      </c>
      <c r="K460">
        <v>0.2424</v>
      </c>
      <c r="L460">
        <v>0.75</v>
      </c>
      <c r="M460">
        <v>0.16420000000000001</v>
      </c>
      <c r="N460">
        <v>0</v>
      </c>
      <c r="O460">
        <v>2</v>
      </c>
      <c r="P460">
        <v>2</v>
      </c>
    </row>
    <row r="461" spans="1:16" x14ac:dyDescent="0.25">
      <c r="A461" s="6">
        <v>459</v>
      </c>
      <c r="B461" s="9">
        <v>40564</v>
      </c>
      <c r="C461" s="6">
        <v>1</v>
      </c>
      <c r="D461" s="6">
        <v>0</v>
      </c>
      <c r="E461" s="6">
        <v>1</v>
      </c>
      <c r="F461" s="6">
        <v>3</v>
      </c>
      <c r="G461" s="6" t="b">
        <v>0</v>
      </c>
      <c r="H461" s="6">
        <v>5</v>
      </c>
      <c r="I461" s="6">
        <v>3</v>
      </c>
      <c r="J461" s="6">
        <v>0.22</v>
      </c>
      <c r="K461">
        <v>0.21210000000000001</v>
      </c>
      <c r="L461">
        <v>0.8</v>
      </c>
      <c r="M461">
        <v>0.29849999999999999</v>
      </c>
      <c r="N461">
        <v>0</v>
      </c>
      <c r="O461">
        <v>1</v>
      </c>
      <c r="P461">
        <v>1</v>
      </c>
    </row>
    <row r="462" spans="1:16" x14ac:dyDescent="0.25">
      <c r="A462" s="6">
        <v>460</v>
      </c>
      <c r="B462" s="9">
        <v>40564</v>
      </c>
      <c r="C462" s="6">
        <v>1</v>
      </c>
      <c r="D462" s="6">
        <v>0</v>
      </c>
      <c r="E462" s="6">
        <v>1</v>
      </c>
      <c r="F462" s="6">
        <v>4</v>
      </c>
      <c r="G462" s="6" t="b">
        <v>0</v>
      </c>
      <c r="H462" s="6">
        <v>5</v>
      </c>
      <c r="I462" s="6">
        <v>2</v>
      </c>
      <c r="J462" s="6">
        <v>0.22</v>
      </c>
      <c r="K462">
        <v>0.2576</v>
      </c>
      <c r="L462">
        <v>0.87</v>
      </c>
      <c r="M462">
        <v>8.9599999999999999E-2</v>
      </c>
      <c r="N462">
        <v>0</v>
      </c>
      <c r="O462">
        <v>1</v>
      </c>
      <c r="P462">
        <v>1</v>
      </c>
    </row>
    <row r="463" spans="1:16" x14ac:dyDescent="0.25">
      <c r="A463" s="6">
        <v>461</v>
      </c>
      <c r="B463" s="9">
        <v>40564</v>
      </c>
      <c r="C463" s="6">
        <v>1</v>
      </c>
      <c r="D463" s="6">
        <v>0</v>
      </c>
      <c r="E463" s="6">
        <v>1</v>
      </c>
      <c r="F463" s="6">
        <v>5</v>
      </c>
      <c r="G463" s="6" t="b">
        <v>0</v>
      </c>
      <c r="H463" s="6">
        <v>5</v>
      </c>
      <c r="I463" s="6">
        <v>1</v>
      </c>
      <c r="J463" s="6">
        <v>0.24</v>
      </c>
      <c r="K463">
        <v>0.19700000000000001</v>
      </c>
      <c r="L463">
        <v>0.6</v>
      </c>
      <c r="M463">
        <v>0.41789999999999999</v>
      </c>
      <c r="N463">
        <v>1</v>
      </c>
      <c r="O463">
        <v>4</v>
      </c>
      <c r="P463">
        <v>5</v>
      </c>
    </row>
    <row r="464" spans="1:16" x14ac:dyDescent="0.25">
      <c r="A464" s="6">
        <v>462</v>
      </c>
      <c r="B464" s="9">
        <v>40564</v>
      </c>
      <c r="C464" s="6">
        <v>1</v>
      </c>
      <c r="D464" s="6">
        <v>0</v>
      </c>
      <c r="E464" s="6">
        <v>1</v>
      </c>
      <c r="F464" s="6">
        <v>6</v>
      </c>
      <c r="G464" s="6" t="b">
        <v>0</v>
      </c>
      <c r="H464" s="6">
        <v>5</v>
      </c>
      <c r="I464" s="6">
        <v>1</v>
      </c>
      <c r="J464" s="6">
        <v>0.22</v>
      </c>
      <c r="K464">
        <v>0.21210000000000001</v>
      </c>
      <c r="L464">
        <v>0.55000000000000004</v>
      </c>
      <c r="M464">
        <v>0.25369999999999998</v>
      </c>
      <c r="N464">
        <v>0</v>
      </c>
      <c r="O464">
        <v>27</v>
      </c>
      <c r="P464">
        <v>27</v>
      </c>
    </row>
    <row r="465" spans="1:16" x14ac:dyDescent="0.25">
      <c r="A465" s="6">
        <v>463</v>
      </c>
      <c r="B465" s="9">
        <v>40564</v>
      </c>
      <c r="C465" s="6">
        <v>1</v>
      </c>
      <c r="D465" s="6">
        <v>0</v>
      </c>
      <c r="E465" s="6">
        <v>1</v>
      </c>
      <c r="F465" s="6">
        <v>7</v>
      </c>
      <c r="G465" s="6" t="b">
        <v>0</v>
      </c>
      <c r="H465" s="6">
        <v>5</v>
      </c>
      <c r="I465" s="6">
        <v>1</v>
      </c>
      <c r="J465" s="6">
        <v>0.2</v>
      </c>
      <c r="K465">
        <v>0.18179999999999999</v>
      </c>
      <c r="L465">
        <v>0.51</v>
      </c>
      <c r="M465">
        <v>0.28360000000000002</v>
      </c>
      <c r="N465">
        <v>2</v>
      </c>
      <c r="O465">
        <v>66</v>
      </c>
      <c r="P465">
        <v>68</v>
      </c>
    </row>
    <row r="466" spans="1:16" x14ac:dyDescent="0.25">
      <c r="A466" s="6">
        <v>464</v>
      </c>
      <c r="B466" s="9">
        <v>40564</v>
      </c>
      <c r="C466" s="6">
        <v>1</v>
      </c>
      <c r="D466" s="6">
        <v>0</v>
      </c>
      <c r="E466" s="6">
        <v>1</v>
      </c>
      <c r="F466" s="6">
        <v>8</v>
      </c>
      <c r="G466" s="6" t="b">
        <v>0</v>
      </c>
      <c r="H466" s="6">
        <v>5</v>
      </c>
      <c r="I466" s="6">
        <v>1</v>
      </c>
      <c r="J466" s="6">
        <v>0.2</v>
      </c>
      <c r="K466">
        <v>0.18179999999999999</v>
      </c>
      <c r="L466">
        <v>0.47</v>
      </c>
      <c r="M466">
        <v>0.32840000000000003</v>
      </c>
      <c r="N466">
        <v>7</v>
      </c>
      <c r="O466">
        <v>210</v>
      </c>
      <c r="P466">
        <v>217</v>
      </c>
    </row>
    <row r="467" spans="1:16" x14ac:dyDescent="0.25">
      <c r="A467" s="6">
        <v>465</v>
      </c>
      <c r="B467" s="9">
        <v>40564</v>
      </c>
      <c r="C467" s="6">
        <v>1</v>
      </c>
      <c r="D467" s="6">
        <v>0</v>
      </c>
      <c r="E467" s="6">
        <v>1</v>
      </c>
      <c r="F467" s="6">
        <v>9</v>
      </c>
      <c r="G467" s="6" t="b">
        <v>0</v>
      </c>
      <c r="H467" s="6">
        <v>5</v>
      </c>
      <c r="I467" s="6">
        <v>1</v>
      </c>
      <c r="J467" s="6">
        <v>0.2</v>
      </c>
      <c r="K467">
        <v>0.18179999999999999</v>
      </c>
      <c r="L467">
        <v>0.51</v>
      </c>
      <c r="M467">
        <v>0.35820000000000002</v>
      </c>
      <c r="N467">
        <v>7</v>
      </c>
      <c r="O467">
        <v>159</v>
      </c>
      <c r="P467">
        <v>166</v>
      </c>
    </row>
    <row r="468" spans="1:16" x14ac:dyDescent="0.25">
      <c r="A468" s="6">
        <v>466</v>
      </c>
      <c r="B468" s="9">
        <v>40564</v>
      </c>
      <c r="C468" s="6">
        <v>1</v>
      </c>
      <c r="D468" s="6">
        <v>0</v>
      </c>
      <c r="E468" s="6">
        <v>1</v>
      </c>
      <c r="F468" s="6">
        <v>10</v>
      </c>
      <c r="G468" s="6" t="b">
        <v>0</v>
      </c>
      <c r="H468" s="6">
        <v>5</v>
      </c>
      <c r="I468" s="6">
        <v>1</v>
      </c>
      <c r="J468" s="6">
        <v>0.2</v>
      </c>
      <c r="K468">
        <v>0.16669999999999999</v>
      </c>
      <c r="L468">
        <v>0.47</v>
      </c>
      <c r="M468">
        <v>0.4627</v>
      </c>
      <c r="N468">
        <v>6</v>
      </c>
      <c r="O468">
        <v>57</v>
      </c>
      <c r="P468">
        <v>63</v>
      </c>
    </row>
    <row r="469" spans="1:16" x14ac:dyDescent="0.25">
      <c r="A469" s="6">
        <v>467</v>
      </c>
      <c r="B469" s="9">
        <v>40564</v>
      </c>
      <c r="C469" s="6">
        <v>1</v>
      </c>
      <c r="D469" s="6">
        <v>0</v>
      </c>
      <c r="E469" s="6">
        <v>1</v>
      </c>
      <c r="F469" s="6">
        <v>11</v>
      </c>
      <c r="G469" s="6" t="b">
        <v>0</v>
      </c>
      <c r="H469" s="6">
        <v>5</v>
      </c>
      <c r="I469" s="6">
        <v>1</v>
      </c>
      <c r="J469" s="6">
        <v>0.22</v>
      </c>
      <c r="K469">
        <v>0.18179999999999999</v>
      </c>
      <c r="L469">
        <v>0.41</v>
      </c>
      <c r="M469">
        <v>0.4627</v>
      </c>
      <c r="N469">
        <v>6</v>
      </c>
      <c r="O469">
        <v>53</v>
      </c>
      <c r="P469">
        <v>59</v>
      </c>
    </row>
    <row r="470" spans="1:16" x14ac:dyDescent="0.25">
      <c r="A470" s="6">
        <v>468</v>
      </c>
      <c r="B470" s="9">
        <v>40564</v>
      </c>
      <c r="C470" s="6">
        <v>1</v>
      </c>
      <c r="D470" s="6">
        <v>0</v>
      </c>
      <c r="E470" s="6">
        <v>1</v>
      </c>
      <c r="F470" s="6">
        <v>12</v>
      </c>
      <c r="G470" s="6" t="b">
        <v>0</v>
      </c>
      <c r="H470" s="6">
        <v>5</v>
      </c>
      <c r="I470" s="6">
        <v>1</v>
      </c>
      <c r="J470" s="6">
        <v>0.22</v>
      </c>
      <c r="K470">
        <v>0.18179999999999999</v>
      </c>
      <c r="L470">
        <v>0.27</v>
      </c>
      <c r="M470">
        <v>0.58209999999999995</v>
      </c>
      <c r="N470">
        <v>11</v>
      </c>
      <c r="O470">
        <v>67</v>
      </c>
      <c r="P470">
        <v>78</v>
      </c>
    </row>
    <row r="471" spans="1:16" x14ac:dyDescent="0.25">
      <c r="A471" s="6">
        <v>469</v>
      </c>
      <c r="B471" s="9">
        <v>40564</v>
      </c>
      <c r="C471" s="6">
        <v>1</v>
      </c>
      <c r="D471" s="6">
        <v>0</v>
      </c>
      <c r="E471" s="6">
        <v>1</v>
      </c>
      <c r="F471" s="6">
        <v>13</v>
      </c>
      <c r="G471" s="6" t="b">
        <v>0</v>
      </c>
      <c r="H471" s="6">
        <v>5</v>
      </c>
      <c r="I471" s="6">
        <v>1</v>
      </c>
      <c r="J471" s="6">
        <v>0.2</v>
      </c>
      <c r="K471">
        <v>0.1515</v>
      </c>
      <c r="L471">
        <v>0.21</v>
      </c>
      <c r="M471">
        <v>0.58209999999999995</v>
      </c>
      <c r="N471">
        <v>8</v>
      </c>
      <c r="O471">
        <v>65</v>
      </c>
      <c r="P471">
        <v>73</v>
      </c>
    </row>
    <row r="472" spans="1:16" x14ac:dyDescent="0.25">
      <c r="A472" s="6">
        <v>470</v>
      </c>
      <c r="B472" s="9">
        <v>40564</v>
      </c>
      <c r="C472" s="6">
        <v>1</v>
      </c>
      <c r="D472" s="6">
        <v>0</v>
      </c>
      <c r="E472" s="6">
        <v>1</v>
      </c>
      <c r="F472" s="6">
        <v>14</v>
      </c>
      <c r="G472" s="6" t="b">
        <v>0</v>
      </c>
      <c r="H472" s="6">
        <v>5</v>
      </c>
      <c r="I472" s="6">
        <v>1</v>
      </c>
      <c r="J472" s="6">
        <v>0.2</v>
      </c>
      <c r="K472">
        <v>0.1515</v>
      </c>
      <c r="L472">
        <v>0.25</v>
      </c>
      <c r="M472">
        <v>0.52239999999999998</v>
      </c>
      <c r="N472">
        <v>6</v>
      </c>
      <c r="O472">
        <v>56</v>
      </c>
      <c r="P472">
        <v>62</v>
      </c>
    </row>
    <row r="473" spans="1:16" x14ac:dyDescent="0.25">
      <c r="A473" s="6">
        <v>471</v>
      </c>
      <c r="B473" s="9">
        <v>40564</v>
      </c>
      <c r="C473" s="6">
        <v>1</v>
      </c>
      <c r="D473" s="6">
        <v>0</v>
      </c>
      <c r="E473" s="6">
        <v>1</v>
      </c>
      <c r="F473" s="6">
        <v>15</v>
      </c>
      <c r="G473" s="6" t="b">
        <v>0</v>
      </c>
      <c r="H473" s="6">
        <v>5</v>
      </c>
      <c r="I473" s="6">
        <v>1</v>
      </c>
      <c r="J473" s="6">
        <v>0.16</v>
      </c>
      <c r="K473">
        <v>0.1212</v>
      </c>
      <c r="L473">
        <v>0.26</v>
      </c>
      <c r="M473">
        <v>0.44779999999999998</v>
      </c>
      <c r="N473">
        <v>4</v>
      </c>
      <c r="O473">
        <v>61</v>
      </c>
      <c r="P473">
        <v>65</v>
      </c>
    </row>
    <row r="474" spans="1:16" x14ac:dyDescent="0.25">
      <c r="A474" s="6">
        <v>472</v>
      </c>
      <c r="B474" s="9">
        <v>40564</v>
      </c>
      <c r="C474" s="6">
        <v>1</v>
      </c>
      <c r="D474" s="6">
        <v>0</v>
      </c>
      <c r="E474" s="6">
        <v>1</v>
      </c>
      <c r="F474" s="6">
        <v>16</v>
      </c>
      <c r="G474" s="6" t="b">
        <v>0</v>
      </c>
      <c r="H474" s="6">
        <v>5</v>
      </c>
      <c r="I474" s="6">
        <v>1</v>
      </c>
      <c r="J474" s="6">
        <v>0.16</v>
      </c>
      <c r="K474">
        <v>0.13639999999999999</v>
      </c>
      <c r="L474">
        <v>0.26</v>
      </c>
      <c r="M474">
        <v>0.35820000000000002</v>
      </c>
      <c r="N474">
        <v>0</v>
      </c>
      <c r="O474">
        <v>97</v>
      </c>
      <c r="P474">
        <v>97</v>
      </c>
    </row>
    <row r="475" spans="1:16" x14ac:dyDescent="0.25">
      <c r="A475" s="6">
        <v>473</v>
      </c>
      <c r="B475" s="9">
        <v>40564</v>
      </c>
      <c r="C475" s="6">
        <v>1</v>
      </c>
      <c r="D475" s="6">
        <v>0</v>
      </c>
      <c r="E475" s="6">
        <v>1</v>
      </c>
      <c r="F475" s="6">
        <v>17</v>
      </c>
      <c r="G475" s="6" t="b">
        <v>0</v>
      </c>
      <c r="H475" s="6">
        <v>5</v>
      </c>
      <c r="I475" s="6">
        <v>1</v>
      </c>
      <c r="J475" s="6">
        <v>0.14000000000000001</v>
      </c>
      <c r="K475">
        <v>0.1212</v>
      </c>
      <c r="L475">
        <v>0.28000000000000003</v>
      </c>
      <c r="M475">
        <v>0.35820000000000002</v>
      </c>
      <c r="N475">
        <v>10</v>
      </c>
      <c r="O475">
        <v>151</v>
      </c>
      <c r="P475">
        <v>161</v>
      </c>
    </row>
    <row r="476" spans="1:16" x14ac:dyDescent="0.25">
      <c r="A476" s="6">
        <v>474</v>
      </c>
      <c r="B476" s="9">
        <v>40564</v>
      </c>
      <c r="C476" s="6">
        <v>1</v>
      </c>
      <c r="D476" s="6">
        <v>0</v>
      </c>
      <c r="E476" s="6">
        <v>1</v>
      </c>
      <c r="F476" s="6">
        <v>18</v>
      </c>
      <c r="G476" s="6" t="b">
        <v>0</v>
      </c>
      <c r="H476" s="6">
        <v>5</v>
      </c>
      <c r="I476" s="6">
        <v>1</v>
      </c>
      <c r="J476" s="6">
        <v>0.12</v>
      </c>
      <c r="K476">
        <v>0.1212</v>
      </c>
      <c r="L476">
        <v>0.3</v>
      </c>
      <c r="M476">
        <v>0.25369999999999998</v>
      </c>
      <c r="N476">
        <v>1</v>
      </c>
      <c r="O476">
        <v>119</v>
      </c>
      <c r="P476">
        <v>120</v>
      </c>
    </row>
    <row r="477" spans="1:16" x14ac:dyDescent="0.25">
      <c r="A477" s="6">
        <v>475</v>
      </c>
      <c r="B477" s="9">
        <v>40564</v>
      </c>
      <c r="C477" s="6">
        <v>1</v>
      </c>
      <c r="D477" s="6">
        <v>0</v>
      </c>
      <c r="E477" s="6">
        <v>1</v>
      </c>
      <c r="F477" s="6">
        <v>19</v>
      </c>
      <c r="G477" s="6" t="b">
        <v>0</v>
      </c>
      <c r="H477" s="6">
        <v>5</v>
      </c>
      <c r="I477" s="6">
        <v>1</v>
      </c>
      <c r="J477" s="6">
        <v>0.12</v>
      </c>
      <c r="K477">
        <v>0.1061</v>
      </c>
      <c r="L477">
        <v>0.3</v>
      </c>
      <c r="M477">
        <v>0.32840000000000003</v>
      </c>
      <c r="N477">
        <v>3</v>
      </c>
      <c r="O477">
        <v>93</v>
      </c>
      <c r="P477">
        <v>96</v>
      </c>
    </row>
    <row r="478" spans="1:16" x14ac:dyDescent="0.25">
      <c r="A478" s="6">
        <v>476</v>
      </c>
      <c r="B478" s="9">
        <v>40564</v>
      </c>
      <c r="C478" s="6">
        <v>1</v>
      </c>
      <c r="D478" s="6">
        <v>0</v>
      </c>
      <c r="E478" s="6">
        <v>1</v>
      </c>
      <c r="F478" s="6">
        <v>20</v>
      </c>
      <c r="G478" s="6" t="b">
        <v>0</v>
      </c>
      <c r="H478" s="6">
        <v>5</v>
      </c>
      <c r="I478" s="6">
        <v>1</v>
      </c>
      <c r="J478" s="6">
        <v>0.1</v>
      </c>
      <c r="K478">
        <v>7.5800000000000006E-2</v>
      </c>
      <c r="L478">
        <v>0.33</v>
      </c>
      <c r="M478">
        <v>0.41789999999999999</v>
      </c>
      <c r="N478">
        <v>1</v>
      </c>
      <c r="O478">
        <v>52</v>
      </c>
      <c r="P478">
        <v>53</v>
      </c>
    </row>
    <row r="479" spans="1:16" x14ac:dyDescent="0.25">
      <c r="A479" s="6">
        <v>477</v>
      </c>
      <c r="B479" s="9">
        <v>40564</v>
      </c>
      <c r="C479" s="6">
        <v>1</v>
      </c>
      <c r="D479" s="6">
        <v>0</v>
      </c>
      <c r="E479" s="6">
        <v>1</v>
      </c>
      <c r="F479" s="6">
        <v>21</v>
      </c>
      <c r="G479" s="6" t="b">
        <v>0</v>
      </c>
      <c r="H479" s="6">
        <v>5</v>
      </c>
      <c r="I479" s="6">
        <v>1</v>
      </c>
      <c r="J479" s="6">
        <v>0.08</v>
      </c>
      <c r="K479">
        <v>7.5800000000000006E-2</v>
      </c>
      <c r="L479">
        <v>0.38</v>
      </c>
      <c r="M479">
        <v>0.28360000000000002</v>
      </c>
      <c r="N479">
        <v>0</v>
      </c>
      <c r="O479">
        <v>41</v>
      </c>
      <c r="P479">
        <v>41</v>
      </c>
    </row>
    <row r="480" spans="1:16" x14ac:dyDescent="0.25">
      <c r="A480" s="6">
        <v>478</v>
      </c>
      <c r="B480" s="9">
        <v>40564</v>
      </c>
      <c r="C480" s="6">
        <v>1</v>
      </c>
      <c r="D480" s="6">
        <v>0</v>
      </c>
      <c r="E480" s="6">
        <v>1</v>
      </c>
      <c r="F480" s="6">
        <v>22</v>
      </c>
      <c r="G480" s="6" t="b">
        <v>0</v>
      </c>
      <c r="H480" s="6">
        <v>5</v>
      </c>
      <c r="I480" s="6">
        <v>1</v>
      </c>
      <c r="J480" s="6">
        <v>0.06</v>
      </c>
      <c r="K480">
        <v>3.0300000000000001E-2</v>
      </c>
      <c r="L480">
        <v>0.41</v>
      </c>
      <c r="M480">
        <v>0.3881</v>
      </c>
      <c r="N480">
        <v>1</v>
      </c>
      <c r="O480">
        <v>33</v>
      </c>
      <c r="P480">
        <v>34</v>
      </c>
    </row>
    <row r="481" spans="1:16" x14ac:dyDescent="0.25">
      <c r="A481" s="6">
        <v>479</v>
      </c>
      <c r="B481" s="9">
        <v>40564</v>
      </c>
      <c r="C481" s="6">
        <v>1</v>
      </c>
      <c r="D481" s="6">
        <v>0</v>
      </c>
      <c r="E481" s="6">
        <v>1</v>
      </c>
      <c r="F481" s="6">
        <v>23</v>
      </c>
      <c r="G481" s="6" t="b">
        <v>0</v>
      </c>
      <c r="H481" s="6">
        <v>5</v>
      </c>
      <c r="I481" s="6">
        <v>1</v>
      </c>
      <c r="J481" s="6">
        <v>0.06</v>
      </c>
      <c r="K481">
        <v>4.5499999999999999E-2</v>
      </c>
      <c r="L481">
        <v>0.38</v>
      </c>
      <c r="M481">
        <v>0.32840000000000003</v>
      </c>
      <c r="N481">
        <v>0</v>
      </c>
      <c r="O481">
        <v>27</v>
      </c>
      <c r="P481">
        <v>27</v>
      </c>
    </row>
    <row r="482" spans="1:16" x14ac:dyDescent="0.25">
      <c r="A482" s="6">
        <v>480</v>
      </c>
      <c r="B482" s="9">
        <v>40565</v>
      </c>
      <c r="C482" s="6">
        <v>1</v>
      </c>
      <c r="D482" s="6">
        <v>0</v>
      </c>
      <c r="E482" s="6">
        <v>1</v>
      </c>
      <c r="F482" s="6">
        <v>0</v>
      </c>
      <c r="G482" s="6" t="b">
        <v>0</v>
      </c>
      <c r="H482" s="6">
        <v>6</v>
      </c>
      <c r="I482" s="6">
        <v>1</v>
      </c>
      <c r="J482" s="6">
        <v>0.04</v>
      </c>
      <c r="K482">
        <v>3.0300000000000001E-2</v>
      </c>
      <c r="L482">
        <v>0.45</v>
      </c>
      <c r="M482">
        <v>0.25369999999999998</v>
      </c>
      <c r="N482">
        <v>0</v>
      </c>
      <c r="O482">
        <v>13</v>
      </c>
      <c r="P482">
        <v>13</v>
      </c>
    </row>
    <row r="483" spans="1:16" x14ac:dyDescent="0.25">
      <c r="A483" s="6">
        <v>481</v>
      </c>
      <c r="B483" s="9">
        <v>40565</v>
      </c>
      <c r="C483" s="6">
        <v>1</v>
      </c>
      <c r="D483" s="6">
        <v>0</v>
      </c>
      <c r="E483" s="6">
        <v>1</v>
      </c>
      <c r="F483" s="6">
        <v>1</v>
      </c>
      <c r="G483" s="6" t="b">
        <v>0</v>
      </c>
      <c r="H483" s="6">
        <v>6</v>
      </c>
      <c r="I483" s="6">
        <v>2</v>
      </c>
      <c r="J483" s="6">
        <v>0.04</v>
      </c>
      <c r="K483">
        <v>0</v>
      </c>
      <c r="L483">
        <v>0.41</v>
      </c>
      <c r="M483">
        <v>0.3881</v>
      </c>
      <c r="N483">
        <v>3</v>
      </c>
      <c r="O483">
        <v>9</v>
      </c>
      <c r="P483">
        <v>12</v>
      </c>
    </row>
    <row r="484" spans="1:16" x14ac:dyDescent="0.25">
      <c r="A484" s="6">
        <v>482</v>
      </c>
      <c r="B484" s="9">
        <v>40565</v>
      </c>
      <c r="C484" s="6">
        <v>1</v>
      </c>
      <c r="D484" s="6">
        <v>0</v>
      </c>
      <c r="E484" s="6">
        <v>1</v>
      </c>
      <c r="F484" s="6">
        <v>2</v>
      </c>
      <c r="G484" s="6" t="b">
        <v>0</v>
      </c>
      <c r="H484" s="6">
        <v>6</v>
      </c>
      <c r="I484" s="6">
        <v>2</v>
      </c>
      <c r="J484" s="6">
        <v>0.04</v>
      </c>
      <c r="K484">
        <v>3.0300000000000001E-2</v>
      </c>
      <c r="L484">
        <v>0.41</v>
      </c>
      <c r="M484">
        <v>0.25369999999999998</v>
      </c>
      <c r="N484">
        <v>0</v>
      </c>
      <c r="O484">
        <v>11</v>
      </c>
      <c r="P484">
        <v>11</v>
      </c>
    </row>
    <row r="485" spans="1:16" x14ac:dyDescent="0.25">
      <c r="A485" s="6">
        <v>483</v>
      </c>
      <c r="B485" s="9">
        <v>40565</v>
      </c>
      <c r="C485" s="6">
        <v>1</v>
      </c>
      <c r="D485" s="6">
        <v>0</v>
      </c>
      <c r="E485" s="6">
        <v>1</v>
      </c>
      <c r="F485" s="6">
        <v>3</v>
      </c>
      <c r="G485" s="6" t="b">
        <v>0</v>
      </c>
      <c r="H485" s="6">
        <v>6</v>
      </c>
      <c r="I485" s="6">
        <v>2</v>
      </c>
      <c r="J485" s="6">
        <v>0.04</v>
      </c>
      <c r="K485">
        <v>3.0300000000000001E-2</v>
      </c>
      <c r="L485">
        <v>0.41</v>
      </c>
      <c r="M485">
        <v>0.28360000000000002</v>
      </c>
      <c r="N485">
        <v>1</v>
      </c>
      <c r="O485">
        <v>6</v>
      </c>
      <c r="P485">
        <v>7</v>
      </c>
    </row>
    <row r="486" spans="1:16" x14ac:dyDescent="0.25">
      <c r="A486" s="6">
        <v>484</v>
      </c>
      <c r="B486" s="9">
        <v>40565</v>
      </c>
      <c r="C486" s="6">
        <v>1</v>
      </c>
      <c r="D486" s="6">
        <v>0</v>
      </c>
      <c r="E486" s="6">
        <v>1</v>
      </c>
      <c r="F486" s="6">
        <v>4</v>
      </c>
      <c r="G486" s="6" t="b">
        <v>0</v>
      </c>
      <c r="H486" s="6">
        <v>6</v>
      </c>
      <c r="I486" s="6">
        <v>2</v>
      </c>
      <c r="J486" s="6">
        <v>0.02</v>
      </c>
      <c r="K486">
        <v>1.52E-2</v>
      </c>
      <c r="L486">
        <v>0.48</v>
      </c>
      <c r="M486">
        <v>0.29849999999999999</v>
      </c>
      <c r="N486">
        <v>0</v>
      </c>
      <c r="O486">
        <v>3</v>
      </c>
      <c r="P486">
        <v>3</v>
      </c>
    </row>
    <row r="487" spans="1:16" x14ac:dyDescent="0.25">
      <c r="A487" s="6">
        <v>485</v>
      </c>
      <c r="B487" s="9">
        <v>40565</v>
      </c>
      <c r="C487" s="6">
        <v>1</v>
      </c>
      <c r="D487" s="6">
        <v>0</v>
      </c>
      <c r="E487" s="6">
        <v>1</v>
      </c>
      <c r="F487" s="6">
        <v>6</v>
      </c>
      <c r="G487" s="6" t="b">
        <v>0</v>
      </c>
      <c r="H487" s="6">
        <v>6</v>
      </c>
      <c r="I487" s="6">
        <v>2</v>
      </c>
      <c r="J487" s="6">
        <v>0.02</v>
      </c>
      <c r="K487">
        <v>3.0300000000000001E-2</v>
      </c>
      <c r="L487">
        <v>0.44</v>
      </c>
      <c r="M487">
        <v>0.22389999999999999</v>
      </c>
      <c r="N487">
        <v>0</v>
      </c>
      <c r="O487">
        <v>2</v>
      </c>
      <c r="P487">
        <v>2</v>
      </c>
    </row>
    <row r="488" spans="1:16" x14ac:dyDescent="0.25">
      <c r="A488" s="6">
        <v>486</v>
      </c>
      <c r="B488" s="9">
        <v>40565</v>
      </c>
      <c r="C488" s="6">
        <v>1</v>
      </c>
      <c r="D488" s="6">
        <v>0</v>
      </c>
      <c r="E488" s="6">
        <v>1</v>
      </c>
      <c r="F488" s="6">
        <v>7</v>
      </c>
      <c r="G488" s="6" t="b">
        <v>0</v>
      </c>
      <c r="H488" s="6">
        <v>6</v>
      </c>
      <c r="I488" s="6">
        <v>1</v>
      </c>
      <c r="J488" s="6">
        <v>0.02</v>
      </c>
      <c r="K488">
        <v>1.52E-2</v>
      </c>
      <c r="L488">
        <v>0.44</v>
      </c>
      <c r="M488">
        <v>0.28360000000000002</v>
      </c>
      <c r="N488">
        <v>0</v>
      </c>
      <c r="O488">
        <v>8</v>
      </c>
      <c r="P488">
        <v>8</v>
      </c>
    </row>
    <row r="489" spans="1:16" x14ac:dyDescent="0.25">
      <c r="A489" s="6">
        <v>487</v>
      </c>
      <c r="B489" s="9">
        <v>40565</v>
      </c>
      <c r="C489" s="6">
        <v>1</v>
      </c>
      <c r="D489" s="6">
        <v>0</v>
      </c>
      <c r="E489" s="6">
        <v>1</v>
      </c>
      <c r="F489" s="6">
        <v>8</v>
      </c>
      <c r="G489" s="6" t="b">
        <v>0</v>
      </c>
      <c r="H489" s="6">
        <v>6</v>
      </c>
      <c r="I489" s="6">
        <v>1</v>
      </c>
      <c r="J489" s="6">
        <v>0.02</v>
      </c>
      <c r="K489">
        <v>0</v>
      </c>
      <c r="L489">
        <v>0.44</v>
      </c>
      <c r="M489">
        <v>0.32840000000000003</v>
      </c>
      <c r="N489">
        <v>1</v>
      </c>
      <c r="O489">
        <v>26</v>
      </c>
      <c r="P489">
        <v>27</v>
      </c>
    </row>
    <row r="490" spans="1:16" x14ac:dyDescent="0.25">
      <c r="A490" s="6">
        <v>488</v>
      </c>
      <c r="B490" s="9">
        <v>40565</v>
      </c>
      <c r="C490" s="6">
        <v>1</v>
      </c>
      <c r="D490" s="6">
        <v>0</v>
      </c>
      <c r="E490" s="6">
        <v>1</v>
      </c>
      <c r="F490" s="6">
        <v>9</v>
      </c>
      <c r="G490" s="6" t="b">
        <v>0</v>
      </c>
      <c r="H490" s="6">
        <v>6</v>
      </c>
      <c r="I490" s="6">
        <v>1</v>
      </c>
      <c r="J490" s="6">
        <v>0.04</v>
      </c>
      <c r="K490">
        <v>3.0300000000000001E-2</v>
      </c>
      <c r="L490">
        <v>0.41</v>
      </c>
      <c r="M490">
        <v>0.25369999999999998</v>
      </c>
      <c r="N490">
        <v>3</v>
      </c>
      <c r="O490">
        <v>37</v>
      </c>
      <c r="P490">
        <v>40</v>
      </c>
    </row>
    <row r="491" spans="1:16" x14ac:dyDescent="0.25">
      <c r="A491" s="6">
        <v>489</v>
      </c>
      <c r="B491" s="9">
        <v>40565</v>
      </c>
      <c r="C491" s="6">
        <v>1</v>
      </c>
      <c r="D491" s="6">
        <v>0</v>
      </c>
      <c r="E491" s="6">
        <v>1</v>
      </c>
      <c r="F491" s="6">
        <v>10</v>
      </c>
      <c r="G491" s="6" t="b">
        <v>0</v>
      </c>
      <c r="H491" s="6">
        <v>6</v>
      </c>
      <c r="I491" s="6">
        <v>2</v>
      </c>
      <c r="J491" s="6">
        <v>0.04</v>
      </c>
      <c r="K491">
        <v>6.0600000000000001E-2</v>
      </c>
      <c r="L491">
        <v>0.41</v>
      </c>
      <c r="M491">
        <v>0.16420000000000001</v>
      </c>
      <c r="N491">
        <v>3</v>
      </c>
      <c r="O491">
        <v>50</v>
      </c>
      <c r="P491">
        <v>53</v>
      </c>
    </row>
    <row r="492" spans="1:16" x14ac:dyDescent="0.25">
      <c r="A492" s="6">
        <v>490</v>
      </c>
      <c r="B492" s="9">
        <v>40565</v>
      </c>
      <c r="C492" s="6">
        <v>1</v>
      </c>
      <c r="D492" s="6">
        <v>0</v>
      </c>
      <c r="E492" s="6">
        <v>1</v>
      </c>
      <c r="F492" s="6">
        <v>11</v>
      </c>
      <c r="G492" s="6" t="b">
        <v>0</v>
      </c>
      <c r="H492" s="6">
        <v>6</v>
      </c>
      <c r="I492" s="6">
        <v>2</v>
      </c>
      <c r="J492" s="6">
        <v>0.06</v>
      </c>
      <c r="K492">
        <v>7.5800000000000006E-2</v>
      </c>
      <c r="L492">
        <v>0.38</v>
      </c>
      <c r="M492">
        <v>0.1343</v>
      </c>
      <c r="N492">
        <v>4</v>
      </c>
      <c r="O492">
        <v>59</v>
      </c>
      <c r="P492">
        <v>63</v>
      </c>
    </row>
    <row r="493" spans="1:16" x14ac:dyDescent="0.25">
      <c r="A493" s="6">
        <v>491</v>
      </c>
      <c r="B493" s="9">
        <v>40565</v>
      </c>
      <c r="C493" s="6">
        <v>1</v>
      </c>
      <c r="D493" s="6">
        <v>0</v>
      </c>
      <c r="E493" s="6">
        <v>1</v>
      </c>
      <c r="F493" s="6">
        <v>12</v>
      </c>
      <c r="G493" s="6" t="b">
        <v>0</v>
      </c>
      <c r="H493" s="6">
        <v>6</v>
      </c>
      <c r="I493" s="6">
        <v>2</v>
      </c>
      <c r="J493" s="6">
        <v>0.06</v>
      </c>
      <c r="K493">
        <v>0.1061</v>
      </c>
      <c r="L493">
        <v>0.38</v>
      </c>
      <c r="M493">
        <v>0.1045</v>
      </c>
      <c r="N493">
        <v>10</v>
      </c>
      <c r="O493">
        <v>60</v>
      </c>
      <c r="P493">
        <v>70</v>
      </c>
    </row>
    <row r="494" spans="1:16" x14ac:dyDescent="0.25">
      <c r="A494" s="6">
        <v>492</v>
      </c>
      <c r="B494" s="9">
        <v>40565</v>
      </c>
      <c r="C494" s="6">
        <v>1</v>
      </c>
      <c r="D494" s="6">
        <v>0</v>
      </c>
      <c r="E494" s="6">
        <v>1</v>
      </c>
      <c r="F494" s="6">
        <v>13</v>
      </c>
      <c r="G494" s="6" t="b">
        <v>0</v>
      </c>
      <c r="H494" s="6">
        <v>6</v>
      </c>
      <c r="I494" s="6">
        <v>1</v>
      </c>
      <c r="J494" s="6">
        <v>0.08</v>
      </c>
      <c r="K494">
        <v>0.16669999999999999</v>
      </c>
      <c r="L494">
        <v>0.35</v>
      </c>
      <c r="M494">
        <v>0</v>
      </c>
      <c r="N494">
        <v>12</v>
      </c>
      <c r="O494">
        <v>72</v>
      </c>
      <c r="P494">
        <v>84</v>
      </c>
    </row>
    <row r="495" spans="1:16" x14ac:dyDescent="0.25">
      <c r="A495" s="6">
        <v>493</v>
      </c>
      <c r="B495" s="9">
        <v>40565</v>
      </c>
      <c r="C495" s="6">
        <v>1</v>
      </c>
      <c r="D495" s="6">
        <v>0</v>
      </c>
      <c r="E495" s="6">
        <v>1</v>
      </c>
      <c r="F495" s="6">
        <v>14</v>
      </c>
      <c r="G495" s="6" t="b">
        <v>0</v>
      </c>
      <c r="H495" s="6">
        <v>6</v>
      </c>
      <c r="I495" s="6">
        <v>1</v>
      </c>
      <c r="J495" s="6">
        <v>0.1</v>
      </c>
      <c r="K495">
        <v>0.13639999999999999</v>
      </c>
      <c r="L495">
        <v>0.33</v>
      </c>
      <c r="M495">
        <v>0.1045</v>
      </c>
      <c r="N495">
        <v>11</v>
      </c>
      <c r="O495">
        <v>64</v>
      </c>
      <c r="P495">
        <v>75</v>
      </c>
    </row>
    <row r="496" spans="1:16" x14ac:dyDescent="0.25">
      <c r="A496" s="6">
        <v>494</v>
      </c>
      <c r="B496" s="9">
        <v>40565</v>
      </c>
      <c r="C496" s="6">
        <v>1</v>
      </c>
      <c r="D496" s="6">
        <v>0</v>
      </c>
      <c r="E496" s="6">
        <v>1</v>
      </c>
      <c r="F496" s="6">
        <v>15</v>
      </c>
      <c r="G496" s="6" t="b">
        <v>0</v>
      </c>
      <c r="H496" s="6">
        <v>6</v>
      </c>
      <c r="I496" s="6">
        <v>1</v>
      </c>
      <c r="J496" s="6">
        <v>0.12</v>
      </c>
      <c r="K496">
        <v>0.1515</v>
      </c>
      <c r="L496">
        <v>0.28000000000000003</v>
      </c>
      <c r="M496">
        <v>0</v>
      </c>
      <c r="N496">
        <v>10</v>
      </c>
      <c r="O496">
        <v>93</v>
      </c>
      <c r="P496">
        <v>103</v>
      </c>
    </row>
    <row r="497" spans="1:16" x14ac:dyDescent="0.25">
      <c r="A497" s="6">
        <v>495</v>
      </c>
      <c r="B497" s="9">
        <v>40565</v>
      </c>
      <c r="C497" s="6">
        <v>1</v>
      </c>
      <c r="D497" s="6">
        <v>0</v>
      </c>
      <c r="E497" s="6">
        <v>1</v>
      </c>
      <c r="F497" s="6">
        <v>16</v>
      </c>
      <c r="G497" s="6" t="b">
        <v>0</v>
      </c>
      <c r="H497" s="6">
        <v>6</v>
      </c>
      <c r="I497" s="6">
        <v>1</v>
      </c>
      <c r="J497" s="6">
        <v>0.12</v>
      </c>
      <c r="K497">
        <v>0.13639999999999999</v>
      </c>
      <c r="L497">
        <v>0.28000000000000003</v>
      </c>
      <c r="M497">
        <v>0.19400000000000001</v>
      </c>
      <c r="N497">
        <v>11</v>
      </c>
      <c r="O497">
        <v>72</v>
      </c>
      <c r="P497">
        <v>83</v>
      </c>
    </row>
    <row r="498" spans="1:16" x14ac:dyDescent="0.25">
      <c r="A498" s="6">
        <v>496</v>
      </c>
      <c r="B498" s="9">
        <v>40565</v>
      </c>
      <c r="C498" s="6">
        <v>1</v>
      </c>
      <c r="D498" s="6">
        <v>0</v>
      </c>
      <c r="E498" s="6">
        <v>1</v>
      </c>
      <c r="F498" s="6">
        <v>17</v>
      </c>
      <c r="G498" s="6" t="b">
        <v>0</v>
      </c>
      <c r="H498" s="6">
        <v>6</v>
      </c>
      <c r="I498" s="6">
        <v>1</v>
      </c>
      <c r="J498" s="6">
        <v>0.12</v>
      </c>
      <c r="K498">
        <v>0.19700000000000001</v>
      </c>
      <c r="L498">
        <v>0.28000000000000003</v>
      </c>
      <c r="M498">
        <v>0</v>
      </c>
      <c r="N498">
        <v>8</v>
      </c>
      <c r="O498">
        <v>59</v>
      </c>
      <c r="P498">
        <v>67</v>
      </c>
    </row>
    <row r="499" spans="1:16" x14ac:dyDescent="0.25">
      <c r="A499" s="6">
        <v>497</v>
      </c>
      <c r="B499" s="9">
        <v>40565</v>
      </c>
      <c r="C499" s="6">
        <v>1</v>
      </c>
      <c r="D499" s="6">
        <v>0</v>
      </c>
      <c r="E499" s="6">
        <v>1</v>
      </c>
      <c r="F499" s="6">
        <v>18</v>
      </c>
      <c r="G499" s="6" t="b">
        <v>0</v>
      </c>
      <c r="H499" s="6">
        <v>6</v>
      </c>
      <c r="I499" s="6">
        <v>1</v>
      </c>
      <c r="J499" s="6">
        <v>0.08</v>
      </c>
      <c r="K499">
        <v>9.0899999999999995E-2</v>
      </c>
      <c r="L499">
        <v>0.35</v>
      </c>
      <c r="M499">
        <v>0.19400000000000001</v>
      </c>
      <c r="N499">
        <v>0</v>
      </c>
      <c r="O499">
        <v>54</v>
      </c>
      <c r="P499">
        <v>54</v>
      </c>
    </row>
    <row r="500" spans="1:16" x14ac:dyDescent="0.25">
      <c r="A500" s="6">
        <v>498</v>
      </c>
      <c r="B500" s="9">
        <v>40565</v>
      </c>
      <c r="C500" s="6">
        <v>1</v>
      </c>
      <c r="D500" s="6">
        <v>0</v>
      </c>
      <c r="E500" s="6">
        <v>1</v>
      </c>
      <c r="F500" s="6">
        <v>19</v>
      </c>
      <c r="G500" s="6" t="b">
        <v>0</v>
      </c>
      <c r="H500" s="6">
        <v>6</v>
      </c>
      <c r="I500" s="6">
        <v>1</v>
      </c>
      <c r="J500" s="6">
        <v>0.08</v>
      </c>
      <c r="K500">
        <v>0.1061</v>
      </c>
      <c r="L500">
        <v>0.35</v>
      </c>
      <c r="M500">
        <v>0.1343</v>
      </c>
      <c r="N500">
        <v>6</v>
      </c>
      <c r="O500">
        <v>53</v>
      </c>
      <c r="P500">
        <v>59</v>
      </c>
    </row>
    <row r="501" spans="1:16" x14ac:dyDescent="0.25">
      <c r="A501" s="6">
        <v>499</v>
      </c>
      <c r="B501" s="9">
        <v>40565</v>
      </c>
      <c r="C501" s="6">
        <v>1</v>
      </c>
      <c r="D501" s="6">
        <v>0</v>
      </c>
      <c r="E501" s="6">
        <v>1</v>
      </c>
      <c r="F501" s="6">
        <v>20</v>
      </c>
      <c r="G501" s="6" t="b">
        <v>0</v>
      </c>
      <c r="H501" s="6">
        <v>6</v>
      </c>
      <c r="I501" s="6">
        <v>1</v>
      </c>
      <c r="J501" s="6">
        <v>0.06</v>
      </c>
      <c r="K501">
        <v>7.5800000000000006E-2</v>
      </c>
      <c r="L501">
        <v>0.45</v>
      </c>
      <c r="M501">
        <v>0.16420000000000001</v>
      </c>
      <c r="N501">
        <v>1</v>
      </c>
      <c r="O501">
        <v>44</v>
      </c>
      <c r="P501">
        <v>45</v>
      </c>
    </row>
    <row r="502" spans="1:16" x14ac:dyDescent="0.25">
      <c r="A502" s="6">
        <v>500</v>
      </c>
      <c r="B502" s="9">
        <v>40565</v>
      </c>
      <c r="C502" s="6">
        <v>1</v>
      </c>
      <c r="D502" s="6">
        <v>0</v>
      </c>
      <c r="E502" s="6">
        <v>1</v>
      </c>
      <c r="F502" s="6">
        <v>21</v>
      </c>
      <c r="G502" s="6" t="b">
        <v>0</v>
      </c>
      <c r="H502" s="6">
        <v>6</v>
      </c>
      <c r="I502" s="6">
        <v>1</v>
      </c>
      <c r="J502" s="6">
        <v>0.06</v>
      </c>
      <c r="K502">
        <v>0.1061</v>
      </c>
      <c r="L502">
        <v>0.41</v>
      </c>
      <c r="M502">
        <v>8.9599999999999999E-2</v>
      </c>
      <c r="N502">
        <v>0</v>
      </c>
      <c r="O502">
        <v>39</v>
      </c>
      <c r="P502">
        <v>39</v>
      </c>
    </row>
    <row r="503" spans="1:16" x14ac:dyDescent="0.25">
      <c r="A503" s="6">
        <v>501</v>
      </c>
      <c r="B503" s="9">
        <v>40565</v>
      </c>
      <c r="C503" s="6">
        <v>1</v>
      </c>
      <c r="D503" s="6">
        <v>0</v>
      </c>
      <c r="E503" s="6">
        <v>1</v>
      </c>
      <c r="F503" s="6">
        <v>22</v>
      </c>
      <c r="G503" s="6" t="b">
        <v>0</v>
      </c>
      <c r="H503" s="6">
        <v>6</v>
      </c>
      <c r="I503" s="6">
        <v>1</v>
      </c>
      <c r="J503" s="6">
        <v>0.06</v>
      </c>
      <c r="K503">
        <v>0.1515</v>
      </c>
      <c r="L503">
        <v>0.49</v>
      </c>
      <c r="M503">
        <v>0</v>
      </c>
      <c r="N503">
        <v>7</v>
      </c>
      <c r="O503">
        <v>23</v>
      </c>
      <c r="P503">
        <v>30</v>
      </c>
    </row>
    <row r="504" spans="1:16" x14ac:dyDescent="0.25">
      <c r="A504" s="6">
        <v>502</v>
      </c>
      <c r="B504" s="9">
        <v>40565</v>
      </c>
      <c r="C504" s="6">
        <v>1</v>
      </c>
      <c r="D504" s="6">
        <v>0</v>
      </c>
      <c r="E504" s="6">
        <v>1</v>
      </c>
      <c r="F504" s="6">
        <v>23</v>
      </c>
      <c r="G504" s="6" t="b">
        <v>0</v>
      </c>
      <c r="H504" s="6">
        <v>6</v>
      </c>
      <c r="I504" s="6">
        <v>1</v>
      </c>
      <c r="J504" s="6">
        <v>0.04</v>
      </c>
      <c r="K504">
        <v>7.5800000000000006E-2</v>
      </c>
      <c r="L504">
        <v>0.56999999999999995</v>
      </c>
      <c r="M504">
        <v>0.1045</v>
      </c>
      <c r="N504">
        <v>2</v>
      </c>
      <c r="O504">
        <v>31</v>
      </c>
      <c r="P504">
        <v>33</v>
      </c>
    </row>
    <row r="505" spans="1:16" x14ac:dyDescent="0.25">
      <c r="A505" s="6">
        <v>503</v>
      </c>
      <c r="B505" s="9">
        <v>40566</v>
      </c>
      <c r="C505" s="6">
        <v>1</v>
      </c>
      <c r="D505" s="6">
        <v>0</v>
      </c>
      <c r="E505" s="6">
        <v>1</v>
      </c>
      <c r="F505" s="6">
        <v>0</v>
      </c>
      <c r="G505" s="6" t="b">
        <v>0</v>
      </c>
      <c r="H505" s="6">
        <v>0</v>
      </c>
      <c r="I505" s="6">
        <v>1</v>
      </c>
      <c r="J505" s="6">
        <v>0.04</v>
      </c>
      <c r="K505">
        <v>7.5800000000000006E-2</v>
      </c>
      <c r="L505">
        <v>0.56999999999999995</v>
      </c>
      <c r="M505">
        <v>0.1045</v>
      </c>
      <c r="N505">
        <v>2</v>
      </c>
      <c r="O505">
        <v>20</v>
      </c>
      <c r="P505">
        <v>22</v>
      </c>
    </row>
    <row r="506" spans="1:16" x14ac:dyDescent="0.25">
      <c r="A506" s="6">
        <v>504</v>
      </c>
      <c r="B506" s="9">
        <v>40566</v>
      </c>
      <c r="C506" s="6">
        <v>1</v>
      </c>
      <c r="D506" s="6">
        <v>0</v>
      </c>
      <c r="E506" s="6">
        <v>1</v>
      </c>
      <c r="F506" s="6">
        <v>1</v>
      </c>
      <c r="G506" s="6" t="b">
        <v>0</v>
      </c>
      <c r="H506" s="6">
        <v>0</v>
      </c>
      <c r="I506" s="6">
        <v>1</v>
      </c>
      <c r="J506" s="6">
        <v>0.04</v>
      </c>
      <c r="K506">
        <v>7.5800000000000006E-2</v>
      </c>
      <c r="L506">
        <v>0.56999999999999995</v>
      </c>
      <c r="M506">
        <v>0.1045</v>
      </c>
      <c r="N506">
        <v>1</v>
      </c>
      <c r="O506">
        <v>12</v>
      </c>
      <c r="P506">
        <v>13</v>
      </c>
    </row>
    <row r="507" spans="1:16" x14ac:dyDescent="0.25">
      <c r="A507" s="6">
        <v>505</v>
      </c>
      <c r="B507" s="9">
        <v>40566</v>
      </c>
      <c r="C507" s="6">
        <v>1</v>
      </c>
      <c r="D507" s="6">
        <v>0</v>
      </c>
      <c r="E507" s="6">
        <v>1</v>
      </c>
      <c r="F507" s="6">
        <v>2</v>
      </c>
      <c r="G507" s="6" t="b">
        <v>0</v>
      </c>
      <c r="H507" s="6">
        <v>0</v>
      </c>
      <c r="I507" s="6">
        <v>1</v>
      </c>
      <c r="J507" s="6">
        <v>0.02</v>
      </c>
      <c r="K507">
        <v>6.0600000000000001E-2</v>
      </c>
      <c r="L507">
        <v>0.62</v>
      </c>
      <c r="M507">
        <v>0.1343</v>
      </c>
      <c r="N507">
        <v>3</v>
      </c>
      <c r="O507">
        <v>15</v>
      </c>
      <c r="P507">
        <v>18</v>
      </c>
    </row>
    <row r="508" spans="1:16" x14ac:dyDescent="0.25">
      <c r="A508" s="6">
        <v>506</v>
      </c>
      <c r="B508" s="9">
        <v>40566</v>
      </c>
      <c r="C508" s="6">
        <v>1</v>
      </c>
      <c r="D508" s="6">
        <v>0</v>
      </c>
      <c r="E508" s="6">
        <v>1</v>
      </c>
      <c r="F508" s="6">
        <v>3</v>
      </c>
      <c r="G508" s="6" t="b">
        <v>0</v>
      </c>
      <c r="H508" s="6">
        <v>0</v>
      </c>
      <c r="I508" s="6">
        <v>1</v>
      </c>
      <c r="J508" s="6">
        <v>0.02</v>
      </c>
      <c r="K508">
        <v>6.0600000000000001E-2</v>
      </c>
      <c r="L508">
        <v>0.62</v>
      </c>
      <c r="M508">
        <v>0.1343</v>
      </c>
      <c r="N508">
        <v>1</v>
      </c>
      <c r="O508">
        <v>4</v>
      </c>
      <c r="P508">
        <v>5</v>
      </c>
    </row>
    <row r="509" spans="1:16" x14ac:dyDescent="0.25">
      <c r="A509" s="6">
        <v>507</v>
      </c>
      <c r="B509" s="9">
        <v>40566</v>
      </c>
      <c r="C509" s="6">
        <v>1</v>
      </c>
      <c r="D509" s="6">
        <v>0</v>
      </c>
      <c r="E509" s="6">
        <v>1</v>
      </c>
      <c r="F509" s="6">
        <v>5</v>
      </c>
      <c r="G509" s="6" t="b">
        <v>0</v>
      </c>
      <c r="H509" s="6">
        <v>0</v>
      </c>
      <c r="I509" s="6">
        <v>2</v>
      </c>
      <c r="J509" s="6">
        <v>0.04</v>
      </c>
      <c r="K509">
        <v>7.5800000000000006E-2</v>
      </c>
      <c r="L509">
        <v>0.56999999999999995</v>
      </c>
      <c r="M509">
        <v>0.1045</v>
      </c>
      <c r="N509">
        <v>0</v>
      </c>
      <c r="O509">
        <v>3</v>
      </c>
      <c r="P509">
        <v>3</v>
      </c>
    </row>
    <row r="510" spans="1:16" x14ac:dyDescent="0.25">
      <c r="A510" s="6">
        <v>508</v>
      </c>
      <c r="B510" s="9">
        <v>40566</v>
      </c>
      <c r="C510" s="6">
        <v>1</v>
      </c>
      <c r="D510" s="6">
        <v>0</v>
      </c>
      <c r="E510" s="6">
        <v>1</v>
      </c>
      <c r="F510" s="6">
        <v>6</v>
      </c>
      <c r="G510" s="6" t="b">
        <v>0</v>
      </c>
      <c r="H510" s="6">
        <v>0</v>
      </c>
      <c r="I510" s="6">
        <v>2</v>
      </c>
      <c r="J510" s="6">
        <v>0.04</v>
      </c>
      <c r="K510">
        <v>7.5800000000000006E-2</v>
      </c>
      <c r="L510">
        <v>0.56999999999999995</v>
      </c>
      <c r="M510">
        <v>0.1045</v>
      </c>
      <c r="N510">
        <v>0</v>
      </c>
      <c r="O510">
        <v>1</v>
      </c>
      <c r="P510">
        <v>1</v>
      </c>
    </row>
    <row r="511" spans="1:16" x14ac:dyDescent="0.25">
      <c r="A511" s="6">
        <v>509</v>
      </c>
      <c r="B511" s="9">
        <v>40566</v>
      </c>
      <c r="C511" s="6">
        <v>1</v>
      </c>
      <c r="D511" s="6">
        <v>0</v>
      </c>
      <c r="E511" s="6">
        <v>1</v>
      </c>
      <c r="F511" s="6">
        <v>7</v>
      </c>
      <c r="G511" s="6" t="b">
        <v>0</v>
      </c>
      <c r="H511" s="6">
        <v>0</v>
      </c>
      <c r="I511" s="6">
        <v>1</v>
      </c>
      <c r="J511" s="6">
        <v>0.08</v>
      </c>
      <c r="K511">
        <v>0.1061</v>
      </c>
      <c r="L511">
        <v>0.57999999999999996</v>
      </c>
      <c r="M511">
        <v>0.16420000000000001</v>
      </c>
      <c r="N511">
        <v>1</v>
      </c>
      <c r="O511">
        <v>1</v>
      </c>
      <c r="P511">
        <v>2</v>
      </c>
    </row>
    <row r="512" spans="1:16" x14ac:dyDescent="0.25">
      <c r="A512" s="6">
        <v>510</v>
      </c>
      <c r="B512" s="9">
        <v>40566</v>
      </c>
      <c r="C512" s="6">
        <v>1</v>
      </c>
      <c r="D512" s="6">
        <v>0</v>
      </c>
      <c r="E512" s="6">
        <v>1</v>
      </c>
      <c r="F512" s="6">
        <v>8</v>
      </c>
      <c r="G512" s="6" t="b">
        <v>0</v>
      </c>
      <c r="H512" s="6">
        <v>0</v>
      </c>
      <c r="I512" s="6">
        <v>1</v>
      </c>
      <c r="J512" s="6">
        <v>0.06</v>
      </c>
      <c r="K512">
        <v>7.5800000000000006E-2</v>
      </c>
      <c r="L512">
        <v>0.62</v>
      </c>
      <c r="M512">
        <v>0.16420000000000001</v>
      </c>
      <c r="N512">
        <v>2</v>
      </c>
      <c r="O512">
        <v>17</v>
      </c>
      <c r="P512">
        <v>19</v>
      </c>
    </row>
    <row r="513" spans="1:16" x14ac:dyDescent="0.25">
      <c r="A513" s="6">
        <v>511</v>
      </c>
      <c r="B513" s="9">
        <v>40566</v>
      </c>
      <c r="C513" s="6">
        <v>1</v>
      </c>
      <c r="D513" s="6">
        <v>0</v>
      </c>
      <c r="E513" s="6">
        <v>1</v>
      </c>
      <c r="F513" s="6">
        <v>9</v>
      </c>
      <c r="G513" s="6" t="b">
        <v>0</v>
      </c>
      <c r="H513" s="6">
        <v>0</v>
      </c>
      <c r="I513" s="6">
        <v>1</v>
      </c>
      <c r="J513" s="6">
        <v>0.1</v>
      </c>
      <c r="K513">
        <v>7.5800000000000006E-2</v>
      </c>
      <c r="L513">
        <v>0.54</v>
      </c>
      <c r="M513">
        <v>0.35820000000000002</v>
      </c>
      <c r="N513">
        <v>3</v>
      </c>
      <c r="O513">
        <v>25</v>
      </c>
      <c r="P513">
        <v>28</v>
      </c>
    </row>
    <row r="514" spans="1:16" x14ac:dyDescent="0.25">
      <c r="A514" s="6">
        <v>512</v>
      </c>
      <c r="B514" s="9">
        <v>40566</v>
      </c>
      <c r="C514" s="6">
        <v>1</v>
      </c>
      <c r="D514" s="6">
        <v>0</v>
      </c>
      <c r="E514" s="6">
        <v>1</v>
      </c>
      <c r="F514" s="6">
        <v>10</v>
      </c>
      <c r="G514" s="6" t="b">
        <v>0</v>
      </c>
      <c r="H514" s="6">
        <v>0</v>
      </c>
      <c r="I514" s="6">
        <v>1</v>
      </c>
      <c r="J514" s="6">
        <v>0.14000000000000001</v>
      </c>
      <c r="K514">
        <v>0.1061</v>
      </c>
      <c r="L514">
        <v>0.46</v>
      </c>
      <c r="M514">
        <v>0.3881</v>
      </c>
      <c r="N514">
        <v>7</v>
      </c>
      <c r="O514">
        <v>51</v>
      </c>
      <c r="P514">
        <v>58</v>
      </c>
    </row>
    <row r="515" spans="1:16" x14ac:dyDescent="0.25">
      <c r="A515" s="6">
        <v>513</v>
      </c>
      <c r="B515" s="9">
        <v>40566</v>
      </c>
      <c r="C515" s="6">
        <v>1</v>
      </c>
      <c r="D515" s="6">
        <v>0</v>
      </c>
      <c r="E515" s="6">
        <v>1</v>
      </c>
      <c r="F515" s="6">
        <v>11</v>
      </c>
      <c r="G515" s="6" t="b">
        <v>0</v>
      </c>
      <c r="H515" s="6">
        <v>0</v>
      </c>
      <c r="I515" s="6">
        <v>1</v>
      </c>
      <c r="J515" s="6">
        <v>0.14000000000000001</v>
      </c>
      <c r="K515">
        <v>0.13639999999999999</v>
      </c>
      <c r="L515">
        <v>0.43</v>
      </c>
      <c r="M515">
        <v>0.22389999999999999</v>
      </c>
      <c r="N515">
        <v>22</v>
      </c>
      <c r="O515">
        <v>77</v>
      </c>
      <c r="P515">
        <v>99</v>
      </c>
    </row>
    <row r="516" spans="1:16" x14ac:dyDescent="0.25">
      <c r="A516" s="6">
        <v>514</v>
      </c>
      <c r="B516" s="9">
        <v>40566</v>
      </c>
      <c r="C516" s="6">
        <v>1</v>
      </c>
      <c r="D516" s="6">
        <v>0</v>
      </c>
      <c r="E516" s="6">
        <v>1</v>
      </c>
      <c r="F516" s="6">
        <v>12</v>
      </c>
      <c r="G516" s="6" t="b">
        <v>0</v>
      </c>
      <c r="H516" s="6">
        <v>0</v>
      </c>
      <c r="I516" s="6">
        <v>1</v>
      </c>
      <c r="J516" s="6">
        <v>0.16</v>
      </c>
      <c r="K516">
        <v>0.1212</v>
      </c>
      <c r="L516">
        <v>0.37</v>
      </c>
      <c r="M516">
        <v>0.4627</v>
      </c>
      <c r="N516">
        <v>24</v>
      </c>
      <c r="O516">
        <v>92</v>
      </c>
      <c r="P516">
        <v>116</v>
      </c>
    </row>
    <row r="517" spans="1:16" x14ac:dyDescent="0.25">
      <c r="A517" s="6">
        <v>515</v>
      </c>
      <c r="B517" s="9">
        <v>40566</v>
      </c>
      <c r="C517" s="6">
        <v>1</v>
      </c>
      <c r="D517" s="6">
        <v>0</v>
      </c>
      <c r="E517" s="6">
        <v>1</v>
      </c>
      <c r="F517" s="6">
        <v>13</v>
      </c>
      <c r="G517" s="6" t="b">
        <v>0</v>
      </c>
      <c r="H517" s="6">
        <v>0</v>
      </c>
      <c r="I517" s="6">
        <v>1</v>
      </c>
      <c r="J517" s="6">
        <v>0.14000000000000001</v>
      </c>
      <c r="K517">
        <v>0.1061</v>
      </c>
      <c r="L517">
        <v>0.33</v>
      </c>
      <c r="M517">
        <v>0.3881</v>
      </c>
      <c r="N517">
        <v>12</v>
      </c>
      <c r="O517">
        <v>75</v>
      </c>
      <c r="P517">
        <v>87</v>
      </c>
    </row>
    <row r="518" spans="1:16" x14ac:dyDescent="0.25">
      <c r="A518" s="6">
        <v>516</v>
      </c>
      <c r="B518" s="9">
        <v>40566</v>
      </c>
      <c r="C518" s="6">
        <v>1</v>
      </c>
      <c r="D518" s="6">
        <v>0</v>
      </c>
      <c r="E518" s="6">
        <v>1</v>
      </c>
      <c r="F518" s="6">
        <v>14</v>
      </c>
      <c r="G518" s="6" t="b">
        <v>0</v>
      </c>
      <c r="H518" s="6">
        <v>0</v>
      </c>
      <c r="I518" s="6">
        <v>1</v>
      </c>
      <c r="J518" s="6">
        <v>0.16</v>
      </c>
      <c r="K518">
        <v>0.13639999999999999</v>
      </c>
      <c r="L518">
        <v>0.28000000000000003</v>
      </c>
      <c r="M518">
        <v>0.35820000000000002</v>
      </c>
      <c r="N518">
        <v>17</v>
      </c>
      <c r="O518">
        <v>93</v>
      </c>
      <c r="P518">
        <v>110</v>
      </c>
    </row>
    <row r="519" spans="1:16" x14ac:dyDescent="0.25">
      <c r="A519" s="6">
        <v>517</v>
      </c>
      <c r="B519" s="9">
        <v>40566</v>
      </c>
      <c r="C519" s="6">
        <v>1</v>
      </c>
      <c r="D519" s="6">
        <v>0</v>
      </c>
      <c r="E519" s="6">
        <v>1</v>
      </c>
      <c r="F519" s="6">
        <v>15</v>
      </c>
      <c r="G519" s="6" t="b">
        <v>0</v>
      </c>
      <c r="H519" s="6">
        <v>0</v>
      </c>
      <c r="I519" s="6">
        <v>1</v>
      </c>
      <c r="J519" s="6">
        <v>0.16</v>
      </c>
      <c r="K519">
        <v>0.13639999999999999</v>
      </c>
      <c r="L519">
        <v>0.28000000000000003</v>
      </c>
      <c r="M519">
        <v>0.35820000000000002</v>
      </c>
      <c r="N519">
        <v>13</v>
      </c>
      <c r="O519">
        <v>64</v>
      </c>
      <c r="P519">
        <v>77</v>
      </c>
    </row>
    <row r="520" spans="1:16" x14ac:dyDescent="0.25">
      <c r="A520" s="6">
        <v>518</v>
      </c>
      <c r="B520" s="9">
        <v>40566</v>
      </c>
      <c r="C520" s="6">
        <v>1</v>
      </c>
      <c r="D520" s="6">
        <v>0</v>
      </c>
      <c r="E520" s="6">
        <v>1</v>
      </c>
      <c r="F520" s="6">
        <v>16</v>
      </c>
      <c r="G520" s="6" t="b">
        <v>0</v>
      </c>
      <c r="H520" s="6">
        <v>0</v>
      </c>
      <c r="I520" s="6">
        <v>1</v>
      </c>
      <c r="J520" s="6">
        <v>0.16</v>
      </c>
      <c r="K520">
        <v>0.13639999999999999</v>
      </c>
      <c r="L520">
        <v>0.26</v>
      </c>
      <c r="M520">
        <v>0.32840000000000003</v>
      </c>
      <c r="N520">
        <v>9</v>
      </c>
      <c r="O520">
        <v>56</v>
      </c>
      <c r="P520">
        <v>65</v>
      </c>
    </row>
    <row r="521" spans="1:16" x14ac:dyDescent="0.25">
      <c r="A521" s="6">
        <v>519</v>
      </c>
      <c r="B521" s="9">
        <v>40566</v>
      </c>
      <c r="C521" s="6">
        <v>1</v>
      </c>
      <c r="D521" s="6">
        <v>0</v>
      </c>
      <c r="E521" s="6">
        <v>1</v>
      </c>
      <c r="F521" s="6">
        <v>17</v>
      </c>
      <c r="G521" s="6" t="b">
        <v>0</v>
      </c>
      <c r="H521" s="6">
        <v>0</v>
      </c>
      <c r="I521" s="6">
        <v>1</v>
      </c>
      <c r="J521" s="6">
        <v>0.14000000000000001</v>
      </c>
      <c r="K521">
        <v>0.1061</v>
      </c>
      <c r="L521">
        <v>0.26</v>
      </c>
      <c r="M521">
        <v>0.3881</v>
      </c>
      <c r="N521">
        <v>5</v>
      </c>
      <c r="O521">
        <v>50</v>
      </c>
      <c r="P521">
        <v>55</v>
      </c>
    </row>
    <row r="522" spans="1:16" x14ac:dyDescent="0.25">
      <c r="A522" s="6">
        <v>520</v>
      </c>
      <c r="B522" s="9">
        <v>40566</v>
      </c>
      <c r="C522" s="6">
        <v>1</v>
      </c>
      <c r="D522" s="6">
        <v>0</v>
      </c>
      <c r="E522" s="6">
        <v>1</v>
      </c>
      <c r="F522" s="6">
        <v>18</v>
      </c>
      <c r="G522" s="6" t="b">
        <v>0</v>
      </c>
      <c r="H522" s="6">
        <v>0</v>
      </c>
      <c r="I522" s="6">
        <v>1</v>
      </c>
      <c r="J522" s="6">
        <v>0.12</v>
      </c>
      <c r="K522">
        <v>0.1212</v>
      </c>
      <c r="L522">
        <v>0.3</v>
      </c>
      <c r="M522">
        <v>0.25369999999999998</v>
      </c>
      <c r="N522">
        <v>5</v>
      </c>
      <c r="O522">
        <v>44</v>
      </c>
      <c r="P522">
        <v>49</v>
      </c>
    </row>
    <row r="523" spans="1:16" x14ac:dyDescent="0.25">
      <c r="A523" s="6">
        <v>521</v>
      </c>
      <c r="B523" s="9">
        <v>40566</v>
      </c>
      <c r="C523" s="6">
        <v>1</v>
      </c>
      <c r="D523" s="6">
        <v>0</v>
      </c>
      <c r="E523" s="6">
        <v>1</v>
      </c>
      <c r="F523" s="6">
        <v>19</v>
      </c>
      <c r="G523" s="6" t="b">
        <v>0</v>
      </c>
      <c r="H523" s="6">
        <v>0</v>
      </c>
      <c r="I523" s="6">
        <v>1</v>
      </c>
      <c r="J523" s="6">
        <v>0.12</v>
      </c>
      <c r="K523">
        <v>0.1212</v>
      </c>
      <c r="L523">
        <v>0.3</v>
      </c>
      <c r="M523">
        <v>0.28360000000000002</v>
      </c>
      <c r="N523">
        <v>5</v>
      </c>
      <c r="O523">
        <v>45</v>
      </c>
      <c r="P523">
        <v>50</v>
      </c>
    </row>
    <row r="524" spans="1:16" x14ac:dyDescent="0.25">
      <c r="A524" s="6">
        <v>522</v>
      </c>
      <c r="B524" s="9">
        <v>40566</v>
      </c>
      <c r="C524" s="6">
        <v>1</v>
      </c>
      <c r="D524" s="6">
        <v>0</v>
      </c>
      <c r="E524" s="6">
        <v>1</v>
      </c>
      <c r="F524" s="6">
        <v>20</v>
      </c>
      <c r="G524" s="6" t="b">
        <v>0</v>
      </c>
      <c r="H524" s="6">
        <v>0</v>
      </c>
      <c r="I524" s="6">
        <v>1</v>
      </c>
      <c r="J524" s="6">
        <v>0.1</v>
      </c>
      <c r="K524">
        <v>0.1061</v>
      </c>
      <c r="L524">
        <v>0.36</v>
      </c>
      <c r="M524">
        <v>0.25369999999999998</v>
      </c>
      <c r="N524">
        <v>4</v>
      </c>
      <c r="O524">
        <v>31</v>
      </c>
      <c r="P524">
        <v>35</v>
      </c>
    </row>
    <row r="525" spans="1:16" x14ac:dyDescent="0.25">
      <c r="A525" s="6">
        <v>523</v>
      </c>
      <c r="B525" s="9">
        <v>40566</v>
      </c>
      <c r="C525" s="6">
        <v>1</v>
      </c>
      <c r="D525" s="6">
        <v>0</v>
      </c>
      <c r="E525" s="6">
        <v>1</v>
      </c>
      <c r="F525" s="6">
        <v>21</v>
      </c>
      <c r="G525" s="6" t="b">
        <v>0</v>
      </c>
      <c r="H525" s="6">
        <v>0</v>
      </c>
      <c r="I525" s="6">
        <v>1</v>
      </c>
      <c r="J525" s="6">
        <v>0.1</v>
      </c>
      <c r="K525">
        <v>0.1061</v>
      </c>
      <c r="L525">
        <v>0.36</v>
      </c>
      <c r="M525">
        <v>0.19400000000000001</v>
      </c>
      <c r="N525">
        <v>5</v>
      </c>
      <c r="O525">
        <v>20</v>
      </c>
      <c r="P525">
        <v>25</v>
      </c>
    </row>
    <row r="526" spans="1:16" x14ac:dyDescent="0.25">
      <c r="A526" s="6">
        <v>524</v>
      </c>
      <c r="B526" s="9">
        <v>40566</v>
      </c>
      <c r="C526" s="6">
        <v>1</v>
      </c>
      <c r="D526" s="6">
        <v>0</v>
      </c>
      <c r="E526" s="6">
        <v>1</v>
      </c>
      <c r="F526" s="6">
        <v>22</v>
      </c>
      <c r="G526" s="6" t="b">
        <v>0</v>
      </c>
      <c r="H526" s="6">
        <v>0</v>
      </c>
      <c r="I526" s="6">
        <v>1</v>
      </c>
      <c r="J526" s="6">
        <v>0.08</v>
      </c>
      <c r="K526">
        <v>9.0899999999999995E-2</v>
      </c>
      <c r="L526">
        <v>0.38</v>
      </c>
      <c r="M526">
        <v>0.19400000000000001</v>
      </c>
      <c r="N526">
        <v>5</v>
      </c>
      <c r="O526">
        <v>23</v>
      </c>
      <c r="P526">
        <v>28</v>
      </c>
    </row>
    <row r="527" spans="1:16" x14ac:dyDescent="0.25">
      <c r="A527" s="6">
        <v>525</v>
      </c>
      <c r="B527" s="9">
        <v>40566</v>
      </c>
      <c r="C527" s="6">
        <v>1</v>
      </c>
      <c r="D527" s="6">
        <v>0</v>
      </c>
      <c r="E527" s="6">
        <v>1</v>
      </c>
      <c r="F527" s="6">
        <v>23</v>
      </c>
      <c r="G527" s="6" t="b">
        <v>0</v>
      </c>
      <c r="H527" s="6">
        <v>0</v>
      </c>
      <c r="I527" s="6">
        <v>1</v>
      </c>
      <c r="J527" s="6">
        <v>0.06</v>
      </c>
      <c r="K527">
        <v>6.0600000000000001E-2</v>
      </c>
      <c r="L527">
        <v>0.41</v>
      </c>
      <c r="M527">
        <v>0.22389999999999999</v>
      </c>
      <c r="N527">
        <v>4</v>
      </c>
      <c r="O527">
        <v>17</v>
      </c>
      <c r="P527">
        <v>21</v>
      </c>
    </row>
    <row r="528" spans="1:16" x14ac:dyDescent="0.25">
      <c r="A528" s="6">
        <v>526</v>
      </c>
      <c r="B528" s="9">
        <v>40567</v>
      </c>
      <c r="C528" s="6">
        <v>1</v>
      </c>
      <c r="D528" s="6">
        <v>0</v>
      </c>
      <c r="E528" s="6">
        <v>1</v>
      </c>
      <c r="F528" s="6">
        <v>0</v>
      </c>
      <c r="G528" s="6" t="b">
        <v>0</v>
      </c>
      <c r="H528" s="6">
        <v>1</v>
      </c>
      <c r="I528" s="6">
        <v>1</v>
      </c>
      <c r="J528" s="6">
        <v>0.06</v>
      </c>
      <c r="K528">
        <v>6.0600000000000001E-2</v>
      </c>
      <c r="L528">
        <v>0.41</v>
      </c>
      <c r="M528">
        <v>0.19400000000000001</v>
      </c>
      <c r="N528">
        <v>0</v>
      </c>
      <c r="O528">
        <v>7</v>
      </c>
      <c r="P528">
        <v>7</v>
      </c>
    </row>
    <row r="529" spans="1:16" x14ac:dyDescent="0.25">
      <c r="A529" s="6">
        <v>527</v>
      </c>
      <c r="B529" s="9">
        <v>40567</v>
      </c>
      <c r="C529" s="6">
        <v>1</v>
      </c>
      <c r="D529" s="6">
        <v>0</v>
      </c>
      <c r="E529" s="6">
        <v>1</v>
      </c>
      <c r="F529" s="6">
        <v>1</v>
      </c>
      <c r="G529" s="6" t="b">
        <v>0</v>
      </c>
      <c r="H529" s="6">
        <v>1</v>
      </c>
      <c r="I529" s="6">
        <v>1</v>
      </c>
      <c r="J529" s="6">
        <v>0.04</v>
      </c>
      <c r="K529">
        <v>4.5499999999999999E-2</v>
      </c>
      <c r="L529">
        <v>0.45</v>
      </c>
      <c r="M529">
        <v>0.19400000000000001</v>
      </c>
      <c r="N529">
        <v>0</v>
      </c>
      <c r="O529">
        <v>1</v>
      </c>
      <c r="P529">
        <v>1</v>
      </c>
    </row>
    <row r="530" spans="1:16" x14ac:dyDescent="0.25">
      <c r="A530" s="6">
        <v>528</v>
      </c>
      <c r="B530" s="9">
        <v>40567</v>
      </c>
      <c r="C530" s="6">
        <v>1</v>
      </c>
      <c r="D530" s="6">
        <v>0</v>
      </c>
      <c r="E530" s="6">
        <v>1</v>
      </c>
      <c r="F530" s="6">
        <v>3</v>
      </c>
      <c r="G530" s="6" t="b">
        <v>0</v>
      </c>
      <c r="H530" s="6">
        <v>1</v>
      </c>
      <c r="I530" s="6">
        <v>1</v>
      </c>
      <c r="J530" s="6">
        <v>0.04</v>
      </c>
      <c r="K530">
        <v>3.0300000000000001E-2</v>
      </c>
      <c r="L530">
        <v>0.45</v>
      </c>
      <c r="M530">
        <v>0.25369999999999998</v>
      </c>
      <c r="N530">
        <v>0</v>
      </c>
      <c r="O530">
        <v>1</v>
      </c>
      <c r="P530">
        <v>1</v>
      </c>
    </row>
    <row r="531" spans="1:16" x14ac:dyDescent="0.25">
      <c r="A531" s="6">
        <v>529</v>
      </c>
      <c r="B531" s="9">
        <v>40567</v>
      </c>
      <c r="C531" s="6">
        <v>1</v>
      </c>
      <c r="D531" s="6">
        <v>0</v>
      </c>
      <c r="E531" s="6">
        <v>1</v>
      </c>
      <c r="F531" s="6">
        <v>4</v>
      </c>
      <c r="G531" s="6" t="b">
        <v>0</v>
      </c>
      <c r="H531" s="6">
        <v>1</v>
      </c>
      <c r="I531" s="6">
        <v>1</v>
      </c>
      <c r="J531" s="6">
        <v>0.02</v>
      </c>
      <c r="K531">
        <v>6.0600000000000001E-2</v>
      </c>
      <c r="L531">
        <v>0.48</v>
      </c>
      <c r="M531">
        <v>0.1343</v>
      </c>
      <c r="N531">
        <v>0</v>
      </c>
      <c r="O531">
        <v>1</v>
      </c>
      <c r="P531">
        <v>1</v>
      </c>
    </row>
    <row r="532" spans="1:16" x14ac:dyDescent="0.25">
      <c r="A532" s="6">
        <v>530</v>
      </c>
      <c r="B532" s="9">
        <v>40567</v>
      </c>
      <c r="C532" s="6">
        <v>1</v>
      </c>
      <c r="D532" s="6">
        <v>0</v>
      </c>
      <c r="E532" s="6">
        <v>1</v>
      </c>
      <c r="F532" s="6">
        <v>5</v>
      </c>
      <c r="G532" s="6" t="b">
        <v>0</v>
      </c>
      <c r="H532" s="6">
        <v>1</v>
      </c>
      <c r="I532" s="6">
        <v>1</v>
      </c>
      <c r="J532" s="6">
        <v>0.02</v>
      </c>
      <c r="K532">
        <v>6.0600000000000001E-2</v>
      </c>
      <c r="L532">
        <v>0.48</v>
      </c>
      <c r="M532">
        <v>0.1343</v>
      </c>
      <c r="N532">
        <v>0</v>
      </c>
      <c r="O532">
        <v>5</v>
      </c>
      <c r="P532">
        <v>5</v>
      </c>
    </row>
    <row r="533" spans="1:16" x14ac:dyDescent="0.25">
      <c r="A533" s="6">
        <v>531</v>
      </c>
      <c r="B533" s="9">
        <v>40567</v>
      </c>
      <c r="C533" s="6">
        <v>1</v>
      </c>
      <c r="D533" s="6">
        <v>0</v>
      </c>
      <c r="E533" s="6">
        <v>1</v>
      </c>
      <c r="F533" s="6">
        <v>6</v>
      </c>
      <c r="G533" s="6" t="b">
        <v>0</v>
      </c>
      <c r="H533" s="6">
        <v>1</v>
      </c>
      <c r="I533" s="6">
        <v>1</v>
      </c>
      <c r="J533" s="6">
        <v>0.02</v>
      </c>
      <c r="K533">
        <v>7.5800000000000006E-2</v>
      </c>
      <c r="L533">
        <v>0.48</v>
      </c>
      <c r="M533">
        <v>8.9599999999999999E-2</v>
      </c>
      <c r="N533">
        <v>0</v>
      </c>
      <c r="O533">
        <v>15</v>
      </c>
      <c r="P533">
        <v>15</v>
      </c>
    </row>
    <row r="534" spans="1:16" x14ac:dyDescent="0.25">
      <c r="A534" s="6">
        <v>532</v>
      </c>
      <c r="B534" s="9">
        <v>40567</v>
      </c>
      <c r="C534" s="6">
        <v>1</v>
      </c>
      <c r="D534" s="6">
        <v>0</v>
      </c>
      <c r="E534" s="6">
        <v>1</v>
      </c>
      <c r="F534" s="6">
        <v>7</v>
      </c>
      <c r="G534" s="6" t="b">
        <v>0</v>
      </c>
      <c r="H534" s="6">
        <v>1</v>
      </c>
      <c r="I534" s="6">
        <v>1</v>
      </c>
      <c r="J534" s="6">
        <v>0.02</v>
      </c>
      <c r="K534">
        <v>0.1212</v>
      </c>
      <c r="L534">
        <v>0.48</v>
      </c>
      <c r="M534">
        <v>0</v>
      </c>
      <c r="N534">
        <v>5</v>
      </c>
      <c r="O534">
        <v>79</v>
      </c>
      <c r="P534">
        <v>84</v>
      </c>
    </row>
    <row r="535" spans="1:16" x14ac:dyDescent="0.25">
      <c r="A535" s="6">
        <v>533</v>
      </c>
      <c r="B535" s="9">
        <v>40567</v>
      </c>
      <c r="C535" s="6">
        <v>1</v>
      </c>
      <c r="D535" s="6">
        <v>0</v>
      </c>
      <c r="E535" s="6">
        <v>1</v>
      </c>
      <c r="F535" s="6">
        <v>8</v>
      </c>
      <c r="G535" s="6" t="b">
        <v>0</v>
      </c>
      <c r="H535" s="6">
        <v>1</v>
      </c>
      <c r="I535" s="6">
        <v>1</v>
      </c>
      <c r="J535" s="6">
        <v>0.04</v>
      </c>
      <c r="K535">
        <v>0.13639999999999999</v>
      </c>
      <c r="L535">
        <v>0.49</v>
      </c>
      <c r="M535">
        <v>0</v>
      </c>
      <c r="N535">
        <v>6</v>
      </c>
      <c r="O535">
        <v>171</v>
      </c>
      <c r="P535">
        <v>177</v>
      </c>
    </row>
    <row r="536" spans="1:16" x14ac:dyDescent="0.25">
      <c r="A536" s="6">
        <v>534</v>
      </c>
      <c r="B536" s="9">
        <v>40567</v>
      </c>
      <c r="C536" s="6">
        <v>1</v>
      </c>
      <c r="D536" s="6">
        <v>0</v>
      </c>
      <c r="E536" s="6">
        <v>1</v>
      </c>
      <c r="F536" s="6">
        <v>9</v>
      </c>
      <c r="G536" s="6" t="b">
        <v>0</v>
      </c>
      <c r="H536" s="6">
        <v>1</v>
      </c>
      <c r="I536" s="6">
        <v>1</v>
      </c>
      <c r="J536" s="6">
        <v>0.06</v>
      </c>
      <c r="K536">
        <v>0.1515</v>
      </c>
      <c r="L536">
        <v>0.41</v>
      </c>
      <c r="M536">
        <v>0</v>
      </c>
      <c r="N536">
        <v>4</v>
      </c>
      <c r="O536">
        <v>98</v>
      </c>
      <c r="P536">
        <v>102</v>
      </c>
    </row>
    <row r="537" spans="1:16" x14ac:dyDescent="0.25">
      <c r="A537" s="6">
        <v>535</v>
      </c>
      <c r="B537" s="9">
        <v>40567</v>
      </c>
      <c r="C537" s="6">
        <v>1</v>
      </c>
      <c r="D537" s="6">
        <v>0</v>
      </c>
      <c r="E537" s="6">
        <v>1</v>
      </c>
      <c r="F537" s="6">
        <v>10</v>
      </c>
      <c r="G537" s="6" t="b">
        <v>0</v>
      </c>
      <c r="H537" s="6">
        <v>1</v>
      </c>
      <c r="I537" s="6">
        <v>1</v>
      </c>
      <c r="J537" s="6">
        <v>0.1</v>
      </c>
      <c r="K537">
        <v>0.13639999999999999</v>
      </c>
      <c r="L537">
        <v>0.42</v>
      </c>
      <c r="M537">
        <v>0</v>
      </c>
      <c r="N537">
        <v>6</v>
      </c>
      <c r="O537">
        <v>34</v>
      </c>
      <c r="P537">
        <v>40</v>
      </c>
    </row>
    <row r="538" spans="1:16" x14ac:dyDescent="0.25">
      <c r="A538" s="6">
        <v>536</v>
      </c>
      <c r="B538" s="9">
        <v>40567</v>
      </c>
      <c r="C538" s="6">
        <v>1</v>
      </c>
      <c r="D538" s="6">
        <v>0</v>
      </c>
      <c r="E538" s="6">
        <v>1</v>
      </c>
      <c r="F538" s="6">
        <v>11</v>
      </c>
      <c r="G538" s="6" t="b">
        <v>0</v>
      </c>
      <c r="H538" s="6">
        <v>1</v>
      </c>
      <c r="I538" s="6">
        <v>1</v>
      </c>
      <c r="J538" s="6">
        <v>0.1</v>
      </c>
      <c r="K538">
        <v>0.1212</v>
      </c>
      <c r="L538">
        <v>0.46</v>
      </c>
      <c r="M538">
        <v>0.1343</v>
      </c>
      <c r="N538">
        <v>3</v>
      </c>
      <c r="O538">
        <v>43</v>
      </c>
      <c r="P538">
        <v>46</v>
      </c>
    </row>
    <row r="539" spans="1:16" x14ac:dyDescent="0.25">
      <c r="A539" s="6">
        <v>537</v>
      </c>
      <c r="B539" s="9">
        <v>40567</v>
      </c>
      <c r="C539" s="6">
        <v>1</v>
      </c>
      <c r="D539" s="6">
        <v>0</v>
      </c>
      <c r="E539" s="6">
        <v>1</v>
      </c>
      <c r="F539" s="6">
        <v>12</v>
      </c>
      <c r="G539" s="6" t="b">
        <v>0</v>
      </c>
      <c r="H539" s="6">
        <v>1</v>
      </c>
      <c r="I539" s="6">
        <v>2</v>
      </c>
      <c r="J539" s="6">
        <v>0.12</v>
      </c>
      <c r="K539">
        <v>0.13639999999999999</v>
      </c>
      <c r="L539">
        <v>0.42</v>
      </c>
      <c r="M539">
        <v>0.19400000000000001</v>
      </c>
      <c r="N539">
        <v>11</v>
      </c>
      <c r="O539">
        <v>52</v>
      </c>
      <c r="P539">
        <v>63</v>
      </c>
    </row>
    <row r="540" spans="1:16" x14ac:dyDescent="0.25">
      <c r="A540" s="6">
        <v>538</v>
      </c>
      <c r="B540" s="9">
        <v>40567</v>
      </c>
      <c r="C540" s="6">
        <v>1</v>
      </c>
      <c r="D540" s="6">
        <v>0</v>
      </c>
      <c r="E540" s="6">
        <v>1</v>
      </c>
      <c r="F540" s="6">
        <v>13</v>
      </c>
      <c r="G540" s="6" t="b">
        <v>0</v>
      </c>
      <c r="H540" s="6">
        <v>1</v>
      </c>
      <c r="I540" s="6">
        <v>2</v>
      </c>
      <c r="J540" s="6">
        <v>0.14000000000000001</v>
      </c>
      <c r="K540">
        <v>0.13639999999999999</v>
      </c>
      <c r="L540">
        <v>0.43</v>
      </c>
      <c r="M540">
        <v>0.22389999999999999</v>
      </c>
      <c r="N540">
        <v>6</v>
      </c>
      <c r="O540">
        <v>54</v>
      </c>
      <c r="P540">
        <v>60</v>
      </c>
    </row>
    <row r="541" spans="1:16" x14ac:dyDescent="0.25">
      <c r="A541" s="6">
        <v>539</v>
      </c>
      <c r="B541" s="9">
        <v>40567</v>
      </c>
      <c r="C541" s="6">
        <v>1</v>
      </c>
      <c r="D541" s="6">
        <v>0</v>
      </c>
      <c r="E541" s="6">
        <v>1</v>
      </c>
      <c r="F541" s="6">
        <v>14</v>
      </c>
      <c r="G541" s="6" t="b">
        <v>0</v>
      </c>
      <c r="H541" s="6">
        <v>1</v>
      </c>
      <c r="I541" s="6">
        <v>2</v>
      </c>
      <c r="J541" s="6">
        <v>0.14000000000000001</v>
      </c>
      <c r="K541">
        <v>0.13639999999999999</v>
      </c>
      <c r="L541">
        <v>0.46</v>
      </c>
      <c r="M541">
        <v>0.22389999999999999</v>
      </c>
      <c r="N541">
        <v>2</v>
      </c>
      <c r="O541">
        <v>43</v>
      </c>
      <c r="P541">
        <v>45</v>
      </c>
    </row>
    <row r="542" spans="1:16" x14ac:dyDescent="0.25">
      <c r="A542" s="6">
        <v>540</v>
      </c>
      <c r="B542" s="9">
        <v>40567</v>
      </c>
      <c r="C542" s="6">
        <v>1</v>
      </c>
      <c r="D542" s="6">
        <v>0</v>
      </c>
      <c r="E542" s="6">
        <v>1</v>
      </c>
      <c r="F542" s="6">
        <v>15</v>
      </c>
      <c r="G542" s="6" t="b">
        <v>0</v>
      </c>
      <c r="H542" s="6">
        <v>1</v>
      </c>
      <c r="I542" s="6">
        <v>1</v>
      </c>
      <c r="J542" s="6">
        <v>0.16</v>
      </c>
      <c r="K542">
        <v>0.16669999999999999</v>
      </c>
      <c r="L542">
        <v>0.4</v>
      </c>
      <c r="M542">
        <v>0.16420000000000001</v>
      </c>
      <c r="N542">
        <v>7</v>
      </c>
      <c r="O542">
        <v>50</v>
      </c>
      <c r="P542">
        <v>57</v>
      </c>
    </row>
    <row r="543" spans="1:16" x14ac:dyDescent="0.25">
      <c r="A543" s="6">
        <v>541</v>
      </c>
      <c r="B543" s="9">
        <v>40567</v>
      </c>
      <c r="C543" s="6">
        <v>1</v>
      </c>
      <c r="D543" s="6">
        <v>0</v>
      </c>
      <c r="E543" s="6">
        <v>1</v>
      </c>
      <c r="F543" s="6">
        <v>16</v>
      </c>
      <c r="G543" s="6" t="b">
        <v>0</v>
      </c>
      <c r="H543" s="6">
        <v>1</v>
      </c>
      <c r="I543" s="6">
        <v>1</v>
      </c>
      <c r="J543" s="6">
        <v>0.16</v>
      </c>
      <c r="K543">
        <v>0.1515</v>
      </c>
      <c r="L543">
        <v>0.47</v>
      </c>
      <c r="M543">
        <v>0.25369999999999998</v>
      </c>
      <c r="N543">
        <v>4</v>
      </c>
      <c r="O543">
        <v>66</v>
      </c>
      <c r="P543">
        <v>70</v>
      </c>
    </row>
    <row r="544" spans="1:16" x14ac:dyDescent="0.25">
      <c r="A544" s="6">
        <v>542</v>
      </c>
      <c r="B544" s="9">
        <v>40567</v>
      </c>
      <c r="C544" s="6">
        <v>1</v>
      </c>
      <c r="D544" s="6">
        <v>0</v>
      </c>
      <c r="E544" s="6">
        <v>1</v>
      </c>
      <c r="F544" s="6">
        <v>17</v>
      </c>
      <c r="G544" s="6" t="b">
        <v>0</v>
      </c>
      <c r="H544" s="6">
        <v>1</v>
      </c>
      <c r="I544" s="6">
        <v>1</v>
      </c>
      <c r="J544" s="6">
        <v>0.14000000000000001</v>
      </c>
      <c r="K544">
        <v>0.1212</v>
      </c>
      <c r="L544">
        <v>0.5</v>
      </c>
      <c r="M544">
        <v>0.25369999999999998</v>
      </c>
      <c r="N544">
        <v>6</v>
      </c>
      <c r="O544">
        <v>178</v>
      </c>
      <c r="P544">
        <v>184</v>
      </c>
    </row>
    <row r="545" spans="1:16" x14ac:dyDescent="0.25">
      <c r="A545" s="6">
        <v>543</v>
      </c>
      <c r="B545" s="9">
        <v>40567</v>
      </c>
      <c r="C545" s="6">
        <v>1</v>
      </c>
      <c r="D545" s="6">
        <v>0</v>
      </c>
      <c r="E545" s="6">
        <v>1</v>
      </c>
      <c r="F545" s="6">
        <v>18</v>
      </c>
      <c r="G545" s="6" t="b">
        <v>0</v>
      </c>
      <c r="H545" s="6">
        <v>1</v>
      </c>
      <c r="I545" s="6">
        <v>1</v>
      </c>
      <c r="J545" s="6">
        <v>0.14000000000000001</v>
      </c>
      <c r="K545">
        <v>0.13639999999999999</v>
      </c>
      <c r="L545">
        <v>0.59</v>
      </c>
      <c r="M545">
        <v>0.19400000000000001</v>
      </c>
      <c r="N545">
        <v>8</v>
      </c>
      <c r="O545">
        <v>145</v>
      </c>
      <c r="P545">
        <v>153</v>
      </c>
    </row>
    <row r="546" spans="1:16" x14ac:dyDescent="0.25">
      <c r="A546" s="6">
        <v>544</v>
      </c>
      <c r="B546" s="9">
        <v>40567</v>
      </c>
      <c r="C546" s="6">
        <v>1</v>
      </c>
      <c r="D546" s="6">
        <v>0</v>
      </c>
      <c r="E546" s="6">
        <v>1</v>
      </c>
      <c r="F546" s="6">
        <v>19</v>
      </c>
      <c r="G546" s="6" t="b">
        <v>0</v>
      </c>
      <c r="H546" s="6">
        <v>1</v>
      </c>
      <c r="I546" s="6">
        <v>1</v>
      </c>
      <c r="J546" s="6">
        <v>0.14000000000000001</v>
      </c>
      <c r="K546">
        <v>0.1515</v>
      </c>
      <c r="L546">
        <v>0.54</v>
      </c>
      <c r="M546">
        <v>0.16420000000000001</v>
      </c>
      <c r="N546">
        <v>5</v>
      </c>
      <c r="O546">
        <v>101</v>
      </c>
      <c r="P546">
        <v>106</v>
      </c>
    </row>
    <row r="547" spans="1:16" x14ac:dyDescent="0.25">
      <c r="A547" s="6">
        <v>545</v>
      </c>
      <c r="B547" s="9">
        <v>40567</v>
      </c>
      <c r="C547" s="6">
        <v>1</v>
      </c>
      <c r="D547" s="6">
        <v>0</v>
      </c>
      <c r="E547" s="6">
        <v>1</v>
      </c>
      <c r="F547" s="6">
        <v>20</v>
      </c>
      <c r="G547" s="6" t="b">
        <v>0</v>
      </c>
      <c r="H547" s="6">
        <v>1</v>
      </c>
      <c r="I547" s="6">
        <v>1</v>
      </c>
      <c r="J547" s="6">
        <v>0.14000000000000001</v>
      </c>
      <c r="K547">
        <v>0.13639999999999999</v>
      </c>
      <c r="L547">
        <v>0.59</v>
      </c>
      <c r="M547">
        <v>0.19400000000000001</v>
      </c>
      <c r="N547">
        <v>1</v>
      </c>
      <c r="O547">
        <v>80</v>
      </c>
      <c r="P547">
        <v>81</v>
      </c>
    </row>
    <row r="548" spans="1:16" x14ac:dyDescent="0.25">
      <c r="A548" s="6">
        <v>546</v>
      </c>
      <c r="B548" s="9">
        <v>40567</v>
      </c>
      <c r="C548" s="6">
        <v>1</v>
      </c>
      <c r="D548" s="6">
        <v>0</v>
      </c>
      <c r="E548" s="6">
        <v>1</v>
      </c>
      <c r="F548" s="6">
        <v>21</v>
      </c>
      <c r="G548" s="6" t="b">
        <v>0</v>
      </c>
      <c r="H548" s="6">
        <v>1</v>
      </c>
      <c r="I548" s="6">
        <v>1</v>
      </c>
      <c r="J548" s="6">
        <v>0.14000000000000001</v>
      </c>
      <c r="K548">
        <v>0.1515</v>
      </c>
      <c r="L548">
        <v>0.63</v>
      </c>
      <c r="M548">
        <v>0.16420000000000001</v>
      </c>
      <c r="N548">
        <v>6</v>
      </c>
      <c r="O548">
        <v>53</v>
      </c>
      <c r="P548">
        <v>59</v>
      </c>
    </row>
    <row r="549" spans="1:16" x14ac:dyDescent="0.25">
      <c r="A549" s="6">
        <v>547</v>
      </c>
      <c r="B549" s="9">
        <v>40567</v>
      </c>
      <c r="C549" s="6">
        <v>1</v>
      </c>
      <c r="D549" s="6">
        <v>0</v>
      </c>
      <c r="E549" s="6">
        <v>1</v>
      </c>
      <c r="F549" s="6">
        <v>22</v>
      </c>
      <c r="G549" s="6" t="b">
        <v>0</v>
      </c>
      <c r="H549" s="6">
        <v>1</v>
      </c>
      <c r="I549" s="6">
        <v>2</v>
      </c>
      <c r="J549" s="6">
        <v>0.14000000000000001</v>
      </c>
      <c r="K549">
        <v>0.13639999999999999</v>
      </c>
      <c r="L549">
        <v>0.63</v>
      </c>
      <c r="M549">
        <v>0.22389999999999999</v>
      </c>
      <c r="N549">
        <v>3</v>
      </c>
      <c r="O549">
        <v>32</v>
      </c>
      <c r="P549">
        <v>35</v>
      </c>
    </row>
    <row r="550" spans="1:16" x14ac:dyDescent="0.25">
      <c r="A550" s="6">
        <v>548</v>
      </c>
      <c r="B550" s="9">
        <v>40567</v>
      </c>
      <c r="C550" s="6">
        <v>1</v>
      </c>
      <c r="D550" s="6">
        <v>0</v>
      </c>
      <c r="E550" s="6">
        <v>1</v>
      </c>
      <c r="F550" s="6">
        <v>23</v>
      </c>
      <c r="G550" s="6" t="b">
        <v>0</v>
      </c>
      <c r="H550" s="6">
        <v>1</v>
      </c>
      <c r="I550" s="6">
        <v>2</v>
      </c>
      <c r="J550" s="6">
        <v>0.16</v>
      </c>
      <c r="K550">
        <v>0.1515</v>
      </c>
      <c r="L550">
        <v>0.64</v>
      </c>
      <c r="M550">
        <v>0.25369999999999998</v>
      </c>
      <c r="N550">
        <v>3</v>
      </c>
      <c r="O550">
        <v>21</v>
      </c>
      <c r="P550">
        <v>24</v>
      </c>
    </row>
    <row r="551" spans="1:16" x14ac:dyDescent="0.25">
      <c r="A551" s="6">
        <v>549</v>
      </c>
      <c r="B551" s="9">
        <v>40568</v>
      </c>
      <c r="C551" s="6">
        <v>1</v>
      </c>
      <c r="D551" s="6">
        <v>0</v>
      </c>
      <c r="E551" s="6">
        <v>1</v>
      </c>
      <c r="F551" s="6">
        <v>0</v>
      </c>
      <c r="G551" s="6" t="b">
        <v>0</v>
      </c>
      <c r="H551" s="6">
        <v>2</v>
      </c>
      <c r="I551" s="6">
        <v>2</v>
      </c>
      <c r="J551" s="6">
        <v>0.16</v>
      </c>
      <c r="K551">
        <v>0.13639999999999999</v>
      </c>
      <c r="L551">
        <v>0.69</v>
      </c>
      <c r="M551">
        <v>0.28360000000000002</v>
      </c>
      <c r="N551">
        <v>3</v>
      </c>
      <c r="O551">
        <v>6</v>
      </c>
      <c r="P551">
        <v>9</v>
      </c>
    </row>
    <row r="552" spans="1:16" x14ac:dyDescent="0.25">
      <c r="A552" s="6">
        <v>550</v>
      </c>
      <c r="B552" s="9">
        <v>40568</v>
      </c>
      <c r="C552" s="6">
        <v>1</v>
      </c>
      <c r="D552" s="6">
        <v>0</v>
      </c>
      <c r="E552" s="6">
        <v>1</v>
      </c>
      <c r="F552" s="6">
        <v>1</v>
      </c>
      <c r="G552" s="6" t="b">
        <v>0</v>
      </c>
      <c r="H552" s="6">
        <v>2</v>
      </c>
      <c r="I552" s="6">
        <v>2</v>
      </c>
      <c r="J552" s="6">
        <v>0.16</v>
      </c>
      <c r="K552">
        <v>0.16669999999999999</v>
      </c>
      <c r="L552">
        <v>0.69</v>
      </c>
      <c r="M552">
        <v>0.16420000000000001</v>
      </c>
      <c r="N552">
        <v>0</v>
      </c>
      <c r="O552">
        <v>5</v>
      </c>
      <c r="P552">
        <v>5</v>
      </c>
    </row>
    <row r="553" spans="1:16" x14ac:dyDescent="0.25">
      <c r="A553" s="6">
        <v>551</v>
      </c>
      <c r="B553" s="9">
        <v>40568</v>
      </c>
      <c r="C553" s="6">
        <v>1</v>
      </c>
      <c r="D553" s="6">
        <v>0</v>
      </c>
      <c r="E553" s="6">
        <v>1</v>
      </c>
      <c r="F553" s="6">
        <v>2</v>
      </c>
      <c r="G553" s="6" t="b">
        <v>0</v>
      </c>
      <c r="H553" s="6">
        <v>2</v>
      </c>
      <c r="I553" s="6">
        <v>1</v>
      </c>
      <c r="J553" s="6">
        <v>0.16</v>
      </c>
      <c r="K553">
        <v>0.1515</v>
      </c>
      <c r="L553">
        <v>0.69</v>
      </c>
      <c r="M553">
        <v>0.22389999999999999</v>
      </c>
      <c r="N553">
        <v>0</v>
      </c>
      <c r="O553">
        <v>2</v>
      </c>
      <c r="P553">
        <v>2</v>
      </c>
    </row>
    <row r="554" spans="1:16" x14ac:dyDescent="0.25">
      <c r="A554" s="6">
        <v>552</v>
      </c>
      <c r="B554" s="9">
        <v>40568</v>
      </c>
      <c r="C554" s="6">
        <v>1</v>
      </c>
      <c r="D554" s="6">
        <v>0</v>
      </c>
      <c r="E554" s="6">
        <v>1</v>
      </c>
      <c r="F554" s="6">
        <v>4</v>
      </c>
      <c r="G554" s="6" t="b">
        <v>0</v>
      </c>
      <c r="H554" s="6">
        <v>2</v>
      </c>
      <c r="I554" s="6">
        <v>1</v>
      </c>
      <c r="J554" s="6">
        <v>0.14000000000000001</v>
      </c>
      <c r="K554">
        <v>0.16669999999999999</v>
      </c>
      <c r="L554">
        <v>0.74</v>
      </c>
      <c r="M554">
        <v>0.1045</v>
      </c>
      <c r="N554">
        <v>0</v>
      </c>
      <c r="O554">
        <v>1</v>
      </c>
      <c r="P554">
        <v>1</v>
      </c>
    </row>
    <row r="555" spans="1:16" x14ac:dyDescent="0.25">
      <c r="A555" s="6">
        <v>553</v>
      </c>
      <c r="B555" s="9">
        <v>40568</v>
      </c>
      <c r="C555" s="6">
        <v>1</v>
      </c>
      <c r="D555" s="6">
        <v>0</v>
      </c>
      <c r="E555" s="6">
        <v>1</v>
      </c>
      <c r="F555" s="6">
        <v>5</v>
      </c>
      <c r="G555" s="6" t="b">
        <v>0</v>
      </c>
      <c r="H555" s="6">
        <v>2</v>
      </c>
      <c r="I555" s="6">
        <v>1</v>
      </c>
      <c r="J555" s="6">
        <v>0.14000000000000001</v>
      </c>
      <c r="K555">
        <v>0.13639999999999999</v>
      </c>
      <c r="L555">
        <v>0.74</v>
      </c>
      <c r="M555">
        <v>0.22389999999999999</v>
      </c>
      <c r="N555">
        <v>0</v>
      </c>
      <c r="O555">
        <v>9</v>
      </c>
      <c r="P555">
        <v>9</v>
      </c>
    </row>
    <row r="556" spans="1:16" x14ac:dyDescent="0.25">
      <c r="A556" s="6">
        <v>554</v>
      </c>
      <c r="B556" s="9">
        <v>40568</v>
      </c>
      <c r="C556" s="6">
        <v>1</v>
      </c>
      <c r="D556" s="6">
        <v>0</v>
      </c>
      <c r="E556" s="6">
        <v>1</v>
      </c>
      <c r="F556" s="6">
        <v>6</v>
      </c>
      <c r="G556" s="6" t="b">
        <v>0</v>
      </c>
      <c r="H556" s="6">
        <v>2</v>
      </c>
      <c r="I556" s="6">
        <v>1</v>
      </c>
      <c r="J556" s="6">
        <v>0.16</v>
      </c>
      <c r="K556">
        <v>0.18179999999999999</v>
      </c>
      <c r="L556">
        <v>0.74</v>
      </c>
      <c r="M556">
        <v>0.1045</v>
      </c>
      <c r="N556">
        <v>1</v>
      </c>
      <c r="O556">
        <v>35</v>
      </c>
      <c r="P556">
        <v>36</v>
      </c>
    </row>
    <row r="557" spans="1:16" x14ac:dyDescent="0.25">
      <c r="A557" s="6">
        <v>555</v>
      </c>
      <c r="B557" s="9">
        <v>40568</v>
      </c>
      <c r="C557" s="6">
        <v>1</v>
      </c>
      <c r="D557" s="6">
        <v>0</v>
      </c>
      <c r="E557" s="6">
        <v>1</v>
      </c>
      <c r="F557" s="6">
        <v>7</v>
      </c>
      <c r="G557" s="6" t="b">
        <v>0</v>
      </c>
      <c r="H557" s="6">
        <v>2</v>
      </c>
      <c r="I557" s="6">
        <v>1</v>
      </c>
      <c r="J557" s="6">
        <v>0.16</v>
      </c>
      <c r="K557">
        <v>0.1515</v>
      </c>
      <c r="L557">
        <v>0.74</v>
      </c>
      <c r="M557">
        <v>0.22389999999999999</v>
      </c>
      <c r="N557">
        <v>5</v>
      </c>
      <c r="O557">
        <v>103</v>
      </c>
      <c r="P557">
        <v>108</v>
      </c>
    </row>
    <row r="558" spans="1:16" x14ac:dyDescent="0.25">
      <c r="A558" s="6">
        <v>556</v>
      </c>
      <c r="B558" s="9">
        <v>40568</v>
      </c>
      <c r="C558" s="6">
        <v>1</v>
      </c>
      <c r="D558" s="6">
        <v>0</v>
      </c>
      <c r="E558" s="6">
        <v>1</v>
      </c>
      <c r="F558" s="6">
        <v>8</v>
      </c>
      <c r="G558" s="6" t="b">
        <v>0</v>
      </c>
      <c r="H558" s="6">
        <v>2</v>
      </c>
      <c r="I558" s="6">
        <v>2</v>
      </c>
      <c r="J558" s="6">
        <v>0.16</v>
      </c>
      <c r="K558">
        <v>0.18179999999999999</v>
      </c>
      <c r="L558">
        <v>0.74</v>
      </c>
      <c r="M558">
        <v>0.1343</v>
      </c>
      <c r="N558">
        <v>5</v>
      </c>
      <c r="O558">
        <v>233</v>
      </c>
      <c r="P558">
        <v>238</v>
      </c>
    </row>
    <row r="559" spans="1:16" x14ac:dyDescent="0.25">
      <c r="A559" s="6">
        <v>557</v>
      </c>
      <c r="B559" s="9">
        <v>40568</v>
      </c>
      <c r="C559" s="6">
        <v>1</v>
      </c>
      <c r="D559" s="6">
        <v>0</v>
      </c>
      <c r="E559" s="6">
        <v>1</v>
      </c>
      <c r="F559" s="6">
        <v>9</v>
      </c>
      <c r="G559" s="6" t="b">
        <v>0</v>
      </c>
      <c r="H559" s="6">
        <v>2</v>
      </c>
      <c r="I559" s="6">
        <v>2</v>
      </c>
      <c r="J559" s="6">
        <v>0.2</v>
      </c>
      <c r="K559">
        <v>0.2273</v>
      </c>
      <c r="L559">
        <v>0.64</v>
      </c>
      <c r="M559">
        <v>8.9599999999999999E-2</v>
      </c>
      <c r="N559">
        <v>10</v>
      </c>
      <c r="O559">
        <v>134</v>
      </c>
      <c r="P559">
        <v>144</v>
      </c>
    </row>
    <row r="560" spans="1:16" x14ac:dyDescent="0.25">
      <c r="A560" s="6">
        <v>558</v>
      </c>
      <c r="B560" s="9">
        <v>40568</v>
      </c>
      <c r="C560" s="6">
        <v>1</v>
      </c>
      <c r="D560" s="6">
        <v>0</v>
      </c>
      <c r="E560" s="6">
        <v>1</v>
      </c>
      <c r="F560" s="6">
        <v>10</v>
      </c>
      <c r="G560" s="6" t="b">
        <v>0</v>
      </c>
      <c r="H560" s="6">
        <v>2</v>
      </c>
      <c r="I560" s="6">
        <v>2</v>
      </c>
      <c r="J560" s="6">
        <v>0.22</v>
      </c>
      <c r="K560">
        <v>0.2424</v>
      </c>
      <c r="L560">
        <v>0.6</v>
      </c>
      <c r="M560">
        <v>0.1045</v>
      </c>
      <c r="N560">
        <v>6</v>
      </c>
      <c r="O560">
        <v>49</v>
      </c>
      <c r="P560">
        <v>55</v>
      </c>
    </row>
    <row r="561" spans="1:16" x14ac:dyDescent="0.25">
      <c r="A561" s="6">
        <v>559</v>
      </c>
      <c r="B561" s="9">
        <v>40568</v>
      </c>
      <c r="C561" s="6">
        <v>1</v>
      </c>
      <c r="D561" s="6">
        <v>0</v>
      </c>
      <c r="E561" s="6">
        <v>1</v>
      </c>
      <c r="F561" s="6">
        <v>11</v>
      </c>
      <c r="G561" s="6" t="b">
        <v>0</v>
      </c>
      <c r="H561" s="6">
        <v>2</v>
      </c>
      <c r="I561" s="6">
        <v>2</v>
      </c>
      <c r="J561" s="6">
        <v>0.24</v>
      </c>
      <c r="K561">
        <v>0.2424</v>
      </c>
      <c r="L561">
        <v>0.6</v>
      </c>
      <c r="M561">
        <v>0.1343</v>
      </c>
      <c r="N561">
        <v>6</v>
      </c>
      <c r="O561">
        <v>55</v>
      </c>
      <c r="P561">
        <v>61</v>
      </c>
    </row>
    <row r="562" spans="1:16" x14ac:dyDescent="0.25">
      <c r="A562" s="6">
        <v>560</v>
      </c>
      <c r="B562" s="9">
        <v>40568</v>
      </c>
      <c r="C562" s="6">
        <v>1</v>
      </c>
      <c r="D562" s="6">
        <v>0</v>
      </c>
      <c r="E562" s="6">
        <v>1</v>
      </c>
      <c r="F562" s="6">
        <v>12</v>
      </c>
      <c r="G562" s="6" t="b">
        <v>0</v>
      </c>
      <c r="H562" s="6">
        <v>2</v>
      </c>
      <c r="I562" s="6">
        <v>2</v>
      </c>
      <c r="J562" s="6">
        <v>0.26</v>
      </c>
      <c r="K562">
        <v>0.28789999999999999</v>
      </c>
      <c r="L562">
        <v>0.56000000000000005</v>
      </c>
      <c r="M562">
        <v>8.9599999999999999E-2</v>
      </c>
      <c r="N562">
        <v>21</v>
      </c>
      <c r="O562">
        <v>85</v>
      </c>
      <c r="P562">
        <v>106</v>
      </c>
    </row>
    <row r="563" spans="1:16" x14ac:dyDescent="0.25">
      <c r="A563" s="6">
        <v>561</v>
      </c>
      <c r="B563" s="9">
        <v>40568</v>
      </c>
      <c r="C563" s="6">
        <v>1</v>
      </c>
      <c r="D563" s="6">
        <v>0</v>
      </c>
      <c r="E563" s="6">
        <v>1</v>
      </c>
      <c r="F563" s="6">
        <v>13</v>
      </c>
      <c r="G563" s="6" t="b">
        <v>0</v>
      </c>
      <c r="H563" s="6">
        <v>2</v>
      </c>
      <c r="I563" s="6">
        <v>2</v>
      </c>
      <c r="J563" s="6">
        <v>0.26</v>
      </c>
      <c r="K563">
        <v>0.2727</v>
      </c>
      <c r="L563">
        <v>0.56000000000000005</v>
      </c>
      <c r="M563">
        <v>0.1343</v>
      </c>
      <c r="N563">
        <v>21</v>
      </c>
      <c r="O563">
        <v>72</v>
      </c>
      <c r="P563">
        <v>93</v>
      </c>
    </row>
    <row r="564" spans="1:16" x14ac:dyDescent="0.25">
      <c r="A564" s="6">
        <v>562</v>
      </c>
      <c r="B564" s="9">
        <v>40568</v>
      </c>
      <c r="C564" s="6">
        <v>1</v>
      </c>
      <c r="D564" s="6">
        <v>0</v>
      </c>
      <c r="E564" s="6">
        <v>1</v>
      </c>
      <c r="F564" s="6">
        <v>14</v>
      </c>
      <c r="G564" s="6" t="b">
        <v>0</v>
      </c>
      <c r="H564" s="6">
        <v>2</v>
      </c>
      <c r="I564" s="6">
        <v>2</v>
      </c>
      <c r="J564" s="6">
        <v>0.3</v>
      </c>
      <c r="K564">
        <v>0.33329999999999999</v>
      </c>
      <c r="L564">
        <v>0.45</v>
      </c>
      <c r="M564">
        <v>0</v>
      </c>
      <c r="N564">
        <v>11</v>
      </c>
      <c r="O564">
        <v>57</v>
      </c>
      <c r="P564">
        <v>68</v>
      </c>
    </row>
    <row r="565" spans="1:16" x14ac:dyDescent="0.25">
      <c r="A565" s="6">
        <v>563</v>
      </c>
      <c r="B565" s="9">
        <v>40568</v>
      </c>
      <c r="C565" s="6">
        <v>1</v>
      </c>
      <c r="D565" s="6">
        <v>0</v>
      </c>
      <c r="E565" s="6">
        <v>1</v>
      </c>
      <c r="F565" s="6">
        <v>15</v>
      </c>
      <c r="G565" s="6" t="b">
        <v>0</v>
      </c>
      <c r="H565" s="6">
        <v>2</v>
      </c>
      <c r="I565" s="6">
        <v>2</v>
      </c>
      <c r="J565" s="6">
        <v>0.32</v>
      </c>
      <c r="K565">
        <v>0.34849999999999998</v>
      </c>
      <c r="L565">
        <v>0.42</v>
      </c>
      <c r="M565">
        <v>0</v>
      </c>
      <c r="N565">
        <v>21</v>
      </c>
      <c r="O565">
        <v>63</v>
      </c>
      <c r="P565">
        <v>84</v>
      </c>
    </row>
    <row r="566" spans="1:16" x14ac:dyDescent="0.25">
      <c r="A566" s="6">
        <v>564</v>
      </c>
      <c r="B566" s="9">
        <v>40568</v>
      </c>
      <c r="C566" s="6">
        <v>1</v>
      </c>
      <c r="D566" s="6">
        <v>0</v>
      </c>
      <c r="E566" s="6">
        <v>1</v>
      </c>
      <c r="F566" s="6">
        <v>16</v>
      </c>
      <c r="G566" s="6" t="b">
        <v>0</v>
      </c>
      <c r="H566" s="6">
        <v>2</v>
      </c>
      <c r="I566" s="6">
        <v>2</v>
      </c>
      <c r="J566" s="6">
        <v>0.32</v>
      </c>
      <c r="K566">
        <v>0.34849999999999998</v>
      </c>
      <c r="L566">
        <v>0.42</v>
      </c>
      <c r="M566">
        <v>0</v>
      </c>
      <c r="N566">
        <v>14</v>
      </c>
      <c r="O566">
        <v>102</v>
      </c>
      <c r="P566">
        <v>116</v>
      </c>
    </row>
    <row r="567" spans="1:16" x14ac:dyDescent="0.25">
      <c r="A567" s="6">
        <v>565</v>
      </c>
      <c r="B567" s="9">
        <v>40568</v>
      </c>
      <c r="C567" s="6">
        <v>1</v>
      </c>
      <c r="D567" s="6">
        <v>0</v>
      </c>
      <c r="E567" s="6">
        <v>1</v>
      </c>
      <c r="F567" s="6">
        <v>17</v>
      </c>
      <c r="G567" s="6" t="b">
        <v>0</v>
      </c>
      <c r="H567" s="6">
        <v>2</v>
      </c>
      <c r="I567" s="6">
        <v>1</v>
      </c>
      <c r="J567" s="6">
        <v>0.3</v>
      </c>
      <c r="K567">
        <v>0.33329999999999999</v>
      </c>
      <c r="L567">
        <v>0.45</v>
      </c>
      <c r="M567">
        <v>0</v>
      </c>
      <c r="N567">
        <v>14</v>
      </c>
      <c r="O567">
        <v>208</v>
      </c>
      <c r="P567">
        <v>222</v>
      </c>
    </row>
    <row r="568" spans="1:16" x14ac:dyDescent="0.25">
      <c r="A568" s="6">
        <v>566</v>
      </c>
      <c r="B568" s="9">
        <v>40568</v>
      </c>
      <c r="C568" s="6">
        <v>1</v>
      </c>
      <c r="D568" s="6">
        <v>0</v>
      </c>
      <c r="E568" s="6">
        <v>1</v>
      </c>
      <c r="F568" s="6">
        <v>18</v>
      </c>
      <c r="G568" s="6" t="b">
        <v>0</v>
      </c>
      <c r="H568" s="6">
        <v>2</v>
      </c>
      <c r="I568" s="6">
        <v>2</v>
      </c>
      <c r="J568" s="6">
        <v>0.3</v>
      </c>
      <c r="K568">
        <v>0.31819999999999998</v>
      </c>
      <c r="L568">
        <v>0.49</v>
      </c>
      <c r="M568">
        <v>8.9599999999999999E-2</v>
      </c>
      <c r="N568">
        <v>7</v>
      </c>
      <c r="O568">
        <v>218</v>
      </c>
      <c r="P568">
        <v>225</v>
      </c>
    </row>
    <row r="569" spans="1:16" x14ac:dyDescent="0.25">
      <c r="A569" s="6">
        <v>567</v>
      </c>
      <c r="B569" s="9">
        <v>40568</v>
      </c>
      <c r="C569" s="6">
        <v>1</v>
      </c>
      <c r="D569" s="6">
        <v>0</v>
      </c>
      <c r="E569" s="6">
        <v>1</v>
      </c>
      <c r="F569" s="6">
        <v>19</v>
      </c>
      <c r="G569" s="6" t="b">
        <v>0</v>
      </c>
      <c r="H569" s="6">
        <v>2</v>
      </c>
      <c r="I569" s="6">
        <v>2</v>
      </c>
      <c r="J569" s="6">
        <v>0.26</v>
      </c>
      <c r="K569">
        <v>0.2576</v>
      </c>
      <c r="L569">
        <v>0.65</v>
      </c>
      <c r="M569">
        <v>0.16420000000000001</v>
      </c>
      <c r="N569">
        <v>13</v>
      </c>
      <c r="O569">
        <v>133</v>
      </c>
      <c r="P569">
        <v>146</v>
      </c>
    </row>
    <row r="570" spans="1:16" x14ac:dyDescent="0.25">
      <c r="A570" s="6">
        <v>568</v>
      </c>
      <c r="B570" s="9">
        <v>40568</v>
      </c>
      <c r="C570" s="6">
        <v>1</v>
      </c>
      <c r="D570" s="6">
        <v>0</v>
      </c>
      <c r="E570" s="6">
        <v>1</v>
      </c>
      <c r="F570" s="6">
        <v>20</v>
      </c>
      <c r="G570" s="6" t="b">
        <v>0</v>
      </c>
      <c r="H570" s="6">
        <v>2</v>
      </c>
      <c r="I570" s="6">
        <v>1</v>
      </c>
      <c r="J570" s="6">
        <v>0.24</v>
      </c>
      <c r="K570">
        <v>0.2273</v>
      </c>
      <c r="L570">
        <v>0.65</v>
      </c>
      <c r="M570">
        <v>0.19400000000000001</v>
      </c>
      <c r="N570">
        <v>16</v>
      </c>
      <c r="O570">
        <v>103</v>
      </c>
      <c r="P570">
        <v>119</v>
      </c>
    </row>
    <row r="571" spans="1:16" x14ac:dyDescent="0.25">
      <c r="A571" s="6">
        <v>569</v>
      </c>
      <c r="B571" s="9">
        <v>40568</v>
      </c>
      <c r="C571" s="6">
        <v>1</v>
      </c>
      <c r="D571" s="6">
        <v>0</v>
      </c>
      <c r="E571" s="6">
        <v>1</v>
      </c>
      <c r="F571" s="6">
        <v>21</v>
      </c>
      <c r="G571" s="6" t="b">
        <v>0</v>
      </c>
      <c r="H571" s="6">
        <v>2</v>
      </c>
      <c r="I571" s="6">
        <v>1</v>
      </c>
      <c r="J571" s="6">
        <v>0.24</v>
      </c>
      <c r="K571">
        <v>0.2273</v>
      </c>
      <c r="L571">
        <v>0.65</v>
      </c>
      <c r="M571">
        <v>0.19400000000000001</v>
      </c>
      <c r="N571">
        <v>5</v>
      </c>
      <c r="O571">
        <v>40</v>
      </c>
      <c r="P571">
        <v>45</v>
      </c>
    </row>
    <row r="572" spans="1:16" x14ac:dyDescent="0.25">
      <c r="A572" s="6">
        <v>570</v>
      </c>
      <c r="B572" s="9">
        <v>40568</v>
      </c>
      <c r="C572" s="6">
        <v>1</v>
      </c>
      <c r="D572" s="6">
        <v>0</v>
      </c>
      <c r="E572" s="6">
        <v>1</v>
      </c>
      <c r="F572" s="6">
        <v>22</v>
      </c>
      <c r="G572" s="6" t="b">
        <v>0</v>
      </c>
      <c r="H572" s="6">
        <v>2</v>
      </c>
      <c r="I572" s="6">
        <v>1</v>
      </c>
      <c r="J572" s="6">
        <v>0.22</v>
      </c>
      <c r="K572">
        <v>0.2273</v>
      </c>
      <c r="L572">
        <v>0.64</v>
      </c>
      <c r="M572">
        <v>0.16420000000000001</v>
      </c>
      <c r="N572">
        <v>4</v>
      </c>
      <c r="O572">
        <v>49</v>
      </c>
      <c r="P572">
        <v>53</v>
      </c>
    </row>
    <row r="573" spans="1:16" x14ac:dyDescent="0.25">
      <c r="A573" s="6">
        <v>571</v>
      </c>
      <c r="B573" s="9">
        <v>40568</v>
      </c>
      <c r="C573" s="6">
        <v>1</v>
      </c>
      <c r="D573" s="6">
        <v>0</v>
      </c>
      <c r="E573" s="6">
        <v>1</v>
      </c>
      <c r="F573" s="6">
        <v>23</v>
      </c>
      <c r="G573" s="6" t="b">
        <v>0</v>
      </c>
      <c r="H573" s="6">
        <v>2</v>
      </c>
      <c r="I573" s="6">
        <v>2</v>
      </c>
      <c r="J573" s="6">
        <v>0.22</v>
      </c>
      <c r="K573">
        <v>0.2273</v>
      </c>
      <c r="L573">
        <v>0.64</v>
      </c>
      <c r="M573">
        <v>0.16420000000000001</v>
      </c>
      <c r="N573">
        <v>3</v>
      </c>
      <c r="O573">
        <v>37</v>
      </c>
      <c r="P573">
        <v>40</v>
      </c>
    </row>
    <row r="574" spans="1:16" x14ac:dyDescent="0.25">
      <c r="A574" s="6">
        <v>572</v>
      </c>
      <c r="B574" s="9">
        <v>40569</v>
      </c>
      <c r="C574" s="6">
        <v>1</v>
      </c>
      <c r="D574" s="6">
        <v>0</v>
      </c>
      <c r="E574" s="6">
        <v>1</v>
      </c>
      <c r="F574" s="6">
        <v>0</v>
      </c>
      <c r="G574" s="6" t="b">
        <v>0</v>
      </c>
      <c r="H574" s="6">
        <v>3</v>
      </c>
      <c r="I574" s="6">
        <v>2</v>
      </c>
      <c r="J574" s="6">
        <v>0.22</v>
      </c>
      <c r="K574">
        <v>0.2273</v>
      </c>
      <c r="L574">
        <v>0.69</v>
      </c>
      <c r="M574">
        <v>0.1343</v>
      </c>
      <c r="N574">
        <v>3</v>
      </c>
      <c r="O574">
        <v>14</v>
      </c>
      <c r="P574">
        <v>17</v>
      </c>
    </row>
    <row r="575" spans="1:16" x14ac:dyDescent="0.25">
      <c r="A575" s="6">
        <v>573</v>
      </c>
      <c r="B575" s="9">
        <v>40569</v>
      </c>
      <c r="C575" s="6">
        <v>1</v>
      </c>
      <c r="D575" s="6">
        <v>0</v>
      </c>
      <c r="E575" s="6">
        <v>1</v>
      </c>
      <c r="F575" s="6">
        <v>1</v>
      </c>
      <c r="G575" s="6" t="b">
        <v>0</v>
      </c>
      <c r="H575" s="6">
        <v>3</v>
      </c>
      <c r="I575" s="6">
        <v>2</v>
      </c>
      <c r="J575" s="6">
        <v>0.24</v>
      </c>
      <c r="K575">
        <v>0.2424</v>
      </c>
      <c r="L575">
        <v>0.65</v>
      </c>
      <c r="M575">
        <v>0.1343</v>
      </c>
      <c r="N575">
        <v>0</v>
      </c>
      <c r="O575">
        <v>5</v>
      </c>
      <c r="P575">
        <v>5</v>
      </c>
    </row>
    <row r="576" spans="1:16" x14ac:dyDescent="0.25">
      <c r="A576" s="6">
        <v>574</v>
      </c>
      <c r="B576" s="9">
        <v>40569</v>
      </c>
      <c r="C576" s="6">
        <v>1</v>
      </c>
      <c r="D576" s="6">
        <v>0</v>
      </c>
      <c r="E576" s="6">
        <v>1</v>
      </c>
      <c r="F576" s="6">
        <v>2</v>
      </c>
      <c r="G576" s="6" t="b">
        <v>0</v>
      </c>
      <c r="H576" s="6">
        <v>3</v>
      </c>
      <c r="I576" s="6">
        <v>3</v>
      </c>
      <c r="J576" s="6">
        <v>0.22</v>
      </c>
      <c r="K576">
        <v>0.2273</v>
      </c>
      <c r="L576">
        <v>0.69</v>
      </c>
      <c r="M576">
        <v>0.19400000000000001</v>
      </c>
      <c r="N576">
        <v>3</v>
      </c>
      <c r="O576">
        <v>7</v>
      </c>
      <c r="P576">
        <v>10</v>
      </c>
    </row>
    <row r="577" spans="1:16" x14ac:dyDescent="0.25">
      <c r="A577" s="6">
        <v>575</v>
      </c>
      <c r="B577" s="9">
        <v>40569</v>
      </c>
      <c r="C577" s="6">
        <v>1</v>
      </c>
      <c r="D577" s="6">
        <v>0</v>
      </c>
      <c r="E577" s="6">
        <v>1</v>
      </c>
      <c r="F577" s="6">
        <v>5</v>
      </c>
      <c r="G577" s="6" t="b">
        <v>0</v>
      </c>
      <c r="H577" s="6">
        <v>3</v>
      </c>
      <c r="I577" s="6">
        <v>3</v>
      </c>
      <c r="J577" s="6">
        <v>0.2</v>
      </c>
      <c r="K577">
        <v>0.18179999999999999</v>
      </c>
      <c r="L577">
        <v>0.86</v>
      </c>
      <c r="M577">
        <v>0.28360000000000002</v>
      </c>
      <c r="N577">
        <v>0</v>
      </c>
      <c r="O577">
        <v>1</v>
      </c>
      <c r="P577">
        <v>1</v>
      </c>
    </row>
    <row r="578" spans="1:16" x14ac:dyDescent="0.25">
      <c r="A578" s="6">
        <v>576</v>
      </c>
      <c r="B578" s="9">
        <v>40569</v>
      </c>
      <c r="C578" s="6">
        <v>1</v>
      </c>
      <c r="D578" s="6">
        <v>0</v>
      </c>
      <c r="E578" s="6">
        <v>1</v>
      </c>
      <c r="F578" s="6">
        <v>6</v>
      </c>
      <c r="G578" s="6" t="b">
        <v>0</v>
      </c>
      <c r="H578" s="6">
        <v>3</v>
      </c>
      <c r="I578" s="6">
        <v>3</v>
      </c>
      <c r="J578" s="6">
        <v>0.2</v>
      </c>
      <c r="K578">
        <v>0.18179999999999999</v>
      </c>
      <c r="L578">
        <v>0.86</v>
      </c>
      <c r="M578">
        <v>0.28360000000000002</v>
      </c>
      <c r="N578">
        <v>0</v>
      </c>
      <c r="O578">
        <v>8</v>
      </c>
      <c r="P578">
        <v>8</v>
      </c>
    </row>
    <row r="579" spans="1:16" x14ac:dyDescent="0.25">
      <c r="A579" s="6">
        <v>577</v>
      </c>
      <c r="B579" s="9">
        <v>40569</v>
      </c>
      <c r="C579" s="6">
        <v>1</v>
      </c>
      <c r="D579" s="6">
        <v>0</v>
      </c>
      <c r="E579" s="6">
        <v>1</v>
      </c>
      <c r="F579" s="6">
        <v>7</v>
      </c>
      <c r="G579" s="6" t="b">
        <v>0</v>
      </c>
      <c r="H579" s="6">
        <v>3</v>
      </c>
      <c r="I579" s="6">
        <v>3</v>
      </c>
      <c r="J579" s="6">
        <v>0.22</v>
      </c>
      <c r="K579">
        <v>0.21210000000000001</v>
      </c>
      <c r="L579">
        <v>0.87</v>
      </c>
      <c r="M579">
        <v>0.29849999999999999</v>
      </c>
      <c r="N579">
        <v>1</v>
      </c>
      <c r="O579">
        <v>29</v>
      </c>
      <c r="P579">
        <v>30</v>
      </c>
    </row>
    <row r="580" spans="1:16" x14ac:dyDescent="0.25">
      <c r="A580" s="6">
        <v>578</v>
      </c>
      <c r="B580" s="9">
        <v>40569</v>
      </c>
      <c r="C580" s="6">
        <v>1</v>
      </c>
      <c r="D580" s="6">
        <v>0</v>
      </c>
      <c r="E580" s="6">
        <v>1</v>
      </c>
      <c r="F580" s="6">
        <v>8</v>
      </c>
      <c r="G580" s="6" t="b">
        <v>0</v>
      </c>
      <c r="H580" s="6">
        <v>3</v>
      </c>
      <c r="I580" s="6">
        <v>3</v>
      </c>
      <c r="J580" s="6">
        <v>0.22</v>
      </c>
      <c r="K580">
        <v>0.21210000000000001</v>
      </c>
      <c r="L580">
        <v>0.87</v>
      </c>
      <c r="M580">
        <v>0.29849999999999999</v>
      </c>
      <c r="N580">
        <v>3</v>
      </c>
      <c r="O580">
        <v>69</v>
      </c>
      <c r="P580">
        <v>72</v>
      </c>
    </row>
    <row r="581" spans="1:16" x14ac:dyDescent="0.25">
      <c r="A581" s="6">
        <v>579</v>
      </c>
      <c r="B581" s="9">
        <v>40569</v>
      </c>
      <c r="C581" s="6">
        <v>1</v>
      </c>
      <c r="D581" s="6">
        <v>0</v>
      </c>
      <c r="E581" s="6">
        <v>1</v>
      </c>
      <c r="F581" s="6">
        <v>9</v>
      </c>
      <c r="G581" s="6" t="b">
        <v>0</v>
      </c>
      <c r="H581" s="6">
        <v>3</v>
      </c>
      <c r="I581" s="6">
        <v>3</v>
      </c>
      <c r="J581" s="6">
        <v>0.22</v>
      </c>
      <c r="K581">
        <v>0.21210000000000001</v>
      </c>
      <c r="L581">
        <v>0.87</v>
      </c>
      <c r="M581">
        <v>0.29849999999999999</v>
      </c>
      <c r="N581">
        <v>3</v>
      </c>
      <c r="O581">
        <v>55</v>
      </c>
      <c r="P581">
        <v>58</v>
      </c>
    </row>
    <row r="582" spans="1:16" x14ac:dyDescent="0.25">
      <c r="A582" s="6">
        <v>580</v>
      </c>
      <c r="B582" s="9">
        <v>40569</v>
      </c>
      <c r="C582" s="6">
        <v>1</v>
      </c>
      <c r="D582" s="6">
        <v>0</v>
      </c>
      <c r="E582" s="6">
        <v>1</v>
      </c>
      <c r="F582" s="6">
        <v>10</v>
      </c>
      <c r="G582" s="6" t="b">
        <v>0</v>
      </c>
      <c r="H582" s="6">
        <v>3</v>
      </c>
      <c r="I582" s="6">
        <v>3</v>
      </c>
      <c r="J582" s="6">
        <v>0.22</v>
      </c>
      <c r="K582">
        <v>0.21210000000000001</v>
      </c>
      <c r="L582">
        <v>0.93</v>
      </c>
      <c r="M582">
        <v>0.28360000000000002</v>
      </c>
      <c r="N582">
        <v>2</v>
      </c>
      <c r="O582">
        <v>26</v>
      </c>
      <c r="P582">
        <v>28</v>
      </c>
    </row>
    <row r="583" spans="1:16" x14ac:dyDescent="0.25">
      <c r="A583" s="6">
        <v>581</v>
      </c>
      <c r="B583" s="9">
        <v>40569</v>
      </c>
      <c r="C583" s="6">
        <v>1</v>
      </c>
      <c r="D583" s="6">
        <v>0</v>
      </c>
      <c r="E583" s="6">
        <v>1</v>
      </c>
      <c r="F583" s="6">
        <v>11</v>
      </c>
      <c r="G583" s="6" t="b">
        <v>0</v>
      </c>
      <c r="H583" s="6">
        <v>3</v>
      </c>
      <c r="I583" s="6">
        <v>3</v>
      </c>
      <c r="J583" s="6">
        <v>0.22</v>
      </c>
      <c r="K583">
        <v>0.19700000000000001</v>
      </c>
      <c r="L583">
        <v>0.93</v>
      </c>
      <c r="M583">
        <v>0.32840000000000003</v>
      </c>
      <c r="N583">
        <v>6</v>
      </c>
      <c r="O583">
        <v>35</v>
      </c>
      <c r="P583">
        <v>41</v>
      </c>
    </row>
    <row r="584" spans="1:16" x14ac:dyDescent="0.25">
      <c r="A584" s="6">
        <v>582</v>
      </c>
      <c r="B584" s="9">
        <v>40569</v>
      </c>
      <c r="C584" s="6">
        <v>1</v>
      </c>
      <c r="D584" s="6">
        <v>0</v>
      </c>
      <c r="E584" s="6">
        <v>1</v>
      </c>
      <c r="F584" s="6">
        <v>12</v>
      </c>
      <c r="G584" s="6" t="b">
        <v>0</v>
      </c>
      <c r="H584" s="6">
        <v>3</v>
      </c>
      <c r="I584" s="6">
        <v>3</v>
      </c>
      <c r="J584" s="6">
        <v>0.22</v>
      </c>
      <c r="K584">
        <v>0.19700000000000001</v>
      </c>
      <c r="L584">
        <v>0.93</v>
      </c>
      <c r="M584">
        <v>0.32840000000000003</v>
      </c>
      <c r="N584">
        <v>7</v>
      </c>
      <c r="O584">
        <v>41</v>
      </c>
      <c r="P584">
        <v>48</v>
      </c>
    </row>
    <row r="585" spans="1:16" x14ac:dyDescent="0.25">
      <c r="A585" s="6">
        <v>583</v>
      </c>
      <c r="B585" s="9">
        <v>40569</v>
      </c>
      <c r="C585" s="6">
        <v>1</v>
      </c>
      <c r="D585" s="6">
        <v>0</v>
      </c>
      <c r="E585" s="6">
        <v>1</v>
      </c>
      <c r="F585" s="6">
        <v>13</v>
      </c>
      <c r="G585" s="6" t="b">
        <v>0</v>
      </c>
      <c r="H585" s="6">
        <v>3</v>
      </c>
      <c r="I585" s="6">
        <v>3</v>
      </c>
      <c r="J585" s="6">
        <v>0.22</v>
      </c>
      <c r="K585">
        <v>0.19700000000000001</v>
      </c>
      <c r="L585">
        <v>0.93</v>
      </c>
      <c r="M585">
        <v>0.32840000000000003</v>
      </c>
      <c r="N585">
        <v>4</v>
      </c>
      <c r="O585">
        <v>43</v>
      </c>
      <c r="P585">
        <v>47</v>
      </c>
    </row>
    <row r="586" spans="1:16" x14ac:dyDescent="0.25">
      <c r="A586" s="6">
        <v>584</v>
      </c>
      <c r="B586" s="9">
        <v>40569</v>
      </c>
      <c r="C586" s="6">
        <v>1</v>
      </c>
      <c r="D586" s="6">
        <v>0</v>
      </c>
      <c r="E586" s="6">
        <v>1</v>
      </c>
      <c r="F586" s="6">
        <v>14</v>
      </c>
      <c r="G586" s="6" t="b">
        <v>0</v>
      </c>
      <c r="H586" s="6">
        <v>3</v>
      </c>
      <c r="I586" s="6">
        <v>3</v>
      </c>
      <c r="J586" s="6">
        <v>0.22</v>
      </c>
      <c r="K586">
        <v>0.19700000000000001</v>
      </c>
      <c r="L586">
        <v>0.93</v>
      </c>
      <c r="M586">
        <v>0.35820000000000002</v>
      </c>
      <c r="N586">
        <v>0</v>
      </c>
      <c r="O586">
        <v>36</v>
      </c>
      <c r="P586">
        <v>36</v>
      </c>
    </row>
    <row r="587" spans="1:16" x14ac:dyDescent="0.25">
      <c r="A587" s="6">
        <v>585</v>
      </c>
      <c r="B587" s="9">
        <v>40569</v>
      </c>
      <c r="C587" s="6">
        <v>1</v>
      </c>
      <c r="D587" s="6">
        <v>0</v>
      </c>
      <c r="E587" s="6">
        <v>1</v>
      </c>
      <c r="F587" s="6">
        <v>15</v>
      </c>
      <c r="G587" s="6" t="b">
        <v>0</v>
      </c>
      <c r="H587" s="6">
        <v>3</v>
      </c>
      <c r="I587" s="6">
        <v>3</v>
      </c>
      <c r="J587" s="6">
        <v>0.22</v>
      </c>
      <c r="K587">
        <v>0.18179999999999999</v>
      </c>
      <c r="L587">
        <v>0.93</v>
      </c>
      <c r="M587">
        <v>0.4627</v>
      </c>
      <c r="N587">
        <v>1</v>
      </c>
      <c r="O587">
        <v>42</v>
      </c>
      <c r="P587">
        <v>43</v>
      </c>
    </row>
    <row r="588" spans="1:16" x14ac:dyDescent="0.25">
      <c r="A588" s="6">
        <v>586</v>
      </c>
      <c r="B588" s="9">
        <v>40569</v>
      </c>
      <c r="C588" s="6">
        <v>1</v>
      </c>
      <c r="D588" s="6">
        <v>0</v>
      </c>
      <c r="E588" s="6">
        <v>1</v>
      </c>
      <c r="F588" s="6">
        <v>16</v>
      </c>
      <c r="G588" s="6" t="b">
        <v>0</v>
      </c>
      <c r="H588" s="6">
        <v>3</v>
      </c>
      <c r="I588" s="6">
        <v>4</v>
      </c>
      <c r="J588" s="6">
        <v>0.22</v>
      </c>
      <c r="K588">
        <v>0.19700000000000001</v>
      </c>
      <c r="L588">
        <v>0.93</v>
      </c>
      <c r="M588">
        <v>0.32840000000000003</v>
      </c>
      <c r="N588">
        <v>1</v>
      </c>
      <c r="O588">
        <v>35</v>
      </c>
      <c r="P588">
        <v>36</v>
      </c>
    </row>
    <row r="589" spans="1:16" x14ac:dyDescent="0.25">
      <c r="A589" s="6">
        <v>587</v>
      </c>
      <c r="B589" s="9">
        <v>40569</v>
      </c>
      <c r="C589" s="6">
        <v>1</v>
      </c>
      <c r="D589" s="6">
        <v>0</v>
      </c>
      <c r="E589" s="6">
        <v>1</v>
      </c>
      <c r="F589" s="6">
        <v>17</v>
      </c>
      <c r="G589" s="6" t="b">
        <v>0</v>
      </c>
      <c r="H589" s="6">
        <v>3</v>
      </c>
      <c r="I589" s="6">
        <v>3</v>
      </c>
      <c r="J589" s="6">
        <v>0.2</v>
      </c>
      <c r="K589">
        <v>0.18179999999999999</v>
      </c>
      <c r="L589">
        <v>0.93</v>
      </c>
      <c r="M589">
        <v>0.35820000000000002</v>
      </c>
      <c r="N589">
        <v>0</v>
      </c>
      <c r="O589">
        <v>26</v>
      </c>
      <c r="P589">
        <v>26</v>
      </c>
    </row>
    <row r="590" spans="1:16" x14ac:dyDescent="0.25">
      <c r="A590" s="6">
        <v>588</v>
      </c>
      <c r="B590" s="9">
        <v>40570</v>
      </c>
      <c r="C590" s="6">
        <v>1</v>
      </c>
      <c r="D590" s="6">
        <v>0</v>
      </c>
      <c r="E590" s="6">
        <v>1</v>
      </c>
      <c r="F590" s="6">
        <v>16</v>
      </c>
      <c r="G590" s="6" t="b">
        <v>0</v>
      </c>
      <c r="H590" s="6">
        <v>4</v>
      </c>
      <c r="I590" s="6">
        <v>1</v>
      </c>
      <c r="J590" s="6">
        <v>0.22</v>
      </c>
      <c r="K590">
        <v>0.2273</v>
      </c>
      <c r="L590">
        <v>0.55000000000000004</v>
      </c>
      <c r="M590">
        <v>0.19400000000000001</v>
      </c>
      <c r="N590">
        <v>1</v>
      </c>
      <c r="O590">
        <v>23</v>
      </c>
      <c r="P590">
        <v>24</v>
      </c>
    </row>
    <row r="591" spans="1:16" x14ac:dyDescent="0.25">
      <c r="A591" s="6">
        <v>589</v>
      </c>
      <c r="B591" s="9">
        <v>40570</v>
      </c>
      <c r="C591" s="6">
        <v>1</v>
      </c>
      <c r="D591" s="6">
        <v>0</v>
      </c>
      <c r="E591" s="6">
        <v>1</v>
      </c>
      <c r="F591" s="6">
        <v>17</v>
      </c>
      <c r="G591" s="6" t="b">
        <v>0</v>
      </c>
      <c r="H591" s="6">
        <v>4</v>
      </c>
      <c r="I591" s="6">
        <v>1</v>
      </c>
      <c r="J591" s="6">
        <v>0.22</v>
      </c>
      <c r="K591">
        <v>0.2424</v>
      </c>
      <c r="L591">
        <v>0.55000000000000004</v>
      </c>
      <c r="M591">
        <v>0.1045</v>
      </c>
      <c r="N591">
        <v>2</v>
      </c>
      <c r="O591">
        <v>82</v>
      </c>
      <c r="P591">
        <v>84</v>
      </c>
    </row>
    <row r="592" spans="1:16" x14ac:dyDescent="0.25">
      <c r="A592" s="6">
        <v>590</v>
      </c>
      <c r="B592" s="9">
        <v>40570</v>
      </c>
      <c r="C592" s="6">
        <v>1</v>
      </c>
      <c r="D592" s="6">
        <v>0</v>
      </c>
      <c r="E592" s="6">
        <v>1</v>
      </c>
      <c r="F592" s="6">
        <v>18</v>
      </c>
      <c r="G592" s="6" t="b">
        <v>0</v>
      </c>
      <c r="H592" s="6">
        <v>4</v>
      </c>
      <c r="I592" s="6">
        <v>1</v>
      </c>
      <c r="J592" s="6">
        <v>0.2</v>
      </c>
      <c r="K592">
        <v>0.2273</v>
      </c>
      <c r="L592">
        <v>0.69</v>
      </c>
      <c r="M592">
        <v>8.9599999999999999E-2</v>
      </c>
      <c r="N592">
        <v>3</v>
      </c>
      <c r="O592">
        <v>101</v>
      </c>
      <c r="P592">
        <v>104</v>
      </c>
    </row>
    <row r="593" spans="1:16" x14ac:dyDescent="0.25">
      <c r="A593" s="6">
        <v>591</v>
      </c>
      <c r="B593" s="9">
        <v>40570</v>
      </c>
      <c r="C593" s="6">
        <v>1</v>
      </c>
      <c r="D593" s="6">
        <v>0</v>
      </c>
      <c r="E593" s="6">
        <v>1</v>
      </c>
      <c r="F593" s="6">
        <v>19</v>
      </c>
      <c r="G593" s="6" t="b">
        <v>0</v>
      </c>
      <c r="H593" s="6">
        <v>4</v>
      </c>
      <c r="I593" s="6">
        <v>1</v>
      </c>
      <c r="J593" s="6">
        <v>0.2</v>
      </c>
      <c r="K593">
        <v>0.2273</v>
      </c>
      <c r="L593">
        <v>0.69</v>
      </c>
      <c r="M593">
        <v>8.9599999999999999E-2</v>
      </c>
      <c r="N593">
        <v>3</v>
      </c>
      <c r="O593">
        <v>76</v>
      </c>
      <c r="P593">
        <v>79</v>
      </c>
    </row>
    <row r="594" spans="1:16" x14ac:dyDescent="0.25">
      <c r="A594" s="6">
        <v>592</v>
      </c>
      <c r="B594" s="9">
        <v>40570</v>
      </c>
      <c r="C594" s="6">
        <v>1</v>
      </c>
      <c r="D594" s="6">
        <v>0</v>
      </c>
      <c r="E594" s="6">
        <v>1</v>
      </c>
      <c r="F594" s="6">
        <v>20</v>
      </c>
      <c r="G594" s="6" t="b">
        <v>0</v>
      </c>
      <c r="H594" s="6">
        <v>4</v>
      </c>
      <c r="I594" s="6">
        <v>1</v>
      </c>
      <c r="J594" s="6">
        <v>0.18</v>
      </c>
      <c r="K594">
        <v>0.21210000000000001</v>
      </c>
      <c r="L594">
        <v>0.74</v>
      </c>
      <c r="M594">
        <v>8.9599999999999999E-2</v>
      </c>
      <c r="N594">
        <v>4</v>
      </c>
      <c r="O594">
        <v>55</v>
      </c>
      <c r="P594">
        <v>59</v>
      </c>
    </row>
    <row r="595" spans="1:16" x14ac:dyDescent="0.25">
      <c r="A595" s="6">
        <v>593</v>
      </c>
      <c r="B595" s="9">
        <v>40570</v>
      </c>
      <c r="C595" s="6">
        <v>1</v>
      </c>
      <c r="D595" s="6">
        <v>0</v>
      </c>
      <c r="E595" s="6">
        <v>1</v>
      </c>
      <c r="F595" s="6">
        <v>21</v>
      </c>
      <c r="G595" s="6" t="b">
        <v>0</v>
      </c>
      <c r="H595" s="6">
        <v>4</v>
      </c>
      <c r="I595" s="6">
        <v>1</v>
      </c>
      <c r="J595" s="6">
        <v>0.18</v>
      </c>
      <c r="K595">
        <v>0.21210000000000001</v>
      </c>
      <c r="L595">
        <v>0.74</v>
      </c>
      <c r="M595">
        <v>8.9599999999999999E-2</v>
      </c>
      <c r="N595">
        <v>2</v>
      </c>
      <c r="O595">
        <v>36</v>
      </c>
      <c r="P595">
        <v>38</v>
      </c>
    </row>
    <row r="596" spans="1:16" x14ac:dyDescent="0.25">
      <c r="A596" s="6">
        <v>594</v>
      </c>
      <c r="B596" s="9">
        <v>40570</v>
      </c>
      <c r="C596" s="6">
        <v>1</v>
      </c>
      <c r="D596" s="6">
        <v>0</v>
      </c>
      <c r="E596" s="6">
        <v>1</v>
      </c>
      <c r="F596" s="6">
        <v>22</v>
      </c>
      <c r="G596" s="6" t="b">
        <v>0</v>
      </c>
      <c r="H596" s="6">
        <v>4</v>
      </c>
      <c r="I596" s="6">
        <v>1</v>
      </c>
      <c r="J596" s="6">
        <v>0.18</v>
      </c>
      <c r="K596">
        <v>0.21210000000000001</v>
      </c>
      <c r="L596">
        <v>0.74</v>
      </c>
      <c r="M596">
        <v>8.9599999999999999E-2</v>
      </c>
      <c r="N596">
        <v>0</v>
      </c>
      <c r="O596">
        <v>27</v>
      </c>
      <c r="P596">
        <v>27</v>
      </c>
    </row>
    <row r="597" spans="1:16" x14ac:dyDescent="0.25">
      <c r="A597" s="6">
        <v>595</v>
      </c>
      <c r="B597" s="9">
        <v>40570</v>
      </c>
      <c r="C597" s="6">
        <v>1</v>
      </c>
      <c r="D597" s="6">
        <v>0</v>
      </c>
      <c r="E597" s="6">
        <v>1</v>
      </c>
      <c r="F597" s="6">
        <v>23</v>
      </c>
      <c r="G597" s="6" t="b">
        <v>0</v>
      </c>
      <c r="H597" s="6">
        <v>4</v>
      </c>
      <c r="I597" s="6">
        <v>1</v>
      </c>
      <c r="J597" s="6">
        <v>0.18</v>
      </c>
      <c r="K597">
        <v>0.19700000000000001</v>
      </c>
      <c r="L597">
        <v>0.8</v>
      </c>
      <c r="M597">
        <v>0.16420000000000001</v>
      </c>
      <c r="N597">
        <v>0</v>
      </c>
      <c r="O597">
        <v>16</v>
      </c>
      <c r="P597">
        <v>16</v>
      </c>
    </row>
    <row r="598" spans="1:16" x14ac:dyDescent="0.25">
      <c r="A598" s="6">
        <v>596</v>
      </c>
      <c r="B598" s="9">
        <v>40571</v>
      </c>
      <c r="C598" s="6">
        <v>1</v>
      </c>
      <c r="D598" s="6">
        <v>0</v>
      </c>
      <c r="E598" s="6">
        <v>1</v>
      </c>
      <c r="F598" s="6">
        <v>0</v>
      </c>
      <c r="G598" s="6" t="b">
        <v>0</v>
      </c>
      <c r="H598" s="6">
        <v>5</v>
      </c>
      <c r="I598" s="6">
        <v>2</v>
      </c>
      <c r="J598" s="6">
        <v>0.2</v>
      </c>
      <c r="K598">
        <v>0.21210000000000001</v>
      </c>
      <c r="L598">
        <v>0.75</v>
      </c>
      <c r="M598">
        <v>0.1343</v>
      </c>
      <c r="N598">
        <v>0</v>
      </c>
      <c r="O598">
        <v>9</v>
      </c>
      <c r="P598">
        <v>9</v>
      </c>
    </row>
    <row r="599" spans="1:16" x14ac:dyDescent="0.25">
      <c r="A599" s="6">
        <v>597</v>
      </c>
      <c r="B599" s="9">
        <v>40571</v>
      </c>
      <c r="C599" s="6">
        <v>1</v>
      </c>
      <c r="D599" s="6">
        <v>0</v>
      </c>
      <c r="E599" s="6">
        <v>1</v>
      </c>
      <c r="F599" s="6">
        <v>1</v>
      </c>
      <c r="G599" s="6" t="b">
        <v>0</v>
      </c>
      <c r="H599" s="6">
        <v>5</v>
      </c>
      <c r="I599" s="6">
        <v>2</v>
      </c>
      <c r="J599" s="6">
        <v>0.2</v>
      </c>
      <c r="K599">
        <v>0.21210000000000001</v>
      </c>
      <c r="L599">
        <v>0.75</v>
      </c>
      <c r="M599">
        <v>0.1343</v>
      </c>
      <c r="N599">
        <v>1</v>
      </c>
      <c r="O599">
        <v>2</v>
      </c>
      <c r="P599">
        <v>3</v>
      </c>
    </row>
    <row r="600" spans="1:16" x14ac:dyDescent="0.25">
      <c r="A600" s="6">
        <v>598</v>
      </c>
      <c r="B600" s="9">
        <v>40571</v>
      </c>
      <c r="C600" s="6">
        <v>1</v>
      </c>
      <c r="D600" s="6">
        <v>0</v>
      </c>
      <c r="E600" s="6">
        <v>1</v>
      </c>
      <c r="F600" s="6">
        <v>2</v>
      </c>
      <c r="G600" s="6" t="b">
        <v>0</v>
      </c>
      <c r="H600" s="6">
        <v>5</v>
      </c>
      <c r="I600" s="6">
        <v>2</v>
      </c>
      <c r="J600" s="6">
        <v>0.2</v>
      </c>
      <c r="K600">
        <v>0.21210000000000001</v>
      </c>
      <c r="L600">
        <v>0.75</v>
      </c>
      <c r="M600">
        <v>0.16420000000000001</v>
      </c>
      <c r="N600">
        <v>0</v>
      </c>
      <c r="O600">
        <v>2</v>
      </c>
      <c r="P600">
        <v>2</v>
      </c>
    </row>
    <row r="601" spans="1:16" x14ac:dyDescent="0.25">
      <c r="A601" s="6">
        <v>599</v>
      </c>
      <c r="B601" s="9">
        <v>40571</v>
      </c>
      <c r="C601" s="6">
        <v>1</v>
      </c>
      <c r="D601" s="6">
        <v>0</v>
      </c>
      <c r="E601" s="6">
        <v>1</v>
      </c>
      <c r="F601" s="6">
        <v>3</v>
      </c>
      <c r="G601" s="6" t="b">
        <v>0</v>
      </c>
      <c r="H601" s="6">
        <v>5</v>
      </c>
      <c r="I601" s="6">
        <v>2</v>
      </c>
      <c r="J601" s="6">
        <v>0.2</v>
      </c>
      <c r="K601">
        <v>0.2273</v>
      </c>
      <c r="L601">
        <v>0.75</v>
      </c>
      <c r="M601">
        <v>0.1045</v>
      </c>
      <c r="N601">
        <v>1</v>
      </c>
      <c r="O601">
        <v>0</v>
      </c>
      <c r="P601">
        <v>1</v>
      </c>
    </row>
    <row r="602" spans="1:16" x14ac:dyDescent="0.25">
      <c r="A602" s="6">
        <v>600</v>
      </c>
      <c r="B602" s="9">
        <v>40571</v>
      </c>
      <c r="C602" s="6">
        <v>1</v>
      </c>
      <c r="D602" s="6">
        <v>0</v>
      </c>
      <c r="E602" s="6">
        <v>1</v>
      </c>
      <c r="F602" s="6">
        <v>5</v>
      </c>
      <c r="G602" s="6" t="b">
        <v>0</v>
      </c>
      <c r="H602" s="6">
        <v>5</v>
      </c>
      <c r="I602" s="6">
        <v>2</v>
      </c>
      <c r="J602" s="6">
        <v>0.18</v>
      </c>
      <c r="K602">
        <v>0.21210000000000001</v>
      </c>
      <c r="L602">
        <v>0.8</v>
      </c>
      <c r="M602">
        <v>0.1045</v>
      </c>
      <c r="N602">
        <v>0</v>
      </c>
      <c r="O602">
        <v>4</v>
      </c>
      <c r="P602">
        <v>4</v>
      </c>
    </row>
    <row r="603" spans="1:16" x14ac:dyDescent="0.25">
      <c r="A603" s="6">
        <v>601</v>
      </c>
      <c r="B603" s="9">
        <v>40571</v>
      </c>
      <c r="C603" s="6">
        <v>1</v>
      </c>
      <c r="D603" s="6">
        <v>0</v>
      </c>
      <c r="E603" s="6">
        <v>1</v>
      </c>
      <c r="F603" s="6">
        <v>6</v>
      </c>
      <c r="G603" s="6" t="b">
        <v>0</v>
      </c>
      <c r="H603" s="6">
        <v>5</v>
      </c>
      <c r="I603" s="6">
        <v>2</v>
      </c>
      <c r="J603" s="6">
        <v>0.18</v>
      </c>
      <c r="K603">
        <v>0.19700000000000001</v>
      </c>
      <c r="L603">
        <v>0.8</v>
      </c>
      <c r="M603">
        <v>0.1343</v>
      </c>
      <c r="N603">
        <v>0</v>
      </c>
      <c r="O603">
        <v>16</v>
      </c>
      <c r="P603">
        <v>16</v>
      </c>
    </row>
    <row r="604" spans="1:16" x14ac:dyDescent="0.25">
      <c r="A604" s="6">
        <v>602</v>
      </c>
      <c r="B604" s="9">
        <v>40571</v>
      </c>
      <c r="C604" s="6">
        <v>1</v>
      </c>
      <c r="D604" s="6">
        <v>0</v>
      </c>
      <c r="E604" s="6">
        <v>1</v>
      </c>
      <c r="F604" s="6">
        <v>7</v>
      </c>
      <c r="G604" s="6" t="b">
        <v>0</v>
      </c>
      <c r="H604" s="6">
        <v>5</v>
      </c>
      <c r="I604" s="6">
        <v>2</v>
      </c>
      <c r="J604" s="6">
        <v>0.16</v>
      </c>
      <c r="K604">
        <v>0.19700000000000001</v>
      </c>
      <c r="L604">
        <v>0.86</v>
      </c>
      <c r="M604">
        <v>8.9599999999999999E-2</v>
      </c>
      <c r="N604">
        <v>2</v>
      </c>
      <c r="O604">
        <v>58</v>
      </c>
      <c r="P604">
        <v>60</v>
      </c>
    </row>
    <row r="605" spans="1:16" x14ac:dyDescent="0.25">
      <c r="A605" s="6">
        <v>603</v>
      </c>
      <c r="B605" s="9">
        <v>40571</v>
      </c>
      <c r="C605" s="6">
        <v>1</v>
      </c>
      <c r="D605" s="6">
        <v>0</v>
      </c>
      <c r="E605" s="6">
        <v>1</v>
      </c>
      <c r="F605" s="6">
        <v>8</v>
      </c>
      <c r="G605" s="6" t="b">
        <v>0</v>
      </c>
      <c r="H605" s="6">
        <v>5</v>
      </c>
      <c r="I605" s="6">
        <v>2</v>
      </c>
      <c r="J605" s="6">
        <v>0.16</v>
      </c>
      <c r="K605">
        <v>0.19700000000000001</v>
      </c>
      <c r="L605">
        <v>0.86</v>
      </c>
      <c r="M605">
        <v>8.9599999999999999E-2</v>
      </c>
      <c r="N605">
        <v>2</v>
      </c>
      <c r="O605">
        <v>155</v>
      </c>
      <c r="P605">
        <v>157</v>
      </c>
    </row>
    <row r="606" spans="1:16" x14ac:dyDescent="0.25">
      <c r="A606" s="6">
        <v>604</v>
      </c>
      <c r="B606" s="9">
        <v>40571</v>
      </c>
      <c r="C606" s="6">
        <v>1</v>
      </c>
      <c r="D606" s="6">
        <v>0</v>
      </c>
      <c r="E606" s="6">
        <v>1</v>
      </c>
      <c r="F606" s="6">
        <v>9</v>
      </c>
      <c r="G606" s="6" t="b">
        <v>0</v>
      </c>
      <c r="H606" s="6">
        <v>5</v>
      </c>
      <c r="I606" s="6">
        <v>3</v>
      </c>
      <c r="J606" s="6">
        <v>0.18</v>
      </c>
      <c r="K606">
        <v>0.21210000000000001</v>
      </c>
      <c r="L606">
        <v>0.86</v>
      </c>
      <c r="M606">
        <v>8.9599999999999999E-2</v>
      </c>
      <c r="N606">
        <v>6</v>
      </c>
      <c r="O606">
        <v>95</v>
      </c>
      <c r="P606">
        <v>101</v>
      </c>
    </row>
    <row r="607" spans="1:16" x14ac:dyDescent="0.25">
      <c r="A607" s="6">
        <v>605</v>
      </c>
      <c r="B607" s="9">
        <v>40571</v>
      </c>
      <c r="C607" s="6">
        <v>1</v>
      </c>
      <c r="D607" s="6">
        <v>0</v>
      </c>
      <c r="E607" s="6">
        <v>1</v>
      </c>
      <c r="F607" s="6">
        <v>10</v>
      </c>
      <c r="G607" s="6" t="b">
        <v>0</v>
      </c>
      <c r="H607" s="6">
        <v>5</v>
      </c>
      <c r="I607" s="6">
        <v>3</v>
      </c>
      <c r="J607" s="6">
        <v>0.18</v>
      </c>
      <c r="K607">
        <v>0.21210000000000001</v>
      </c>
      <c r="L607">
        <v>0.86</v>
      </c>
      <c r="M607">
        <v>0.1045</v>
      </c>
      <c r="N607">
        <v>0</v>
      </c>
      <c r="O607">
        <v>49</v>
      </c>
      <c r="P607">
        <v>49</v>
      </c>
    </row>
    <row r="608" spans="1:16" x14ac:dyDescent="0.25">
      <c r="A608" s="6">
        <v>606</v>
      </c>
      <c r="B608" s="9">
        <v>40571</v>
      </c>
      <c r="C608" s="6">
        <v>1</v>
      </c>
      <c r="D608" s="6">
        <v>0</v>
      </c>
      <c r="E608" s="6">
        <v>1</v>
      </c>
      <c r="F608" s="6">
        <v>11</v>
      </c>
      <c r="G608" s="6" t="b">
        <v>0</v>
      </c>
      <c r="H608" s="6">
        <v>5</v>
      </c>
      <c r="I608" s="6">
        <v>3</v>
      </c>
      <c r="J608" s="6">
        <v>0.18</v>
      </c>
      <c r="K608">
        <v>0.21210000000000001</v>
      </c>
      <c r="L608">
        <v>0.93</v>
      </c>
      <c r="M608">
        <v>0.1045</v>
      </c>
      <c r="N608">
        <v>0</v>
      </c>
      <c r="O608">
        <v>30</v>
      </c>
      <c r="P608">
        <v>30</v>
      </c>
    </row>
    <row r="609" spans="1:16" x14ac:dyDescent="0.25">
      <c r="A609" s="6">
        <v>607</v>
      </c>
      <c r="B609" s="9">
        <v>40571</v>
      </c>
      <c r="C609" s="6">
        <v>1</v>
      </c>
      <c r="D609" s="6">
        <v>0</v>
      </c>
      <c r="E609" s="6">
        <v>1</v>
      </c>
      <c r="F609" s="6">
        <v>12</v>
      </c>
      <c r="G609" s="6" t="b">
        <v>0</v>
      </c>
      <c r="H609" s="6">
        <v>5</v>
      </c>
      <c r="I609" s="6">
        <v>3</v>
      </c>
      <c r="J609" s="6">
        <v>0.18</v>
      </c>
      <c r="K609">
        <v>0.21210000000000001</v>
      </c>
      <c r="L609">
        <v>0.93</v>
      </c>
      <c r="M609">
        <v>0.1045</v>
      </c>
      <c r="N609">
        <v>1</v>
      </c>
      <c r="O609">
        <v>28</v>
      </c>
      <c r="P609">
        <v>29</v>
      </c>
    </row>
    <row r="610" spans="1:16" x14ac:dyDescent="0.25">
      <c r="A610" s="6">
        <v>608</v>
      </c>
      <c r="B610" s="9">
        <v>40571</v>
      </c>
      <c r="C610" s="6">
        <v>1</v>
      </c>
      <c r="D610" s="6">
        <v>0</v>
      </c>
      <c r="E610" s="6">
        <v>1</v>
      </c>
      <c r="F610" s="6">
        <v>13</v>
      </c>
      <c r="G610" s="6" t="b">
        <v>0</v>
      </c>
      <c r="H610" s="6">
        <v>5</v>
      </c>
      <c r="I610" s="6">
        <v>3</v>
      </c>
      <c r="J610" s="6">
        <v>0.18</v>
      </c>
      <c r="K610">
        <v>0.21210000000000001</v>
      </c>
      <c r="L610">
        <v>0.93</v>
      </c>
      <c r="M610">
        <v>0.1045</v>
      </c>
      <c r="N610">
        <v>0</v>
      </c>
      <c r="O610">
        <v>31</v>
      </c>
      <c r="P610">
        <v>31</v>
      </c>
    </row>
    <row r="611" spans="1:16" x14ac:dyDescent="0.25">
      <c r="A611" s="6">
        <v>609</v>
      </c>
      <c r="B611" s="9">
        <v>40571</v>
      </c>
      <c r="C611" s="6">
        <v>1</v>
      </c>
      <c r="D611" s="6">
        <v>0</v>
      </c>
      <c r="E611" s="6">
        <v>1</v>
      </c>
      <c r="F611" s="6">
        <v>14</v>
      </c>
      <c r="G611" s="6" t="b">
        <v>0</v>
      </c>
      <c r="H611" s="6">
        <v>5</v>
      </c>
      <c r="I611" s="6">
        <v>3</v>
      </c>
      <c r="J611" s="6">
        <v>0.22</v>
      </c>
      <c r="K611">
        <v>0.2727</v>
      </c>
      <c r="L611">
        <v>0.8</v>
      </c>
      <c r="M611">
        <v>0</v>
      </c>
      <c r="N611">
        <v>2</v>
      </c>
      <c r="O611">
        <v>36</v>
      </c>
      <c r="P611">
        <v>38</v>
      </c>
    </row>
    <row r="612" spans="1:16" x14ac:dyDescent="0.25">
      <c r="A612" s="6">
        <v>610</v>
      </c>
      <c r="B612" s="9">
        <v>40571</v>
      </c>
      <c r="C612" s="6">
        <v>1</v>
      </c>
      <c r="D612" s="6">
        <v>0</v>
      </c>
      <c r="E612" s="6">
        <v>1</v>
      </c>
      <c r="F612" s="6">
        <v>15</v>
      </c>
      <c r="G612" s="6" t="b">
        <v>0</v>
      </c>
      <c r="H612" s="6">
        <v>5</v>
      </c>
      <c r="I612" s="6">
        <v>2</v>
      </c>
      <c r="J612" s="6">
        <v>0.2</v>
      </c>
      <c r="K612">
        <v>0.2576</v>
      </c>
      <c r="L612">
        <v>0.86</v>
      </c>
      <c r="M612">
        <v>0</v>
      </c>
      <c r="N612">
        <v>1</v>
      </c>
      <c r="O612">
        <v>40</v>
      </c>
      <c r="P612">
        <v>41</v>
      </c>
    </row>
  </sheetData>
  <mergeCells count="1">
    <mergeCell ref="A1:K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4A41A-790E-4A1F-815A-1F3AB97016D3}">
  <dimension ref="A1:W1002"/>
  <sheetViews>
    <sheetView topLeftCell="A138" workbookViewId="0">
      <selection activeCell="V835" sqref="V835"/>
    </sheetView>
  </sheetViews>
  <sheetFormatPr defaultRowHeight="15" x14ac:dyDescent="0.25"/>
  <cols>
    <col min="1" max="1" width="11.7109375" style="14" bestFit="1" customWidth="1"/>
    <col min="2" max="2" width="27.140625" style="24" bestFit="1" customWidth="1"/>
    <col min="3" max="3" width="11.7109375" style="14" bestFit="1" customWidth="1"/>
    <col min="4" max="4" width="7.28515625" style="14" bestFit="1" customWidth="1"/>
    <col min="5" max="5" width="10.28515625" style="14" bestFit="1" customWidth="1"/>
    <col min="6" max="6" width="7.42578125" style="14" bestFit="1" customWidth="1"/>
    <col min="7" max="7" width="12.140625" style="14" bestFit="1" customWidth="1"/>
    <col min="8" max="8" width="13.5703125" style="14" bestFit="1" customWidth="1"/>
    <col min="9" max="9" width="15.140625" style="14" bestFit="1" customWidth="1"/>
    <col min="10" max="10" width="10.28515625" style="14" bestFit="1" customWidth="1"/>
    <col min="11" max="11" width="9" style="14" bestFit="1" customWidth="1"/>
    <col min="12" max="12" width="7.28515625" style="14" bestFit="1" customWidth="1"/>
    <col min="13" max="13" width="15.42578125" style="14" bestFit="1" customWidth="1"/>
    <col min="14" max="14" width="11" style="14" bestFit="1" customWidth="1"/>
    <col min="15" max="15" width="14.7109375" style="14" bestFit="1" customWidth="1"/>
    <col min="16" max="16" width="6" style="14" bestFit="1" customWidth="1"/>
    <col min="17" max="17" width="18.85546875" style="14" bestFit="1" customWidth="1"/>
    <col min="18" max="18" width="17.85546875" style="14" bestFit="1" customWidth="1"/>
    <col min="19" max="19" width="23" style="14" bestFit="1" customWidth="1"/>
    <col min="20" max="20" width="21.28515625" style="14" bestFit="1" customWidth="1"/>
    <col min="21" max="21" width="16.7109375" style="14" bestFit="1" customWidth="1"/>
    <col min="22" max="23" width="20.7109375" style="14" bestFit="1" customWidth="1"/>
    <col min="24" max="24" width="11.42578125" style="14" bestFit="1" customWidth="1"/>
    <col min="25" max="25" width="11.5703125" style="14" bestFit="1" customWidth="1"/>
    <col min="26" max="26" width="11.28515625" style="14" bestFit="1" customWidth="1"/>
    <col min="27" max="27" width="14.140625" style="14" bestFit="1" customWidth="1"/>
    <col min="28" max="28" width="15.42578125" style="14" bestFit="1" customWidth="1"/>
    <col min="29" max="29" width="11" style="14" bestFit="1" customWidth="1"/>
    <col min="30" max="30" width="13.28515625" style="14" bestFit="1" customWidth="1"/>
    <col min="31" max="31" width="10.7109375" style="14" bestFit="1" customWidth="1"/>
    <col min="32" max="16384" width="9.140625" style="14"/>
  </cols>
  <sheetData>
    <row r="1" spans="1:23" ht="30" x14ac:dyDescent="0.25">
      <c r="A1" s="56" t="s">
        <v>25</v>
      </c>
      <c r="B1" s="57"/>
      <c r="C1" s="56"/>
      <c r="D1" s="56"/>
      <c r="E1" s="56"/>
      <c r="F1" s="56"/>
      <c r="G1" s="56"/>
      <c r="H1" s="56"/>
      <c r="I1" s="56"/>
      <c r="J1" s="56"/>
      <c r="K1" s="56"/>
      <c r="R1" s="58" t="s">
        <v>26</v>
      </c>
      <c r="S1" s="58"/>
      <c r="T1" s="58"/>
      <c r="U1" s="58"/>
      <c r="V1" s="58"/>
      <c r="W1" s="58"/>
    </row>
    <row r="2" spans="1:23" x14ac:dyDescent="0.25">
      <c r="A2" s="15" t="s">
        <v>1</v>
      </c>
      <c r="B2" s="16" t="s">
        <v>2</v>
      </c>
      <c r="C2" s="17" t="s">
        <v>3</v>
      </c>
      <c r="D2" s="17" t="s">
        <v>4</v>
      </c>
      <c r="E2" s="17" t="s">
        <v>5</v>
      </c>
      <c r="F2" s="17" t="s">
        <v>6</v>
      </c>
      <c r="G2" s="17" t="s">
        <v>7</v>
      </c>
      <c r="H2" s="17" t="s">
        <v>8</v>
      </c>
      <c r="I2" s="17" t="s">
        <v>9</v>
      </c>
      <c r="J2" s="17" t="s">
        <v>10</v>
      </c>
      <c r="K2" t="s">
        <v>17</v>
      </c>
      <c r="L2" t="s">
        <v>18</v>
      </c>
      <c r="M2" s="17" t="s">
        <v>19</v>
      </c>
      <c r="N2" s="17" t="s">
        <v>20</v>
      </c>
      <c r="O2" s="17" t="s">
        <v>21</v>
      </c>
      <c r="P2" t="s">
        <v>22</v>
      </c>
      <c r="Q2" s="18" t="s">
        <v>27</v>
      </c>
      <c r="R2" s="18" t="s">
        <v>28</v>
      </c>
      <c r="S2" s="18" t="s">
        <v>29</v>
      </c>
      <c r="T2" s="18" t="s">
        <v>30</v>
      </c>
      <c r="U2" s="18" t="s">
        <v>31</v>
      </c>
      <c r="V2" s="17" t="s">
        <v>32</v>
      </c>
      <c r="W2" s="17" t="s">
        <v>33</v>
      </c>
    </row>
    <row r="3" spans="1:23" x14ac:dyDescent="0.25">
      <c r="A3" s="19">
        <v>1</v>
      </c>
      <c r="B3" s="20">
        <v>40544</v>
      </c>
      <c r="C3" s="18">
        <v>1</v>
      </c>
      <c r="D3" s="18">
        <v>0</v>
      </c>
      <c r="E3" s="18">
        <v>1</v>
      </c>
      <c r="F3" s="18">
        <v>0</v>
      </c>
      <c r="G3" s="18" t="b">
        <v>0</v>
      </c>
      <c r="H3" s="18">
        <v>6</v>
      </c>
      <c r="I3" s="18">
        <v>1</v>
      </c>
      <c r="J3" s="18">
        <v>0.24</v>
      </c>
      <c r="K3">
        <v>0.28789999999999999</v>
      </c>
      <c r="L3">
        <v>0.81</v>
      </c>
      <c r="M3" s="18">
        <v>0</v>
      </c>
      <c r="N3" s="18">
        <v>3</v>
      </c>
      <c r="O3" s="18">
        <v>13</v>
      </c>
      <c r="P3">
        <v>16</v>
      </c>
      <c r="Q3" s="18" t="s">
        <v>34</v>
      </c>
      <c r="R3" s="18" t="s">
        <v>35</v>
      </c>
      <c r="S3" s="18" t="s">
        <v>36</v>
      </c>
      <c r="T3" s="18" t="s">
        <v>37</v>
      </c>
      <c r="U3" s="18">
        <v>2011</v>
      </c>
      <c r="V3" s="16">
        <f t="shared" ref="V3:V66" si="0">INDEX(B3:B1001,MATCH(MAX(K3:K1001),K3:K1001,0))</f>
        <v>40544</v>
      </c>
      <c r="W3" s="17" t="str">
        <f t="shared" ref="W3:W66" si="1">IF(G3=TRUE,"Holiday",IF(OR(H3=0,H3=6),"Weedend","Weekday"))</f>
        <v>Weedend</v>
      </c>
    </row>
    <row r="4" spans="1:23" x14ac:dyDescent="0.25">
      <c r="A4" s="19">
        <v>2</v>
      </c>
      <c r="B4" s="20">
        <v>40544</v>
      </c>
      <c r="C4" s="18">
        <v>1</v>
      </c>
      <c r="D4" s="18">
        <v>0</v>
      </c>
      <c r="E4" s="18">
        <v>1</v>
      </c>
      <c r="F4" s="18">
        <v>1</v>
      </c>
      <c r="G4" s="18" t="b">
        <v>0</v>
      </c>
      <c r="H4" s="18">
        <v>6</v>
      </c>
      <c r="I4" s="18">
        <v>1</v>
      </c>
      <c r="J4" s="18">
        <v>0.22</v>
      </c>
      <c r="K4">
        <v>0.2727</v>
      </c>
      <c r="L4">
        <v>0.8</v>
      </c>
      <c r="M4" s="18">
        <v>0</v>
      </c>
      <c r="N4" s="18">
        <v>8</v>
      </c>
      <c r="O4" s="18">
        <v>32</v>
      </c>
      <c r="P4">
        <v>40</v>
      </c>
      <c r="Q4" s="18" t="s">
        <v>34</v>
      </c>
      <c r="R4" s="18" t="s">
        <v>35</v>
      </c>
      <c r="S4" s="18" t="s">
        <v>36</v>
      </c>
      <c r="T4" s="18" t="s">
        <v>37</v>
      </c>
      <c r="U4" s="18">
        <v>2011</v>
      </c>
      <c r="V4" s="16">
        <f t="shared" si="0"/>
        <v>40544</v>
      </c>
      <c r="W4" s="18" t="str">
        <f t="shared" si="1"/>
        <v>Weedend</v>
      </c>
    </row>
    <row r="5" spans="1:23" x14ac:dyDescent="0.25">
      <c r="A5" s="19">
        <v>3</v>
      </c>
      <c r="B5" s="20">
        <v>40544</v>
      </c>
      <c r="C5" s="18">
        <v>1</v>
      </c>
      <c r="D5" s="18">
        <v>0</v>
      </c>
      <c r="E5" s="18">
        <v>1</v>
      </c>
      <c r="F5" s="18">
        <v>2</v>
      </c>
      <c r="G5" s="18" t="b">
        <v>0</v>
      </c>
      <c r="H5" s="18">
        <v>6</v>
      </c>
      <c r="I5" s="18">
        <v>1</v>
      </c>
      <c r="J5" s="18">
        <v>0.22</v>
      </c>
      <c r="K5">
        <v>0.2727</v>
      </c>
      <c r="L5">
        <v>0.8</v>
      </c>
      <c r="M5" s="18">
        <v>0</v>
      </c>
      <c r="N5" s="18">
        <v>5</v>
      </c>
      <c r="O5" s="18">
        <v>27</v>
      </c>
      <c r="P5">
        <v>32</v>
      </c>
      <c r="Q5" s="18" t="s">
        <v>34</v>
      </c>
      <c r="R5" s="18" t="s">
        <v>35</v>
      </c>
      <c r="S5" s="18" t="s">
        <v>36</v>
      </c>
      <c r="T5" s="18" t="s">
        <v>37</v>
      </c>
      <c r="U5" s="18">
        <v>2011</v>
      </c>
      <c r="V5" s="16">
        <f t="shared" si="0"/>
        <v>40544</v>
      </c>
      <c r="W5" s="18" t="str">
        <f t="shared" si="1"/>
        <v>Weedend</v>
      </c>
    </row>
    <row r="6" spans="1:23" x14ac:dyDescent="0.25">
      <c r="A6" s="19">
        <v>4</v>
      </c>
      <c r="B6" s="20">
        <v>40544</v>
      </c>
      <c r="C6" s="18">
        <v>1</v>
      </c>
      <c r="D6" s="18">
        <v>0</v>
      </c>
      <c r="E6" s="18">
        <v>1</v>
      </c>
      <c r="F6" s="18">
        <v>3</v>
      </c>
      <c r="G6" s="18" t="b">
        <v>0</v>
      </c>
      <c r="H6" s="18">
        <v>6</v>
      </c>
      <c r="I6" s="18">
        <v>1</v>
      </c>
      <c r="J6" s="18">
        <v>0.24</v>
      </c>
      <c r="K6">
        <v>0.28789999999999999</v>
      </c>
      <c r="L6">
        <v>0.75</v>
      </c>
      <c r="M6" s="18">
        <v>0</v>
      </c>
      <c r="N6" s="18">
        <v>3</v>
      </c>
      <c r="O6" s="18">
        <v>10</v>
      </c>
      <c r="P6">
        <v>13</v>
      </c>
      <c r="Q6" s="18" t="s">
        <v>34</v>
      </c>
      <c r="R6" s="18" t="s">
        <v>35</v>
      </c>
      <c r="S6" s="18" t="s">
        <v>36</v>
      </c>
      <c r="T6" s="18" t="s">
        <v>37</v>
      </c>
      <c r="U6" s="18">
        <v>2011</v>
      </c>
      <c r="V6" s="16">
        <f t="shared" si="0"/>
        <v>40544</v>
      </c>
      <c r="W6" s="18" t="str">
        <f t="shared" si="1"/>
        <v>Weedend</v>
      </c>
    </row>
    <row r="7" spans="1:23" x14ac:dyDescent="0.25">
      <c r="A7" s="19">
        <v>5</v>
      </c>
      <c r="B7" s="20">
        <v>40544</v>
      </c>
      <c r="C7" s="18">
        <v>1</v>
      </c>
      <c r="D7" s="18">
        <v>0</v>
      </c>
      <c r="E7" s="18">
        <v>1</v>
      </c>
      <c r="F7" s="18">
        <v>4</v>
      </c>
      <c r="G7" s="18" t="b">
        <v>0</v>
      </c>
      <c r="H7" s="18">
        <v>6</v>
      </c>
      <c r="I7" s="18">
        <v>1</v>
      </c>
      <c r="J7" s="18">
        <v>0.24</v>
      </c>
      <c r="K7">
        <v>0.28789999999999999</v>
      </c>
      <c r="L7">
        <v>0.75</v>
      </c>
      <c r="M7" s="18">
        <v>0</v>
      </c>
      <c r="N7" s="18">
        <v>0</v>
      </c>
      <c r="O7" s="18">
        <v>1</v>
      </c>
      <c r="P7">
        <v>1</v>
      </c>
      <c r="Q7" s="18" t="s">
        <v>34</v>
      </c>
      <c r="R7" s="18" t="s">
        <v>35</v>
      </c>
      <c r="S7" s="18" t="s">
        <v>36</v>
      </c>
      <c r="T7" s="18" t="s">
        <v>37</v>
      </c>
      <c r="U7" s="18">
        <v>2011</v>
      </c>
      <c r="V7" s="16">
        <f t="shared" si="0"/>
        <v>40544</v>
      </c>
      <c r="W7" s="18" t="str">
        <f t="shared" si="1"/>
        <v>Weedend</v>
      </c>
    </row>
    <row r="8" spans="1:23" x14ac:dyDescent="0.25">
      <c r="A8" s="19">
        <v>6</v>
      </c>
      <c r="B8" s="20">
        <v>40544</v>
      </c>
      <c r="C8" s="18">
        <v>1</v>
      </c>
      <c r="D8" s="18">
        <v>0</v>
      </c>
      <c r="E8" s="18">
        <v>1</v>
      </c>
      <c r="F8" s="18">
        <v>5</v>
      </c>
      <c r="G8" s="18" t="b">
        <v>0</v>
      </c>
      <c r="H8" s="18">
        <v>6</v>
      </c>
      <c r="I8" s="18">
        <v>2</v>
      </c>
      <c r="J8" s="18">
        <v>0.24</v>
      </c>
      <c r="K8">
        <v>0.2576</v>
      </c>
      <c r="L8">
        <v>0.75</v>
      </c>
      <c r="M8" s="18">
        <v>8.9599999999999999E-2</v>
      </c>
      <c r="N8" s="18">
        <v>0</v>
      </c>
      <c r="O8" s="18">
        <v>1</v>
      </c>
      <c r="P8">
        <v>1</v>
      </c>
      <c r="Q8" s="18" t="s">
        <v>34</v>
      </c>
      <c r="R8" s="18" t="s">
        <v>35</v>
      </c>
      <c r="S8" s="18" t="s">
        <v>38</v>
      </c>
      <c r="T8" s="18" t="s">
        <v>37</v>
      </c>
      <c r="U8" s="18">
        <v>2011</v>
      </c>
      <c r="V8" s="16">
        <f t="shared" si="0"/>
        <v>40544</v>
      </c>
      <c r="W8" s="18" t="str">
        <f t="shared" si="1"/>
        <v>Weedend</v>
      </c>
    </row>
    <row r="9" spans="1:23" x14ac:dyDescent="0.25">
      <c r="A9" s="19">
        <v>7</v>
      </c>
      <c r="B9" s="20">
        <v>40544</v>
      </c>
      <c r="C9" s="18">
        <v>1</v>
      </c>
      <c r="D9" s="18">
        <v>0</v>
      </c>
      <c r="E9" s="18">
        <v>1</v>
      </c>
      <c r="F9" s="18">
        <v>6</v>
      </c>
      <c r="G9" s="18" t="b">
        <v>0</v>
      </c>
      <c r="H9" s="18">
        <v>6</v>
      </c>
      <c r="I9" s="18">
        <v>1</v>
      </c>
      <c r="J9" s="18">
        <v>0.22</v>
      </c>
      <c r="K9">
        <v>0.2727</v>
      </c>
      <c r="L9">
        <v>0.8</v>
      </c>
      <c r="M9" s="18">
        <v>0</v>
      </c>
      <c r="N9" s="18">
        <v>2</v>
      </c>
      <c r="O9" s="18">
        <v>0</v>
      </c>
      <c r="P9">
        <v>2</v>
      </c>
      <c r="Q9" s="18" t="s">
        <v>34</v>
      </c>
      <c r="R9" s="18" t="s">
        <v>35</v>
      </c>
      <c r="S9" s="18" t="s">
        <v>36</v>
      </c>
      <c r="T9" s="18" t="s">
        <v>37</v>
      </c>
      <c r="U9" s="18">
        <v>2011</v>
      </c>
      <c r="V9" s="16">
        <f t="shared" si="0"/>
        <v>40544</v>
      </c>
      <c r="W9" s="18" t="str">
        <f t="shared" si="1"/>
        <v>Weedend</v>
      </c>
    </row>
    <row r="10" spans="1:23" x14ac:dyDescent="0.25">
      <c r="A10" s="19">
        <v>8</v>
      </c>
      <c r="B10" s="20">
        <v>40544</v>
      </c>
      <c r="C10" s="18">
        <v>1</v>
      </c>
      <c r="D10" s="18">
        <v>0</v>
      </c>
      <c r="E10" s="18">
        <v>1</v>
      </c>
      <c r="F10" s="18">
        <v>7</v>
      </c>
      <c r="G10" s="18" t="b">
        <v>0</v>
      </c>
      <c r="H10" s="18">
        <v>6</v>
      </c>
      <c r="I10" s="18">
        <v>1</v>
      </c>
      <c r="J10" s="18">
        <v>0.2</v>
      </c>
      <c r="K10">
        <v>0.2576</v>
      </c>
      <c r="L10">
        <v>0.86</v>
      </c>
      <c r="M10" s="18">
        <v>0</v>
      </c>
      <c r="N10" s="18">
        <v>1</v>
      </c>
      <c r="O10" s="18">
        <v>2</v>
      </c>
      <c r="P10">
        <v>3</v>
      </c>
      <c r="Q10" s="18" t="s">
        <v>34</v>
      </c>
      <c r="R10" s="18" t="s">
        <v>35</v>
      </c>
      <c r="S10" s="18" t="s">
        <v>36</v>
      </c>
      <c r="T10" s="18" t="s">
        <v>37</v>
      </c>
      <c r="U10" s="18">
        <v>2011</v>
      </c>
      <c r="V10" s="16">
        <f t="shared" si="0"/>
        <v>40544</v>
      </c>
      <c r="W10" s="18" t="str">
        <f t="shared" si="1"/>
        <v>Weedend</v>
      </c>
    </row>
    <row r="11" spans="1:23" x14ac:dyDescent="0.25">
      <c r="A11" s="19">
        <v>9</v>
      </c>
      <c r="B11" s="20">
        <v>40544</v>
      </c>
      <c r="C11" s="18">
        <v>1</v>
      </c>
      <c r="D11" s="18">
        <v>0</v>
      </c>
      <c r="E11" s="18">
        <v>1</v>
      </c>
      <c r="F11" s="18">
        <v>8</v>
      </c>
      <c r="G11" s="18" t="b">
        <v>0</v>
      </c>
      <c r="H11" s="18">
        <v>6</v>
      </c>
      <c r="I11" s="18">
        <v>1</v>
      </c>
      <c r="J11" s="18">
        <v>0.24</v>
      </c>
      <c r="K11">
        <v>0</v>
      </c>
      <c r="L11">
        <v>0.75</v>
      </c>
      <c r="M11" s="18">
        <v>0</v>
      </c>
      <c r="N11" s="18">
        <v>1</v>
      </c>
      <c r="O11" s="18">
        <v>7</v>
      </c>
      <c r="P11">
        <v>8</v>
      </c>
      <c r="Q11" s="18" t="s">
        <v>34</v>
      </c>
      <c r="R11" s="18" t="s">
        <v>35</v>
      </c>
      <c r="S11" s="18" t="s">
        <v>36</v>
      </c>
      <c r="T11" s="18" t="s">
        <v>37</v>
      </c>
      <c r="U11" s="18">
        <v>2011</v>
      </c>
      <c r="V11" s="16">
        <f t="shared" si="0"/>
        <v>40544</v>
      </c>
      <c r="W11" s="18" t="str">
        <f t="shared" si="1"/>
        <v>Weedend</v>
      </c>
    </row>
    <row r="12" spans="1:23" x14ac:dyDescent="0.25">
      <c r="A12" s="19">
        <v>10</v>
      </c>
      <c r="B12" s="20">
        <v>40544</v>
      </c>
      <c r="C12" s="18">
        <v>1</v>
      </c>
      <c r="D12" s="18">
        <v>0</v>
      </c>
      <c r="E12" s="18">
        <v>1</v>
      </c>
      <c r="F12" s="18">
        <v>9</v>
      </c>
      <c r="G12" s="18" t="b">
        <v>0</v>
      </c>
      <c r="H12" s="18">
        <v>6</v>
      </c>
      <c r="I12" s="18">
        <v>1</v>
      </c>
      <c r="J12" s="18">
        <v>0.32</v>
      </c>
      <c r="K12">
        <v>0.34849999999999998</v>
      </c>
      <c r="L12">
        <v>0.76</v>
      </c>
      <c r="M12" s="18">
        <v>0</v>
      </c>
      <c r="N12" s="18">
        <v>8</v>
      </c>
      <c r="O12" s="18">
        <v>6</v>
      </c>
      <c r="P12">
        <v>14</v>
      </c>
      <c r="Q12" s="18" t="s">
        <v>34</v>
      </c>
      <c r="R12" s="18" t="s">
        <v>35</v>
      </c>
      <c r="S12" s="18" t="s">
        <v>36</v>
      </c>
      <c r="T12" s="18" t="s">
        <v>37</v>
      </c>
      <c r="U12" s="18">
        <v>2011</v>
      </c>
      <c r="V12" s="16">
        <f t="shared" si="0"/>
        <v>40544</v>
      </c>
      <c r="W12" s="18" t="str">
        <f t="shared" si="1"/>
        <v>Weedend</v>
      </c>
    </row>
    <row r="13" spans="1:23" x14ac:dyDescent="0.25">
      <c r="A13" s="19">
        <v>11</v>
      </c>
      <c r="B13" s="20">
        <v>40544</v>
      </c>
      <c r="C13" s="18">
        <v>1</v>
      </c>
      <c r="D13" s="18">
        <v>0</v>
      </c>
      <c r="E13" s="18">
        <v>1</v>
      </c>
      <c r="F13" s="18">
        <v>10</v>
      </c>
      <c r="G13" s="18" t="b">
        <v>0</v>
      </c>
      <c r="H13" s="18">
        <v>6</v>
      </c>
      <c r="I13" s="18">
        <v>1</v>
      </c>
      <c r="J13" s="18">
        <v>0.38</v>
      </c>
      <c r="K13">
        <v>0.39389999999999997</v>
      </c>
      <c r="L13">
        <v>0.76</v>
      </c>
      <c r="M13" s="18">
        <v>0.25369999999999998</v>
      </c>
      <c r="N13" s="18">
        <v>12</v>
      </c>
      <c r="O13" s="18">
        <v>24</v>
      </c>
      <c r="P13">
        <v>36</v>
      </c>
      <c r="Q13" s="18" t="s">
        <v>34</v>
      </c>
      <c r="R13" s="18" t="s">
        <v>35</v>
      </c>
      <c r="S13" s="18" t="s">
        <v>36</v>
      </c>
      <c r="T13" s="18" t="s">
        <v>37</v>
      </c>
      <c r="U13" s="18">
        <v>2011</v>
      </c>
      <c r="V13" s="16">
        <f t="shared" si="0"/>
        <v>40544</v>
      </c>
      <c r="W13" s="18" t="str">
        <f t="shared" si="1"/>
        <v>Weedend</v>
      </c>
    </row>
    <row r="14" spans="1:23" x14ac:dyDescent="0.25">
      <c r="A14" s="19">
        <v>12</v>
      </c>
      <c r="B14" s="20">
        <v>40544</v>
      </c>
      <c r="C14" s="18">
        <v>1</v>
      </c>
      <c r="D14" s="18">
        <v>0</v>
      </c>
      <c r="E14" s="18">
        <v>1</v>
      </c>
      <c r="F14" s="18">
        <v>11</v>
      </c>
      <c r="G14" s="18" t="b">
        <v>0</v>
      </c>
      <c r="H14" s="18">
        <v>6</v>
      </c>
      <c r="I14" s="18">
        <v>1</v>
      </c>
      <c r="J14" s="18">
        <v>0.36</v>
      </c>
      <c r="K14">
        <v>0.33329999999999999</v>
      </c>
      <c r="L14">
        <v>0.81</v>
      </c>
      <c r="M14" s="18">
        <v>0.28360000000000002</v>
      </c>
      <c r="N14" s="18">
        <v>26</v>
      </c>
      <c r="O14" s="18">
        <v>30</v>
      </c>
      <c r="P14">
        <v>56</v>
      </c>
      <c r="Q14" s="18" t="s">
        <v>34</v>
      </c>
      <c r="R14" s="18" t="s">
        <v>35</v>
      </c>
      <c r="S14" s="18" t="s">
        <v>36</v>
      </c>
      <c r="T14" s="18" t="s">
        <v>37</v>
      </c>
      <c r="U14" s="18">
        <v>2011</v>
      </c>
      <c r="V14" s="16">
        <f t="shared" si="0"/>
        <v>40544</v>
      </c>
      <c r="W14" s="18" t="str">
        <f t="shared" si="1"/>
        <v>Weedend</v>
      </c>
    </row>
    <row r="15" spans="1:23" x14ac:dyDescent="0.25">
      <c r="A15" s="19">
        <v>13</v>
      </c>
      <c r="B15" s="20">
        <v>40544</v>
      </c>
      <c r="C15" s="18">
        <v>1</v>
      </c>
      <c r="D15" s="18">
        <v>0</v>
      </c>
      <c r="E15" s="18">
        <v>1</v>
      </c>
      <c r="F15" s="18">
        <v>12</v>
      </c>
      <c r="G15" s="18" t="b">
        <v>0</v>
      </c>
      <c r="H15" s="18">
        <v>6</v>
      </c>
      <c r="I15" s="18">
        <v>1</v>
      </c>
      <c r="J15" s="18">
        <v>0.42</v>
      </c>
      <c r="K15">
        <v>0.42420000000000002</v>
      </c>
      <c r="L15">
        <v>0.77</v>
      </c>
      <c r="M15" s="18">
        <v>0.28360000000000002</v>
      </c>
      <c r="N15" s="18">
        <v>29</v>
      </c>
      <c r="O15" s="18">
        <v>55</v>
      </c>
      <c r="P15">
        <v>84</v>
      </c>
      <c r="Q15" s="18" t="s">
        <v>34</v>
      </c>
      <c r="R15" s="18" t="s">
        <v>35</v>
      </c>
      <c r="S15" s="18" t="s">
        <v>36</v>
      </c>
      <c r="T15" s="18" t="s">
        <v>37</v>
      </c>
      <c r="U15" s="18">
        <v>2011</v>
      </c>
      <c r="V15" s="16">
        <f t="shared" si="0"/>
        <v>40544</v>
      </c>
      <c r="W15" s="18" t="str">
        <f t="shared" si="1"/>
        <v>Weedend</v>
      </c>
    </row>
    <row r="16" spans="1:23" x14ac:dyDescent="0.25">
      <c r="A16" s="19">
        <v>14</v>
      </c>
      <c r="B16" s="20">
        <v>40544</v>
      </c>
      <c r="C16" s="18">
        <v>1</v>
      </c>
      <c r="D16" s="18">
        <v>0</v>
      </c>
      <c r="E16" s="18">
        <v>1</v>
      </c>
      <c r="F16" s="18">
        <v>13</v>
      </c>
      <c r="G16" s="18" t="b">
        <v>0</v>
      </c>
      <c r="H16" s="18">
        <v>6</v>
      </c>
      <c r="I16" s="18">
        <v>2</v>
      </c>
      <c r="J16" s="18">
        <v>0.46</v>
      </c>
      <c r="K16">
        <v>0.45450000000000002</v>
      </c>
      <c r="L16">
        <v>0.72</v>
      </c>
      <c r="M16" s="18">
        <v>0.29849999999999999</v>
      </c>
      <c r="N16" s="18">
        <v>47</v>
      </c>
      <c r="O16" s="18">
        <v>47</v>
      </c>
      <c r="P16">
        <v>94</v>
      </c>
      <c r="Q16" s="18" t="s">
        <v>34</v>
      </c>
      <c r="R16" s="18" t="s">
        <v>35</v>
      </c>
      <c r="S16" s="18" t="s">
        <v>38</v>
      </c>
      <c r="T16" s="18" t="s">
        <v>37</v>
      </c>
      <c r="U16" s="18">
        <v>2011</v>
      </c>
      <c r="V16" s="16">
        <f t="shared" si="0"/>
        <v>40544</v>
      </c>
      <c r="W16" s="18" t="str">
        <f t="shared" si="1"/>
        <v>Weedend</v>
      </c>
    </row>
    <row r="17" spans="1:23" x14ac:dyDescent="0.25">
      <c r="A17" s="19">
        <v>15</v>
      </c>
      <c r="B17" s="20">
        <v>40544</v>
      </c>
      <c r="C17" s="18">
        <v>1</v>
      </c>
      <c r="D17" s="18">
        <v>0</v>
      </c>
      <c r="E17" s="18">
        <v>1</v>
      </c>
      <c r="F17" s="18">
        <v>14</v>
      </c>
      <c r="G17" s="18" t="b">
        <v>0</v>
      </c>
      <c r="H17" s="18">
        <v>6</v>
      </c>
      <c r="I17" s="18">
        <v>2</v>
      </c>
      <c r="J17" s="18">
        <v>0.46</v>
      </c>
      <c r="K17">
        <v>0.45450000000000002</v>
      </c>
      <c r="L17">
        <v>0.72</v>
      </c>
      <c r="M17" s="18">
        <v>0.28360000000000002</v>
      </c>
      <c r="N17" s="18">
        <v>35</v>
      </c>
      <c r="O17" s="18">
        <v>71</v>
      </c>
      <c r="P17">
        <v>106</v>
      </c>
      <c r="Q17" s="18" t="s">
        <v>34</v>
      </c>
      <c r="R17" s="18" t="s">
        <v>35</v>
      </c>
      <c r="S17" s="18" t="s">
        <v>38</v>
      </c>
      <c r="T17" s="18" t="s">
        <v>37</v>
      </c>
      <c r="U17" s="18">
        <v>2011</v>
      </c>
      <c r="V17" s="16">
        <f t="shared" si="0"/>
        <v>40544</v>
      </c>
      <c r="W17" s="18" t="str">
        <f t="shared" si="1"/>
        <v>Weedend</v>
      </c>
    </row>
    <row r="18" spans="1:23" x14ac:dyDescent="0.25">
      <c r="A18" s="19">
        <v>16</v>
      </c>
      <c r="B18" s="20">
        <v>40544</v>
      </c>
      <c r="C18" s="18">
        <v>1</v>
      </c>
      <c r="D18" s="18">
        <v>0</v>
      </c>
      <c r="E18" s="18">
        <v>1</v>
      </c>
      <c r="F18" s="18">
        <v>15</v>
      </c>
      <c r="G18" s="18" t="b">
        <v>0</v>
      </c>
      <c r="H18" s="18">
        <v>6</v>
      </c>
      <c r="I18" s="18">
        <v>2</v>
      </c>
      <c r="J18" s="18">
        <v>0.44</v>
      </c>
      <c r="K18">
        <v>0.43940000000000001</v>
      </c>
      <c r="L18">
        <v>0.77</v>
      </c>
      <c r="M18" s="18">
        <v>0.29849999999999999</v>
      </c>
      <c r="N18" s="18">
        <v>40</v>
      </c>
      <c r="O18" s="18">
        <v>70</v>
      </c>
      <c r="P18">
        <v>110</v>
      </c>
      <c r="Q18" s="18" t="s">
        <v>34</v>
      </c>
      <c r="R18" s="18" t="s">
        <v>35</v>
      </c>
      <c r="S18" s="18" t="s">
        <v>38</v>
      </c>
      <c r="T18" s="18" t="s">
        <v>37</v>
      </c>
      <c r="U18" s="18">
        <v>2011</v>
      </c>
      <c r="V18" s="16">
        <f t="shared" si="0"/>
        <v>40545</v>
      </c>
      <c r="W18" s="18" t="str">
        <f t="shared" si="1"/>
        <v>Weedend</v>
      </c>
    </row>
    <row r="19" spans="1:23" x14ac:dyDescent="0.25">
      <c r="A19" s="19">
        <v>17</v>
      </c>
      <c r="B19" s="20">
        <v>40544</v>
      </c>
      <c r="C19" s="18">
        <v>1</v>
      </c>
      <c r="D19" s="18">
        <v>0</v>
      </c>
      <c r="E19" s="18">
        <v>1</v>
      </c>
      <c r="F19" s="18">
        <v>16</v>
      </c>
      <c r="G19" s="18" t="b">
        <v>0</v>
      </c>
      <c r="H19" s="18">
        <v>6</v>
      </c>
      <c r="I19" s="18">
        <v>2</v>
      </c>
      <c r="J19" s="18">
        <v>0.42</v>
      </c>
      <c r="K19">
        <v>0.42420000000000002</v>
      </c>
      <c r="L19">
        <v>0.82</v>
      </c>
      <c r="M19" s="18">
        <v>0.29849999999999999</v>
      </c>
      <c r="N19" s="18">
        <v>41</v>
      </c>
      <c r="O19" s="18">
        <v>52</v>
      </c>
      <c r="P19">
        <v>93</v>
      </c>
      <c r="Q19" s="18" t="s">
        <v>34</v>
      </c>
      <c r="R19" s="18" t="s">
        <v>35</v>
      </c>
      <c r="S19" s="18" t="s">
        <v>38</v>
      </c>
      <c r="T19" s="18" t="s">
        <v>37</v>
      </c>
      <c r="U19" s="18">
        <v>2011</v>
      </c>
      <c r="V19" s="16">
        <f t="shared" si="0"/>
        <v>40545</v>
      </c>
      <c r="W19" s="18" t="str">
        <f t="shared" si="1"/>
        <v>Weedend</v>
      </c>
    </row>
    <row r="20" spans="1:23" x14ac:dyDescent="0.25">
      <c r="A20" s="19">
        <v>18</v>
      </c>
      <c r="B20" s="20">
        <v>40544</v>
      </c>
      <c r="C20" s="18">
        <v>1</v>
      </c>
      <c r="D20" s="18">
        <v>0</v>
      </c>
      <c r="E20" s="18">
        <v>1</v>
      </c>
      <c r="F20" s="18">
        <v>17</v>
      </c>
      <c r="G20" s="18" t="b">
        <v>0</v>
      </c>
      <c r="H20" s="18">
        <v>6</v>
      </c>
      <c r="I20" s="18">
        <v>2</v>
      </c>
      <c r="J20" s="18">
        <v>0.44</v>
      </c>
      <c r="K20">
        <v>0</v>
      </c>
      <c r="L20">
        <v>0.82</v>
      </c>
      <c r="M20" s="18">
        <v>0.28360000000000002</v>
      </c>
      <c r="N20" s="18">
        <v>15</v>
      </c>
      <c r="O20" s="18">
        <v>52</v>
      </c>
      <c r="P20">
        <v>67</v>
      </c>
      <c r="Q20" s="18" t="s">
        <v>34</v>
      </c>
      <c r="R20" s="18" t="s">
        <v>35</v>
      </c>
      <c r="S20" s="18" t="s">
        <v>38</v>
      </c>
      <c r="T20" s="18" t="s">
        <v>37</v>
      </c>
      <c r="U20" s="18">
        <v>2011</v>
      </c>
      <c r="V20" s="16">
        <f t="shared" si="0"/>
        <v>40545</v>
      </c>
      <c r="W20" s="18" t="str">
        <f t="shared" si="1"/>
        <v>Weedend</v>
      </c>
    </row>
    <row r="21" spans="1:23" x14ac:dyDescent="0.25">
      <c r="A21" s="19">
        <v>19</v>
      </c>
      <c r="B21" s="20">
        <v>40544</v>
      </c>
      <c r="C21" s="18">
        <v>1</v>
      </c>
      <c r="D21" s="18">
        <v>0</v>
      </c>
      <c r="E21" s="18">
        <v>1</v>
      </c>
      <c r="F21" s="18">
        <v>18</v>
      </c>
      <c r="G21" s="18" t="b">
        <v>0</v>
      </c>
      <c r="H21" s="18">
        <v>6</v>
      </c>
      <c r="I21" s="18">
        <v>3</v>
      </c>
      <c r="J21" s="18">
        <v>0.42</v>
      </c>
      <c r="K21">
        <v>0.42420000000000002</v>
      </c>
      <c r="L21">
        <v>0.88</v>
      </c>
      <c r="M21" s="18">
        <v>0.25369999999999998</v>
      </c>
      <c r="N21" s="18">
        <v>9</v>
      </c>
      <c r="O21" s="18">
        <v>26</v>
      </c>
      <c r="P21">
        <v>35</v>
      </c>
      <c r="Q21" s="18" t="s">
        <v>34</v>
      </c>
      <c r="R21" s="18" t="s">
        <v>35</v>
      </c>
      <c r="S21" s="18" t="s">
        <v>39</v>
      </c>
      <c r="T21" s="18" t="s">
        <v>37</v>
      </c>
      <c r="U21" s="18">
        <v>2011</v>
      </c>
      <c r="V21" s="16">
        <f t="shared" si="0"/>
        <v>40545</v>
      </c>
      <c r="W21" s="18" t="str">
        <f t="shared" si="1"/>
        <v>Weedend</v>
      </c>
    </row>
    <row r="22" spans="1:23" x14ac:dyDescent="0.25">
      <c r="A22" s="19">
        <v>20</v>
      </c>
      <c r="B22" s="20">
        <v>40544</v>
      </c>
      <c r="C22" s="18">
        <v>1</v>
      </c>
      <c r="D22" s="18">
        <v>0</v>
      </c>
      <c r="E22" s="18">
        <v>1</v>
      </c>
      <c r="F22" s="18">
        <v>19</v>
      </c>
      <c r="G22" s="18" t="b">
        <v>0</v>
      </c>
      <c r="H22" s="18">
        <v>6</v>
      </c>
      <c r="I22" s="18">
        <v>3</v>
      </c>
      <c r="J22" s="18">
        <v>0.42</v>
      </c>
      <c r="K22">
        <v>0.42420000000000002</v>
      </c>
      <c r="L22">
        <v>0.88</v>
      </c>
      <c r="M22" s="18">
        <v>0.25369999999999998</v>
      </c>
      <c r="N22" s="18">
        <v>6</v>
      </c>
      <c r="O22" s="18">
        <v>31</v>
      </c>
      <c r="P22">
        <v>37</v>
      </c>
      <c r="Q22" s="18" t="s">
        <v>34</v>
      </c>
      <c r="R22" s="18" t="s">
        <v>35</v>
      </c>
      <c r="S22" s="18" t="s">
        <v>39</v>
      </c>
      <c r="T22" s="18" t="s">
        <v>37</v>
      </c>
      <c r="U22" s="18">
        <v>2011</v>
      </c>
      <c r="V22" s="16">
        <f t="shared" si="0"/>
        <v>40545</v>
      </c>
      <c r="W22" s="18" t="str">
        <f t="shared" si="1"/>
        <v>Weedend</v>
      </c>
    </row>
    <row r="23" spans="1:23" x14ac:dyDescent="0.25">
      <c r="A23" s="19">
        <v>21</v>
      </c>
      <c r="B23" s="20">
        <v>40544</v>
      </c>
      <c r="C23" s="18">
        <v>1</v>
      </c>
      <c r="D23" s="18">
        <v>0</v>
      </c>
      <c r="E23" s="18">
        <v>1</v>
      </c>
      <c r="F23" s="18">
        <v>20</v>
      </c>
      <c r="G23" s="18" t="b">
        <v>0</v>
      </c>
      <c r="H23" s="18">
        <v>6</v>
      </c>
      <c r="I23" s="18">
        <v>2</v>
      </c>
      <c r="J23" s="18">
        <v>0.4</v>
      </c>
      <c r="K23">
        <v>0.40910000000000002</v>
      </c>
      <c r="L23">
        <v>0.87</v>
      </c>
      <c r="M23" s="18">
        <v>0.25369999999999998</v>
      </c>
      <c r="N23" s="18">
        <v>11</v>
      </c>
      <c r="O23" s="18">
        <v>25</v>
      </c>
      <c r="P23">
        <v>36</v>
      </c>
      <c r="Q23" s="18" t="s">
        <v>34</v>
      </c>
      <c r="R23" s="18" t="s">
        <v>35</v>
      </c>
      <c r="S23" s="18" t="s">
        <v>38</v>
      </c>
      <c r="T23" s="18" t="s">
        <v>37</v>
      </c>
      <c r="U23" s="18">
        <v>2011</v>
      </c>
      <c r="V23" s="16">
        <f t="shared" si="0"/>
        <v>40545</v>
      </c>
      <c r="W23" s="18" t="str">
        <f t="shared" si="1"/>
        <v>Weedend</v>
      </c>
    </row>
    <row r="24" spans="1:23" x14ac:dyDescent="0.25">
      <c r="A24" s="19">
        <v>22</v>
      </c>
      <c r="B24" s="20">
        <v>40544</v>
      </c>
      <c r="C24" s="18">
        <v>1</v>
      </c>
      <c r="D24" s="18">
        <v>0</v>
      </c>
      <c r="E24" s="18">
        <v>1</v>
      </c>
      <c r="F24" s="18">
        <v>21</v>
      </c>
      <c r="G24" s="18" t="b">
        <v>0</v>
      </c>
      <c r="H24" s="18">
        <v>6</v>
      </c>
      <c r="I24" s="18">
        <v>2</v>
      </c>
      <c r="J24" s="18">
        <v>0.4</v>
      </c>
      <c r="K24">
        <v>0.40910000000000002</v>
      </c>
      <c r="L24">
        <v>0.87</v>
      </c>
      <c r="M24" s="18">
        <v>0.19400000000000001</v>
      </c>
      <c r="N24" s="18">
        <v>3</v>
      </c>
      <c r="O24" s="18">
        <v>31</v>
      </c>
      <c r="P24">
        <v>34</v>
      </c>
      <c r="Q24" s="18" t="s">
        <v>34</v>
      </c>
      <c r="R24" s="18" t="s">
        <v>35</v>
      </c>
      <c r="S24" s="18" t="s">
        <v>38</v>
      </c>
      <c r="T24" s="18" t="s">
        <v>37</v>
      </c>
      <c r="U24" s="18">
        <v>2011</v>
      </c>
      <c r="V24" s="16">
        <f t="shared" si="0"/>
        <v>40545</v>
      </c>
      <c r="W24" s="18" t="str">
        <f t="shared" si="1"/>
        <v>Weedend</v>
      </c>
    </row>
    <row r="25" spans="1:23" x14ac:dyDescent="0.25">
      <c r="A25" s="19">
        <v>23</v>
      </c>
      <c r="B25" s="20">
        <v>40544</v>
      </c>
      <c r="C25" s="18">
        <v>1</v>
      </c>
      <c r="D25" s="18">
        <v>0</v>
      </c>
      <c r="E25" s="18">
        <v>1</v>
      </c>
      <c r="F25" s="18">
        <v>22</v>
      </c>
      <c r="G25" s="18" t="b">
        <v>0</v>
      </c>
      <c r="H25" s="18">
        <v>6</v>
      </c>
      <c r="I25" s="18">
        <v>2</v>
      </c>
      <c r="J25" s="18">
        <v>0.4</v>
      </c>
      <c r="K25">
        <v>0.40910000000000002</v>
      </c>
      <c r="L25">
        <v>0.94</v>
      </c>
      <c r="M25" s="18">
        <v>0.22389999999999999</v>
      </c>
      <c r="N25" s="18">
        <v>11</v>
      </c>
      <c r="O25" s="18">
        <v>17</v>
      </c>
      <c r="P25">
        <v>28</v>
      </c>
      <c r="Q25" s="18" t="s">
        <v>34</v>
      </c>
      <c r="R25" s="18" t="s">
        <v>35</v>
      </c>
      <c r="S25" s="18" t="s">
        <v>38</v>
      </c>
      <c r="T25" s="18" t="s">
        <v>37</v>
      </c>
      <c r="U25" s="18">
        <v>2011</v>
      </c>
      <c r="V25" s="16">
        <f t="shared" si="0"/>
        <v>40545</v>
      </c>
      <c r="W25" s="18" t="str">
        <f t="shared" si="1"/>
        <v>Weedend</v>
      </c>
    </row>
    <row r="26" spans="1:23" x14ac:dyDescent="0.25">
      <c r="A26" s="19">
        <v>24</v>
      </c>
      <c r="B26" s="20">
        <v>40544</v>
      </c>
      <c r="C26" s="18">
        <v>1</v>
      </c>
      <c r="D26" s="18">
        <v>0</v>
      </c>
      <c r="E26" s="18">
        <v>1</v>
      </c>
      <c r="F26" s="18">
        <v>23</v>
      </c>
      <c r="G26" s="18" t="b">
        <v>0</v>
      </c>
      <c r="H26" s="18">
        <v>6</v>
      </c>
      <c r="I26" s="18">
        <v>2</v>
      </c>
      <c r="J26" s="18">
        <v>0.46</v>
      </c>
      <c r="K26">
        <v>0</v>
      </c>
      <c r="L26">
        <v>0.88</v>
      </c>
      <c r="M26" s="18">
        <v>0.29849999999999999</v>
      </c>
      <c r="N26" s="18">
        <v>15</v>
      </c>
      <c r="O26" s="18">
        <v>24</v>
      </c>
      <c r="P26">
        <v>39</v>
      </c>
      <c r="Q26" s="18" t="s">
        <v>34</v>
      </c>
      <c r="R26" s="18" t="s">
        <v>35</v>
      </c>
      <c r="S26" s="18" t="s">
        <v>38</v>
      </c>
      <c r="T26" s="18" t="s">
        <v>37</v>
      </c>
      <c r="U26" s="18">
        <v>2011</v>
      </c>
      <c r="V26" s="16">
        <f t="shared" si="0"/>
        <v>40545</v>
      </c>
      <c r="W26" s="18" t="str">
        <f t="shared" si="1"/>
        <v>Weedend</v>
      </c>
    </row>
    <row r="27" spans="1:23" x14ac:dyDescent="0.25">
      <c r="A27" s="19">
        <v>25</v>
      </c>
      <c r="B27" s="20">
        <v>40545</v>
      </c>
      <c r="C27" s="18">
        <v>1</v>
      </c>
      <c r="D27" s="18">
        <v>0</v>
      </c>
      <c r="E27" s="18">
        <v>1</v>
      </c>
      <c r="F27" s="18">
        <v>0</v>
      </c>
      <c r="G27" s="18" t="b">
        <v>0</v>
      </c>
      <c r="H27" s="18">
        <v>0</v>
      </c>
      <c r="I27" s="18">
        <v>2</v>
      </c>
      <c r="J27" s="18">
        <v>0.46</v>
      </c>
      <c r="K27">
        <v>0.45450000000000002</v>
      </c>
      <c r="L27">
        <v>0.88</v>
      </c>
      <c r="M27" s="18">
        <v>0.29849999999999999</v>
      </c>
      <c r="N27" s="18">
        <v>4</v>
      </c>
      <c r="O27" s="18">
        <v>13</v>
      </c>
      <c r="P27">
        <v>17</v>
      </c>
      <c r="Q27" s="18" t="s">
        <v>34</v>
      </c>
      <c r="R27" s="18" t="s">
        <v>35</v>
      </c>
      <c r="S27" s="18" t="s">
        <v>38</v>
      </c>
      <c r="T27" s="18" t="s">
        <v>40</v>
      </c>
      <c r="U27" s="18">
        <v>2011</v>
      </c>
      <c r="V27" s="16">
        <f t="shared" si="0"/>
        <v>40545</v>
      </c>
      <c r="W27" s="18" t="str">
        <f t="shared" si="1"/>
        <v>Weedend</v>
      </c>
    </row>
    <row r="28" spans="1:23" x14ac:dyDescent="0.25">
      <c r="A28" s="19">
        <v>26</v>
      </c>
      <c r="B28" s="20">
        <v>40545</v>
      </c>
      <c r="C28" s="18">
        <v>1</v>
      </c>
      <c r="D28" s="18">
        <v>0</v>
      </c>
      <c r="E28" s="18">
        <v>1</v>
      </c>
      <c r="F28" s="18">
        <v>1</v>
      </c>
      <c r="G28" s="18" t="b">
        <v>0</v>
      </c>
      <c r="H28" s="18">
        <v>0</v>
      </c>
      <c r="I28" s="18">
        <v>2</v>
      </c>
      <c r="J28" s="18">
        <v>0.44</v>
      </c>
      <c r="K28">
        <v>0.43940000000000001</v>
      </c>
      <c r="L28">
        <v>0.94</v>
      </c>
      <c r="M28" s="18">
        <v>0.25369999999999998</v>
      </c>
      <c r="N28" s="18">
        <v>1</v>
      </c>
      <c r="O28" s="18">
        <v>16</v>
      </c>
      <c r="P28">
        <v>17</v>
      </c>
      <c r="Q28" s="18" t="s">
        <v>34</v>
      </c>
      <c r="R28" s="18" t="s">
        <v>35</v>
      </c>
      <c r="S28" s="18" t="s">
        <v>38</v>
      </c>
      <c r="T28" s="18" t="s">
        <v>40</v>
      </c>
      <c r="U28" s="18">
        <v>2011</v>
      </c>
      <c r="V28" s="16">
        <f t="shared" si="0"/>
        <v>40545</v>
      </c>
      <c r="W28" s="18" t="str">
        <f t="shared" si="1"/>
        <v>Weedend</v>
      </c>
    </row>
    <row r="29" spans="1:23" x14ac:dyDescent="0.25">
      <c r="A29" s="19">
        <v>27</v>
      </c>
      <c r="B29" s="20">
        <v>40545</v>
      </c>
      <c r="C29" s="18">
        <v>1</v>
      </c>
      <c r="D29" s="18">
        <v>0</v>
      </c>
      <c r="E29" s="18">
        <v>1</v>
      </c>
      <c r="F29" s="18">
        <v>2</v>
      </c>
      <c r="G29" s="18" t="b">
        <v>0</v>
      </c>
      <c r="H29" s="18">
        <v>0</v>
      </c>
      <c r="I29" s="18">
        <v>2</v>
      </c>
      <c r="J29" s="18">
        <v>0.42</v>
      </c>
      <c r="K29">
        <v>0.42420000000000002</v>
      </c>
      <c r="L29">
        <v>1</v>
      </c>
      <c r="M29" s="18">
        <v>0.28360000000000002</v>
      </c>
      <c r="N29" s="18">
        <v>1</v>
      </c>
      <c r="O29" s="18">
        <v>8</v>
      </c>
      <c r="P29">
        <v>9</v>
      </c>
      <c r="Q29" s="18" t="s">
        <v>34</v>
      </c>
      <c r="R29" s="18" t="s">
        <v>35</v>
      </c>
      <c r="S29" s="18" t="s">
        <v>38</v>
      </c>
      <c r="T29" s="18" t="s">
        <v>40</v>
      </c>
      <c r="U29" s="18">
        <v>2011</v>
      </c>
      <c r="V29" s="16">
        <f t="shared" si="0"/>
        <v>40545</v>
      </c>
      <c r="W29" s="18" t="str">
        <f t="shared" si="1"/>
        <v>Weedend</v>
      </c>
    </row>
    <row r="30" spans="1:23" x14ac:dyDescent="0.25">
      <c r="A30" s="19">
        <v>28</v>
      </c>
      <c r="B30" s="20">
        <v>40545</v>
      </c>
      <c r="C30" s="18">
        <v>1</v>
      </c>
      <c r="D30" s="18">
        <v>0</v>
      </c>
      <c r="E30" s="18">
        <v>1</v>
      </c>
      <c r="F30" s="18">
        <v>3</v>
      </c>
      <c r="G30" s="18" t="b">
        <v>0</v>
      </c>
      <c r="H30" s="18">
        <v>0</v>
      </c>
      <c r="I30" s="18">
        <v>2</v>
      </c>
      <c r="J30" s="18">
        <v>0.46</v>
      </c>
      <c r="K30">
        <v>0.45450000000000002</v>
      </c>
      <c r="L30">
        <v>0.94</v>
      </c>
      <c r="M30" s="18">
        <v>0.19400000000000001</v>
      </c>
      <c r="N30" s="18">
        <v>2</v>
      </c>
      <c r="O30" s="18">
        <v>4</v>
      </c>
      <c r="P30">
        <v>6</v>
      </c>
      <c r="Q30" s="18" t="s">
        <v>34</v>
      </c>
      <c r="R30" s="18" t="s">
        <v>35</v>
      </c>
      <c r="S30" s="18" t="s">
        <v>38</v>
      </c>
      <c r="T30" s="18" t="s">
        <v>40</v>
      </c>
      <c r="U30" s="18">
        <v>2011</v>
      </c>
      <c r="V30" s="16">
        <f t="shared" si="0"/>
        <v>40545</v>
      </c>
      <c r="W30" s="18" t="str">
        <f t="shared" si="1"/>
        <v>Weedend</v>
      </c>
    </row>
    <row r="31" spans="1:23" x14ac:dyDescent="0.25">
      <c r="A31" s="19">
        <v>29</v>
      </c>
      <c r="B31" s="20">
        <v>40545</v>
      </c>
      <c r="C31" s="18">
        <v>1</v>
      </c>
      <c r="D31" s="18">
        <v>0</v>
      </c>
      <c r="E31" s="18">
        <v>1</v>
      </c>
      <c r="F31" s="18">
        <v>4</v>
      </c>
      <c r="G31" s="18" t="b">
        <v>0</v>
      </c>
      <c r="H31" s="18">
        <v>0</v>
      </c>
      <c r="I31" s="18">
        <v>2</v>
      </c>
      <c r="J31" s="18">
        <v>0.46</v>
      </c>
      <c r="K31">
        <v>0</v>
      </c>
      <c r="L31">
        <v>0.94</v>
      </c>
      <c r="M31" s="18">
        <v>0.19400000000000001</v>
      </c>
      <c r="N31" s="18">
        <v>2</v>
      </c>
      <c r="O31" s="18">
        <v>1</v>
      </c>
      <c r="P31">
        <v>3</v>
      </c>
      <c r="Q31" s="18" t="s">
        <v>34</v>
      </c>
      <c r="R31" s="18" t="s">
        <v>35</v>
      </c>
      <c r="S31" s="18" t="s">
        <v>38</v>
      </c>
      <c r="T31" s="18" t="s">
        <v>40</v>
      </c>
      <c r="U31" s="18">
        <v>2011</v>
      </c>
      <c r="V31" s="16">
        <f t="shared" si="0"/>
        <v>40545</v>
      </c>
      <c r="W31" s="18" t="str">
        <f t="shared" si="1"/>
        <v>Weedend</v>
      </c>
    </row>
    <row r="32" spans="1:23" x14ac:dyDescent="0.25">
      <c r="A32" s="19">
        <v>30</v>
      </c>
      <c r="B32" s="20">
        <v>40545</v>
      </c>
      <c r="C32" s="18">
        <v>1</v>
      </c>
      <c r="D32" s="18">
        <v>0</v>
      </c>
      <c r="E32" s="18">
        <v>1</v>
      </c>
      <c r="F32" s="18">
        <v>6</v>
      </c>
      <c r="G32" s="18" t="b">
        <v>0</v>
      </c>
      <c r="H32" s="18">
        <v>0</v>
      </c>
      <c r="I32" s="18">
        <v>3</v>
      </c>
      <c r="J32" s="18">
        <v>0.42</v>
      </c>
      <c r="K32">
        <v>0.42420000000000002</v>
      </c>
      <c r="L32">
        <v>0.77</v>
      </c>
      <c r="M32" s="18">
        <v>0.29849999999999999</v>
      </c>
      <c r="N32" s="18">
        <v>0</v>
      </c>
      <c r="O32" s="18">
        <v>2</v>
      </c>
      <c r="P32">
        <v>2</v>
      </c>
      <c r="Q32" s="18" t="s">
        <v>34</v>
      </c>
      <c r="R32" s="18" t="s">
        <v>35</v>
      </c>
      <c r="S32" s="18" t="s">
        <v>39</v>
      </c>
      <c r="T32" s="18" t="s">
        <v>40</v>
      </c>
      <c r="U32" s="18">
        <v>2011</v>
      </c>
      <c r="V32" s="16">
        <f t="shared" si="0"/>
        <v>40545</v>
      </c>
      <c r="W32" s="18" t="str">
        <f t="shared" si="1"/>
        <v>Weedend</v>
      </c>
    </row>
    <row r="33" spans="1:23" x14ac:dyDescent="0.25">
      <c r="A33" s="19">
        <v>31</v>
      </c>
      <c r="B33" s="20">
        <v>40545</v>
      </c>
      <c r="C33" s="18">
        <v>1</v>
      </c>
      <c r="D33" s="18">
        <v>0</v>
      </c>
      <c r="E33" s="18">
        <v>1</v>
      </c>
      <c r="F33" s="18">
        <v>7</v>
      </c>
      <c r="G33" s="18" t="b">
        <v>0</v>
      </c>
      <c r="H33" s="18">
        <v>0</v>
      </c>
      <c r="I33" s="18">
        <v>2</v>
      </c>
      <c r="J33" s="18">
        <v>0.4</v>
      </c>
      <c r="K33">
        <v>0.40910000000000002</v>
      </c>
      <c r="L33">
        <v>0.76</v>
      </c>
      <c r="M33" s="18">
        <v>0.19400000000000001</v>
      </c>
      <c r="N33" s="18">
        <v>0</v>
      </c>
      <c r="O33" s="18">
        <v>1</v>
      </c>
      <c r="P33">
        <v>1</v>
      </c>
      <c r="Q33" s="18" t="s">
        <v>34</v>
      </c>
      <c r="R33" s="18" t="s">
        <v>35</v>
      </c>
      <c r="S33" s="18" t="s">
        <v>38</v>
      </c>
      <c r="T33" s="18" t="s">
        <v>40</v>
      </c>
      <c r="U33" s="18">
        <v>2011</v>
      </c>
      <c r="V33" s="16">
        <f t="shared" si="0"/>
        <v>40587</v>
      </c>
      <c r="W33" s="18" t="str">
        <f t="shared" si="1"/>
        <v>Weedend</v>
      </c>
    </row>
    <row r="34" spans="1:23" x14ac:dyDescent="0.25">
      <c r="A34" s="19">
        <v>32</v>
      </c>
      <c r="B34" s="20">
        <v>40545</v>
      </c>
      <c r="C34" s="18">
        <v>1</v>
      </c>
      <c r="D34" s="18">
        <v>0</v>
      </c>
      <c r="E34" s="18">
        <v>1</v>
      </c>
      <c r="F34" s="18">
        <v>8</v>
      </c>
      <c r="G34" s="18" t="b">
        <v>0</v>
      </c>
      <c r="H34" s="18">
        <v>0</v>
      </c>
      <c r="I34" s="18">
        <v>3</v>
      </c>
      <c r="J34" s="18">
        <v>0.4</v>
      </c>
      <c r="K34">
        <v>0.40910000000000002</v>
      </c>
      <c r="L34">
        <v>0.71</v>
      </c>
      <c r="M34" s="18">
        <v>0.22389999999999999</v>
      </c>
      <c r="N34" s="18">
        <v>0</v>
      </c>
      <c r="O34" s="18">
        <v>8</v>
      </c>
      <c r="P34">
        <v>8</v>
      </c>
      <c r="Q34" s="18" t="s">
        <v>34</v>
      </c>
      <c r="R34" s="18" t="s">
        <v>35</v>
      </c>
      <c r="S34" s="18" t="s">
        <v>39</v>
      </c>
      <c r="T34" s="18" t="s">
        <v>40</v>
      </c>
      <c r="U34" s="18">
        <v>2011</v>
      </c>
      <c r="V34" s="16">
        <f t="shared" si="0"/>
        <v>40587</v>
      </c>
      <c r="W34" s="18" t="str">
        <f t="shared" si="1"/>
        <v>Weedend</v>
      </c>
    </row>
    <row r="35" spans="1:23" x14ac:dyDescent="0.25">
      <c r="A35" s="19">
        <v>33</v>
      </c>
      <c r="B35" s="20">
        <v>40545</v>
      </c>
      <c r="C35" s="18">
        <v>1</v>
      </c>
      <c r="D35" s="18">
        <v>0</v>
      </c>
      <c r="E35" s="18">
        <v>1</v>
      </c>
      <c r="F35" s="18">
        <v>9</v>
      </c>
      <c r="G35" s="18" t="b">
        <v>0</v>
      </c>
      <c r="H35" s="18">
        <v>0</v>
      </c>
      <c r="I35" s="18">
        <v>2</v>
      </c>
      <c r="J35" s="18">
        <v>0.38</v>
      </c>
      <c r="K35">
        <v>0</v>
      </c>
      <c r="L35">
        <v>0.76</v>
      </c>
      <c r="M35" s="18">
        <v>0.22389999999999999</v>
      </c>
      <c r="N35" s="18">
        <v>1</v>
      </c>
      <c r="O35" s="18">
        <v>19</v>
      </c>
      <c r="P35">
        <v>20</v>
      </c>
      <c r="Q35" s="18" t="s">
        <v>34</v>
      </c>
      <c r="R35" s="18" t="s">
        <v>35</v>
      </c>
      <c r="S35" s="18" t="s">
        <v>38</v>
      </c>
      <c r="T35" s="18" t="s">
        <v>40</v>
      </c>
      <c r="U35" s="18">
        <v>2011</v>
      </c>
      <c r="V35" s="16">
        <f t="shared" si="0"/>
        <v>40587</v>
      </c>
      <c r="W35" s="18" t="str">
        <f t="shared" si="1"/>
        <v>Weedend</v>
      </c>
    </row>
    <row r="36" spans="1:23" x14ac:dyDescent="0.25">
      <c r="A36" s="19">
        <v>34</v>
      </c>
      <c r="B36" s="20">
        <v>40545</v>
      </c>
      <c r="C36" s="18">
        <v>1</v>
      </c>
      <c r="D36" s="18">
        <v>0</v>
      </c>
      <c r="E36" s="18">
        <v>1</v>
      </c>
      <c r="F36" s="18">
        <v>10</v>
      </c>
      <c r="G36" s="18" t="b">
        <v>0</v>
      </c>
      <c r="H36" s="18">
        <v>0</v>
      </c>
      <c r="I36" s="18">
        <v>2</v>
      </c>
      <c r="J36" s="18">
        <v>0.36</v>
      </c>
      <c r="K36">
        <v>0.34849999999999998</v>
      </c>
      <c r="L36">
        <v>0.81</v>
      </c>
      <c r="M36" s="18">
        <v>0.22389999999999999</v>
      </c>
      <c r="N36" s="18">
        <v>7</v>
      </c>
      <c r="O36" s="18">
        <v>46</v>
      </c>
      <c r="P36">
        <v>53</v>
      </c>
      <c r="Q36" s="18" t="s">
        <v>34</v>
      </c>
      <c r="R36" s="18" t="s">
        <v>35</v>
      </c>
      <c r="S36" s="18" t="s">
        <v>38</v>
      </c>
      <c r="T36" s="18" t="s">
        <v>40</v>
      </c>
      <c r="U36" s="18">
        <v>2011</v>
      </c>
      <c r="V36" s="16">
        <f t="shared" si="0"/>
        <v>40587</v>
      </c>
      <c r="W36" s="18" t="str">
        <f t="shared" si="1"/>
        <v>Weedend</v>
      </c>
    </row>
    <row r="37" spans="1:23" x14ac:dyDescent="0.25">
      <c r="A37" s="19">
        <v>35</v>
      </c>
      <c r="B37" s="20">
        <v>40545</v>
      </c>
      <c r="C37" s="18">
        <v>1</v>
      </c>
      <c r="D37" s="18">
        <v>0</v>
      </c>
      <c r="E37" s="18">
        <v>1</v>
      </c>
      <c r="F37" s="18">
        <v>11</v>
      </c>
      <c r="G37" s="18" t="b">
        <v>0</v>
      </c>
      <c r="H37" s="18">
        <v>0</v>
      </c>
      <c r="I37" s="18">
        <v>2</v>
      </c>
      <c r="J37" s="18">
        <v>0.36</v>
      </c>
      <c r="K37">
        <v>0.33329999999999999</v>
      </c>
      <c r="L37">
        <v>0.71</v>
      </c>
      <c r="M37" s="18">
        <v>0.25369999999999998</v>
      </c>
      <c r="N37" s="18">
        <v>16</v>
      </c>
      <c r="O37" s="18">
        <v>54</v>
      </c>
      <c r="P37">
        <v>70</v>
      </c>
      <c r="Q37" s="18" t="s">
        <v>34</v>
      </c>
      <c r="R37" s="18" t="s">
        <v>35</v>
      </c>
      <c r="S37" s="18" t="s">
        <v>38</v>
      </c>
      <c r="T37" s="18" t="s">
        <v>40</v>
      </c>
      <c r="U37" s="18">
        <v>2011</v>
      </c>
      <c r="V37" s="16">
        <f t="shared" si="0"/>
        <v>40587</v>
      </c>
      <c r="W37" s="18" t="str">
        <f t="shared" si="1"/>
        <v>Weedend</v>
      </c>
    </row>
    <row r="38" spans="1:23" x14ac:dyDescent="0.25">
      <c r="A38" s="19">
        <v>36</v>
      </c>
      <c r="B38" s="20">
        <v>40545</v>
      </c>
      <c r="C38" s="18">
        <v>1</v>
      </c>
      <c r="D38" s="18">
        <v>0</v>
      </c>
      <c r="E38" s="18">
        <v>1</v>
      </c>
      <c r="F38" s="18">
        <v>12</v>
      </c>
      <c r="G38" s="18" t="b">
        <v>0</v>
      </c>
      <c r="H38" s="18">
        <v>0</v>
      </c>
      <c r="I38" s="18">
        <v>2</v>
      </c>
      <c r="J38" s="18">
        <v>0.36</v>
      </c>
      <c r="K38">
        <v>0.33329999999999999</v>
      </c>
      <c r="L38">
        <v>0.66</v>
      </c>
      <c r="M38" s="18">
        <v>0.29849999999999999</v>
      </c>
      <c r="N38" s="18">
        <v>20</v>
      </c>
      <c r="O38" s="18">
        <v>73</v>
      </c>
      <c r="P38">
        <v>93</v>
      </c>
      <c r="Q38" s="18" t="s">
        <v>34</v>
      </c>
      <c r="R38" s="18" t="s">
        <v>35</v>
      </c>
      <c r="S38" s="18" t="s">
        <v>38</v>
      </c>
      <c r="T38" s="18" t="s">
        <v>40</v>
      </c>
      <c r="U38" s="18">
        <v>2011</v>
      </c>
      <c r="V38" s="16">
        <f t="shared" si="0"/>
        <v>40587</v>
      </c>
      <c r="W38" s="18" t="str">
        <f t="shared" si="1"/>
        <v>Weedend</v>
      </c>
    </row>
    <row r="39" spans="1:23" x14ac:dyDescent="0.25">
      <c r="A39" s="19">
        <v>37</v>
      </c>
      <c r="B39" s="20">
        <v>40545</v>
      </c>
      <c r="C39" s="18">
        <v>1</v>
      </c>
      <c r="D39" s="18">
        <v>0</v>
      </c>
      <c r="E39" s="18">
        <v>1</v>
      </c>
      <c r="F39" s="18">
        <v>13</v>
      </c>
      <c r="G39" s="18" t="b">
        <v>0</v>
      </c>
      <c r="H39" s="18">
        <v>0</v>
      </c>
      <c r="I39" s="18">
        <v>2</v>
      </c>
      <c r="J39" s="18">
        <v>0.36</v>
      </c>
      <c r="K39">
        <v>0.34849999999999998</v>
      </c>
      <c r="L39">
        <v>0.66</v>
      </c>
      <c r="M39" s="18">
        <v>0.1343</v>
      </c>
      <c r="N39" s="18">
        <v>11</v>
      </c>
      <c r="O39" s="18">
        <v>64</v>
      </c>
      <c r="P39">
        <v>75</v>
      </c>
      <c r="Q39" s="18" t="s">
        <v>34</v>
      </c>
      <c r="R39" s="18" t="s">
        <v>35</v>
      </c>
      <c r="S39" s="18" t="s">
        <v>38</v>
      </c>
      <c r="T39" s="18" t="s">
        <v>40</v>
      </c>
      <c r="U39" s="18">
        <v>2011</v>
      </c>
      <c r="V39" s="16">
        <f t="shared" si="0"/>
        <v>40587</v>
      </c>
      <c r="W39" s="18" t="str">
        <f t="shared" si="1"/>
        <v>Weedend</v>
      </c>
    </row>
    <row r="40" spans="1:23" x14ac:dyDescent="0.25">
      <c r="A40" s="19">
        <v>38</v>
      </c>
      <c r="B40" s="20">
        <v>40545</v>
      </c>
      <c r="C40" s="18">
        <v>1</v>
      </c>
      <c r="D40" s="18">
        <v>0</v>
      </c>
      <c r="E40" s="18">
        <v>1</v>
      </c>
      <c r="F40" s="18">
        <v>14</v>
      </c>
      <c r="G40" s="18" t="b">
        <v>0</v>
      </c>
      <c r="H40" s="18">
        <v>0</v>
      </c>
      <c r="I40" s="18">
        <v>3</v>
      </c>
      <c r="J40" s="18">
        <v>0.36</v>
      </c>
      <c r="K40">
        <v>0</v>
      </c>
      <c r="L40">
        <v>0.76</v>
      </c>
      <c r="M40" s="18">
        <v>0.19400000000000001</v>
      </c>
      <c r="N40" s="18">
        <v>4</v>
      </c>
      <c r="O40" s="18">
        <v>55</v>
      </c>
      <c r="P40">
        <v>59</v>
      </c>
      <c r="Q40" s="18" t="s">
        <v>34</v>
      </c>
      <c r="R40" s="18" t="s">
        <v>35</v>
      </c>
      <c r="S40" s="18" t="s">
        <v>39</v>
      </c>
      <c r="T40" s="18" t="s">
        <v>40</v>
      </c>
      <c r="U40" s="18">
        <v>2011</v>
      </c>
      <c r="V40" s="16">
        <f t="shared" si="0"/>
        <v>40587</v>
      </c>
      <c r="W40" s="18" t="str">
        <f t="shared" si="1"/>
        <v>Weedend</v>
      </c>
    </row>
    <row r="41" spans="1:23" x14ac:dyDescent="0.25">
      <c r="A41" s="19">
        <v>39</v>
      </c>
      <c r="B41" s="20">
        <v>40545</v>
      </c>
      <c r="C41" s="18">
        <v>1</v>
      </c>
      <c r="D41" s="18">
        <v>0</v>
      </c>
      <c r="E41" s="18">
        <v>1</v>
      </c>
      <c r="F41" s="18">
        <v>15</v>
      </c>
      <c r="G41" s="18" t="b">
        <v>0</v>
      </c>
      <c r="H41" s="18">
        <v>0</v>
      </c>
      <c r="I41" s="18">
        <v>3</v>
      </c>
      <c r="J41" s="18">
        <v>0.34</v>
      </c>
      <c r="K41">
        <v>0.33329999999999999</v>
      </c>
      <c r="L41">
        <v>0.81</v>
      </c>
      <c r="M41" s="18">
        <v>0.16420000000000001</v>
      </c>
      <c r="N41" s="18">
        <v>19</v>
      </c>
      <c r="O41" s="18">
        <v>55</v>
      </c>
      <c r="P41">
        <v>74</v>
      </c>
      <c r="Q41" s="18" t="s">
        <v>34</v>
      </c>
      <c r="R41" s="18" t="s">
        <v>35</v>
      </c>
      <c r="S41" s="18" t="s">
        <v>39</v>
      </c>
      <c r="T41" s="18" t="s">
        <v>40</v>
      </c>
      <c r="U41" s="18">
        <v>2011</v>
      </c>
      <c r="V41" s="16">
        <f t="shared" si="0"/>
        <v>40587</v>
      </c>
      <c r="W41" s="18" t="str">
        <f t="shared" si="1"/>
        <v>Weedend</v>
      </c>
    </row>
    <row r="42" spans="1:23" x14ac:dyDescent="0.25">
      <c r="A42" s="19">
        <v>40</v>
      </c>
      <c r="B42" s="20">
        <v>40545</v>
      </c>
      <c r="C42" s="18">
        <v>1</v>
      </c>
      <c r="D42" s="18">
        <v>0</v>
      </c>
      <c r="E42" s="18">
        <v>1</v>
      </c>
      <c r="F42" s="18">
        <v>16</v>
      </c>
      <c r="G42" s="18" t="b">
        <v>0</v>
      </c>
      <c r="H42" s="18">
        <v>0</v>
      </c>
      <c r="I42" s="18">
        <v>3</v>
      </c>
      <c r="J42" s="18">
        <v>0.34</v>
      </c>
      <c r="K42">
        <v>0.33329999999999999</v>
      </c>
      <c r="L42">
        <v>0.71</v>
      </c>
      <c r="M42" s="18">
        <v>0.16420000000000001</v>
      </c>
      <c r="N42" s="18">
        <v>9</v>
      </c>
      <c r="O42" s="18">
        <v>67</v>
      </c>
      <c r="P42">
        <v>76</v>
      </c>
      <c r="Q42" s="18" t="s">
        <v>34</v>
      </c>
      <c r="R42" s="18" t="s">
        <v>35</v>
      </c>
      <c r="S42" s="18" t="s">
        <v>39</v>
      </c>
      <c r="T42" s="18" t="s">
        <v>40</v>
      </c>
      <c r="U42" s="18">
        <v>2011</v>
      </c>
      <c r="V42" s="16">
        <f t="shared" si="0"/>
        <v>40587</v>
      </c>
      <c r="W42" s="18" t="str">
        <f t="shared" si="1"/>
        <v>Weedend</v>
      </c>
    </row>
    <row r="43" spans="1:23" x14ac:dyDescent="0.25">
      <c r="A43" s="19">
        <v>41</v>
      </c>
      <c r="B43" s="20">
        <v>40545</v>
      </c>
      <c r="C43" s="18">
        <v>1</v>
      </c>
      <c r="D43" s="18">
        <v>0</v>
      </c>
      <c r="E43" s="18">
        <v>1</v>
      </c>
      <c r="F43" s="18">
        <v>17</v>
      </c>
      <c r="G43" s="18" t="b">
        <v>0</v>
      </c>
      <c r="H43" s="18">
        <v>0</v>
      </c>
      <c r="I43" s="18">
        <v>1</v>
      </c>
      <c r="J43" s="18">
        <v>0.34</v>
      </c>
      <c r="K43">
        <v>0.33329999999999999</v>
      </c>
      <c r="L43">
        <v>0.56999999999999995</v>
      </c>
      <c r="M43" s="18">
        <v>0.19400000000000001</v>
      </c>
      <c r="N43" s="18">
        <v>7</v>
      </c>
      <c r="O43" s="18">
        <v>58</v>
      </c>
      <c r="P43">
        <v>65</v>
      </c>
      <c r="Q43" s="18" t="s">
        <v>34</v>
      </c>
      <c r="R43" s="18" t="s">
        <v>35</v>
      </c>
      <c r="S43" s="18" t="s">
        <v>36</v>
      </c>
      <c r="T43" s="18" t="s">
        <v>40</v>
      </c>
      <c r="U43" s="18">
        <v>2011</v>
      </c>
      <c r="V43" s="16">
        <f t="shared" si="0"/>
        <v>40587</v>
      </c>
      <c r="W43" s="18" t="str">
        <f t="shared" si="1"/>
        <v>Weedend</v>
      </c>
    </row>
    <row r="44" spans="1:23" x14ac:dyDescent="0.25">
      <c r="A44" s="19">
        <v>42</v>
      </c>
      <c r="B44" s="20">
        <v>40545</v>
      </c>
      <c r="C44" s="18">
        <v>1</v>
      </c>
      <c r="D44" s="18">
        <v>0</v>
      </c>
      <c r="E44" s="18">
        <v>1</v>
      </c>
      <c r="F44" s="18">
        <v>18</v>
      </c>
      <c r="G44" s="18" t="b">
        <v>0</v>
      </c>
      <c r="H44" s="18">
        <v>0</v>
      </c>
      <c r="I44" s="18">
        <v>2</v>
      </c>
      <c r="J44" s="18">
        <v>0.36</v>
      </c>
      <c r="K44">
        <v>0.33329999999999999</v>
      </c>
      <c r="L44">
        <v>0.46</v>
      </c>
      <c r="M44" s="18">
        <v>0.32840000000000003</v>
      </c>
      <c r="N44" s="18">
        <v>10</v>
      </c>
      <c r="O44" s="18">
        <v>43</v>
      </c>
      <c r="P44">
        <v>53</v>
      </c>
      <c r="Q44" s="18" t="s">
        <v>34</v>
      </c>
      <c r="R44" s="18" t="s">
        <v>35</v>
      </c>
      <c r="S44" s="18" t="s">
        <v>38</v>
      </c>
      <c r="T44" s="18" t="s">
        <v>40</v>
      </c>
      <c r="U44" s="18">
        <v>2011</v>
      </c>
      <c r="V44" s="16">
        <f t="shared" si="0"/>
        <v>40587</v>
      </c>
      <c r="W44" s="18" t="str">
        <f t="shared" si="1"/>
        <v>Weedend</v>
      </c>
    </row>
    <row r="45" spans="1:23" x14ac:dyDescent="0.25">
      <c r="A45" s="19">
        <v>43</v>
      </c>
      <c r="B45" s="20">
        <v>40545</v>
      </c>
      <c r="C45" s="18">
        <v>1</v>
      </c>
      <c r="D45" s="18">
        <v>0</v>
      </c>
      <c r="E45" s="18">
        <v>1</v>
      </c>
      <c r="F45" s="18">
        <v>19</v>
      </c>
      <c r="G45" s="18" t="b">
        <v>0</v>
      </c>
      <c r="H45" s="18">
        <v>0</v>
      </c>
      <c r="I45" s="18">
        <v>1</v>
      </c>
      <c r="J45" s="18">
        <v>0.32</v>
      </c>
      <c r="K45">
        <v>0.28789999999999999</v>
      </c>
      <c r="L45">
        <v>0.42</v>
      </c>
      <c r="M45" s="18">
        <v>0.44779999999999998</v>
      </c>
      <c r="N45" s="18">
        <v>1</v>
      </c>
      <c r="O45" s="18">
        <v>29</v>
      </c>
      <c r="P45">
        <v>30</v>
      </c>
      <c r="Q45" s="18" t="s">
        <v>34</v>
      </c>
      <c r="R45" s="18" t="s">
        <v>35</v>
      </c>
      <c r="S45" s="18" t="s">
        <v>36</v>
      </c>
      <c r="T45" s="18" t="s">
        <v>40</v>
      </c>
      <c r="U45" s="18">
        <v>2011</v>
      </c>
      <c r="V45" s="16">
        <f t="shared" si="0"/>
        <v>40587</v>
      </c>
      <c r="W45" s="18" t="str">
        <f t="shared" si="1"/>
        <v>Weedend</v>
      </c>
    </row>
    <row r="46" spans="1:23" x14ac:dyDescent="0.25">
      <c r="A46" s="19">
        <v>44</v>
      </c>
      <c r="B46" s="20">
        <v>40545</v>
      </c>
      <c r="C46" s="18">
        <v>1</v>
      </c>
      <c r="D46" s="18">
        <v>0</v>
      </c>
      <c r="E46" s="18">
        <v>1</v>
      </c>
      <c r="F46" s="18">
        <v>20</v>
      </c>
      <c r="G46" s="18" t="b">
        <v>0</v>
      </c>
      <c r="H46" s="18">
        <v>0</v>
      </c>
      <c r="I46" s="18">
        <v>1</v>
      </c>
      <c r="J46" s="18">
        <v>0.3</v>
      </c>
      <c r="K46">
        <v>0</v>
      </c>
      <c r="L46">
        <v>0.39</v>
      </c>
      <c r="M46" s="18">
        <v>0.35820000000000002</v>
      </c>
      <c r="N46" s="18">
        <v>5</v>
      </c>
      <c r="O46" s="18">
        <v>17</v>
      </c>
      <c r="P46">
        <v>22</v>
      </c>
      <c r="Q46" s="18" t="s">
        <v>34</v>
      </c>
      <c r="R46" s="18" t="s">
        <v>35</v>
      </c>
      <c r="S46" s="18" t="s">
        <v>36</v>
      </c>
      <c r="T46" s="18" t="s">
        <v>40</v>
      </c>
      <c r="U46" s="18">
        <v>2011</v>
      </c>
      <c r="V46" s="16">
        <f t="shared" si="0"/>
        <v>40587</v>
      </c>
      <c r="W46" s="18" t="str">
        <f t="shared" si="1"/>
        <v>Weedend</v>
      </c>
    </row>
    <row r="47" spans="1:23" x14ac:dyDescent="0.25">
      <c r="A47" s="19">
        <v>45</v>
      </c>
      <c r="B47" s="20">
        <v>40545</v>
      </c>
      <c r="C47" s="18">
        <v>1</v>
      </c>
      <c r="D47" s="18">
        <v>0</v>
      </c>
      <c r="E47" s="18">
        <v>1</v>
      </c>
      <c r="F47" s="18">
        <v>21</v>
      </c>
      <c r="G47" s="18" t="b">
        <v>0</v>
      </c>
      <c r="H47" s="18">
        <v>0</v>
      </c>
      <c r="I47" s="18">
        <v>1</v>
      </c>
      <c r="J47" s="18">
        <v>0.26</v>
      </c>
      <c r="K47">
        <v>0.2273</v>
      </c>
      <c r="L47">
        <v>0.44</v>
      </c>
      <c r="M47" s="18">
        <v>0.32840000000000003</v>
      </c>
      <c r="N47" s="18">
        <v>11</v>
      </c>
      <c r="O47" s="18">
        <v>20</v>
      </c>
      <c r="P47">
        <v>31</v>
      </c>
      <c r="Q47" s="18" t="s">
        <v>34</v>
      </c>
      <c r="R47" s="18" t="s">
        <v>35</v>
      </c>
      <c r="S47" s="18" t="s">
        <v>36</v>
      </c>
      <c r="T47" s="18" t="s">
        <v>40</v>
      </c>
      <c r="U47" s="18">
        <v>2011</v>
      </c>
      <c r="V47" s="16">
        <f t="shared" si="0"/>
        <v>40587</v>
      </c>
      <c r="W47" s="18" t="str">
        <f t="shared" si="1"/>
        <v>Weedend</v>
      </c>
    </row>
    <row r="48" spans="1:23" x14ac:dyDescent="0.25">
      <c r="A48" s="19">
        <v>46</v>
      </c>
      <c r="B48" s="20">
        <v>40545</v>
      </c>
      <c r="C48" s="18">
        <v>1</v>
      </c>
      <c r="D48" s="18">
        <v>0</v>
      </c>
      <c r="E48" s="18">
        <v>1</v>
      </c>
      <c r="F48" s="18">
        <v>22</v>
      </c>
      <c r="G48" s="18" t="b">
        <v>0</v>
      </c>
      <c r="H48" s="18">
        <v>0</v>
      </c>
      <c r="I48" s="18">
        <v>1</v>
      </c>
      <c r="J48" s="18">
        <v>0.24</v>
      </c>
      <c r="K48">
        <v>0.21210000000000001</v>
      </c>
      <c r="L48">
        <v>0.44</v>
      </c>
      <c r="M48" s="18">
        <v>0.29849999999999999</v>
      </c>
      <c r="N48" s="18">
        <v>0</v>
      </c>
      <c r="O48" s="18">
        <v>9</v>
      </c>
      <c r="P48">
        <v>9</v>
      </c>
      <c r="Q48" s="18" t="s">
        <v>34</v>
      </c>
      <c r="R48" s="18" t="s">
        <v>35</v>
      </c>
      <c r="S48" s="18" t="s">
        <v>36</v>
      </c>
      <c r="T48" s="18" t="s">
        <v>40</v>
      </c>
      <c r="U48" s="18">
        <v>2011</v>
      </c>
      <c r="V48" s="16">
        <f t="shared" si="0"/>
        <v>40587</v>
      </c>
      <c r="W48" s="18" t="str">
        <f t="shared" si="1"/>
        <v>Weedend</v>
      </c>
    </row>
    <row r="49" spans="1:23" x14ac:dyDescent="0.25">
      <c r="A49" s="19">
        <v>47</v>
      </c>
      <c r="B49" s="20">
        <v>40545</v>
      </c>
      <c r="C49" s="18">
        <v>1</v>
      </c>
      <c r="D49" s="18">
        <v>0</v>
      </c>
      <c r="E49" s="18">
        <v>1</v>
      </c>
      <c r="F49" s="18">
        <v>23</v>
      </c>
      <c r="G49" s="18" t="b">
        <v>0</v>
      </c>
      <c r="H49" s="18">
        <v>0</v>
      </c>
      <c r="I49" s="18">
        <v>1</v>
      </c>
      <c r="J49" s="18">
        <v>0.22</v>
      </c>
      <c r="K49">
        <v>0.2273</v>
      </c>
      <c r="L49">
        <v>0.47</v>
      </c>
      <c r="M49" s="18">
        <v>0.16420000000000001</v>
      </c>
      <c r="N49" s="18">
        <v>0</v>
      </c>
      <c r="O49" s="18">
        <v>8</v>
      </c>
      <c r="P49">
        <v>8</v>
      </c>
      <c r="Q49" s="18" t="s">
        <v>34</v>
      </c>
      <c r="R49" s="18" t="s">
        <v>35</v>
      </c>
      <c r="S49" s="18" t="s">
        <v>36</v>
      </c>
      <c r="T49" s="18" t="s">
        <v>40</v>
      </c>
      <c r="U49" s="18">
        <v>2011</v>
      </c>
      <c r="V49" s="16">
        <f t="shared" si="0"/>
        <v>40587</v>
      </c>
      <c r="W49" s="18" t="str">
        <f t="shared" si="1"/>
        <v>Weedend</v>
      </c>
    </row>
    <row r="50" spans="1:23" x14ac:dyDescent="0.25">
      <c r="A50" s="19">
        <v>48</v>
      </c>
      <c r="B50" s="20">
        <v>40546</v>
      </c>
      <c r="C50" s="18">
        <v>1</v>
      </c>
      <c r="D50" s="18">
        <v>0</v>
      </c>
      <c r="E50" s="18">
        <v>1</v>
      </c>
      <c r="F50" s="18">
        <v>0</v>
      </c>
      <c r="G50" s="18" t="b">
        <v>0</v>
      </c>
      <c r="H50" s="18">
        <v>1</v>
      </c>
      <c r="I50" s="18">
        <v>1</v>
      </c>
      <c r="J50" s="18">
        <v>0.22</v>
      </c>
      <c r="K50">
        <v>0.19700000000000001</v>
      </c>
      <c r="L50">
        <v>0.44</v>
      </c>
      <c r="M50" s="18">
        <v>0.35820000000000002</v>
      </c>
      <c r="N50" s="18">
        <v>0</v>
      </c>
      <c r="O50" s="18">
        <v>5</v>
      </c>
      <c r="P50">
        <v>5</v>
      </c>
      <c r="Q50" s="18" t="s">
        <v>34</v>
      </c>
      <c r="R50" s="18" t="s">
        <v>35</v>
      </c>
      <c r="S50" s="18" t="s">
        <v>36</v>
      </c>
      <c r="T50" s="18" t="s">
        <v>41</v>
      </c>
      <c r="U50" s="18">
        <v>2011</v>
      </c>
      <c r="V50" s="16">
        <f t="shared" si="0"/>
        <v>40587</v>
      </c>
      <c r="W50" s="18" t="str">
        <f t="shared" si="1"/>
        <v>Weekday</v>
      </c>
    </row>
    <row r="51" spans="1:23" x14ac:dyDescent="0.25">
      <c r="A51" s="19">
        <v>49</v>
      </c>
      <c r="B51" s="20">
        <v>40546</v>
      </c>
      <c r="C51" s="18">
        <v>1</v>
      </c>
      <c r="D51" s="18">
        <v>0</v>
      </c>
      <c r="E51" s="18">
        <v>1</v>
      </c>
      <c r="F51" s="18">
        <v>1</v>
      </c>
      <c r="G51" s="18" t="b">
        <v>0</v>
      </c>
      <c r="H51" s="18">
        <v>1</v>
      </c>
      <c r="I51" s="18">
        <v>1</v>
      </c>
      <c r="J51" s="18">
        <v>0.2</v>
      </c>
      <c r="K51">
        <v>0</v>
      </c>
      <c r="L51">
        <v>0.44</v>
      </c>
      <c r="M51" s="18">
        <v>0.41789999999999999</v>
      </c>
      <c r="N51" s="18">
        <v>0</v>
      </c>
      <c r="O51" s="18">
        <v>2</v>
      </c>
      <c r="P51">
        <v>2</v>
      </c>
      <c r="Q51" s="18" t="s">
        <v>34</v>
      </c>
      <c r="R51" s="18" t="s">
        <v>35</v>
      </c>
      <c r="S51" s="18" t="s">
        <v>36</v>
      </c>
      <c r="T51" s="18" t="s">
        <v>41</v>
      </c>
      <c r="U51" s="18">
        <v>2011</v>
      </c>
      <c r="V51" s="16">
        <f t="shared" si="0"/>
        <v>40587</v>
      </c>
      <c r="W51" s="18" t="str">
        <f t="shared" si="1"/>
        <v>Weekday</v>
      </c>
    </row>
    <row r="52" spans="1:23" x14ac:dyDescent="0.25">
      <c r="A52" s="19">
        <v>50</v>
      </c>
      <c r="B52" s="20">
        <v>40546</v>
      </c>
      <c r="C52" s="18">
        <v>1</v>
      </c>
      <c r="D52" s="18">
        <v>0</v>
      </c>
      <c r="E52" s="18">
        <v>1</v>
      </c>
      <c r="F52" s="18">
        <v>4</v>
      </c>
      <c r="G52" s="18" t="b">
        <v>0</v>
      </c>
      <c r="H52" s="18">
        <v>1</v>
      </c>
      <c r="I52" s="18">
        <v>1</v>
      </c>
      <c r="J52" s="18">
        <v>0.16</v>
      </c>
      <c r="K52">
        <v>0.13639999999999999</v>
      </c>
      <c r="L52">
        <v>0.47</v>
      </c>
      <c r="M52" s="18">
        <v>0.3881</v>
      </c>
      <c r="N52" s="18">
        <v>0</v>
      </c>
      <c r="O52" s="18">
        <v>1</v>
      </c>
      <c r="P52">
        <v>1</v>
      </c>
      <c r="Q52" s="18" t="s">
        <v>34</v>
      </c>
      <c r="R52" s="18" t="s">
        <v>35</v>
      </c>
      <c r="S52" s="18" t="s">
        <v>36</v>
      </c>
      <c r="T52" s="18" t="s">
        <v>41</v>
      </c>
      <c r="U52" s="18">
        <v>2011</v>
      </c>
      <c r="V52" s="16">
        <f t="shared" si="0"/>
        <v>40587</v>
      </c>
      <c r="W52" s="18" t="str">
        <f t="shared" si="1"/>
        <v>Weekday</v>
      </c>
    </row>
    <row r="53" spans="1:23" x14ac:dyDescent="0.25">
      <c r="A53" s="19">
        <v>51</v>
      </c>
      <c r="B53" s="20">
        <v>40546</v>
      </c>
      <c r="C53" s="18">
        <v>1</v>
      </c>
      <c r="D53" s="18">
        <v>0</v>
      </c>
      <c r="E53" s="18">
        <v>1</v>
      </c>
      <c r="F53" s="18">
        <v>5</v>
      </c>
      <c r="G53" s="18" t="b">
        <v>0</v>
      </c>
      <c r="H53" s="18">
        <v>1</v>
      </c>
      <c r="I53" s="18">
        <v>1</v>
      </c>
      <c r="J53" s="18">
        <v>0.16</v>
      </c>
      <c r="K53">
        <v>0.13639999999999999</v>
      </c>
      <c r="L53">
        <v>0.47</v>
      </c>
      <c r="M53" s="18">
        <v>0.28360000000000002</v>
      </c>
      <c r="N53" s="18">
        <v>0</v>
      </c>
      <c r="O53" s="18">
        <v>3</v>
      </c>
      <c r="P53">
        <v>3</v>
      </c>
      <c r="Q53" s="18" t="s">
        <v>34</v>
      </c>
      <c r="R53" s="18" t="s">
        <v>35</v>
      </c>
      <c r="S53" s="18" t="s">
        <v>36</v>
      </c>
      <c r="T53" s="18" t="s">
        <v>41</v>
      </c>
      <c r="U53" s="18">
        <v>2011</v>
      </c>
      <c r="V53" s="16">
        <f t="shared" si="0"/>
        <v>40587</v>
      </c>
      <c r="W53" s="18" t="str">
        <f t="shared" si="1"/>
        <v>Weekday</v>
      </c>
    </row>
    <row r="54" spans="1:23" x14ac:dyDescent="0.25">
      <c r="A54" s="19">
        <v>52</v>
      </c>
      <c r="B54" s="20">
        <v>40546</v>
      </c>
      <c r="C54" s="18">
        <v>1</v>
      </c>
      <c r="D54" s="18">
        <v>0</v>
      </c>
      <c r="E54" s="18">
        <v>1</v>
      </c>
      <c r="F54" s="18">
        <v>6</v>
      </c>
      <c r="G54" s="18" t="b">
        <v>0</v>
      </c>
      <c r="H54" s="18">
        <v>1</v>
      </c>
      <c r="I54" s="18">
        <v>1</v>
      </c>
      <c r="J54" s="18">
        <v>0.14000000000000001</v>
      </c>
      <c r="K54">
        <v>0.1061</v>
      </c>
      <c r="L54">
        <v>0.5</v>
      </c>
      <c r="M54" s="18">
        <v>0.3881</v>
      </c>
      <c r="N54" s="18">
        <v>0</v>
      </c>
      <c r="O54" s="18">
        <v>30</v>
      </c>
      <c r="P54">
        <v>30</v>
      </c>
      <c r="Q54" s="18" t="s">
        <v>34</v>
      </c>
      <c r="R54" s="18" t="s">
        <v>35</v>
      </c>
      <c r="S54" s="18" t="s">
        <v>36</v>
      </c>
      <c r="T54" s="18" t="s">
        <v>41</v>
      </c>
      <c r="U54" s="18">
        <v>2011</v>
      </c>
      <c r="V54" s="16">
        <f t="shared" si="0"/>
        <v>40587</v>
      </c>
      <c r="W54" s="18" t="str">
        <f t="shared" si="1"/>
        <v>Weekday</v>
      </c>
    </row>
    <row r="55" spans="1:23" x14ac:dyDescent="0.25">
      <c r="A55" s="19">
        <v>53</v>
      </c>
      <c r="B55" s="20">
        <v>40546</v>
      </c>
      <c r="C55" s="18">
        <v>1</v>
      </c>
      <c r="D55" s="18">
        <v>0</v>
      </c>
      <c r="E55" s="18">
        <v>1</v>
      </c>
      <c r="F55" s="18">
        <v>7</v>
      </c>
      <c r="G55" s="18" t="b">
        <v>0</v>
      </c>
      <c r="H55" s="18">
        <v>1</v>
      </c>
      <c r="I55" s="18">
        <v>1</v>
      </c>
      <c r="J55" s="18">
        <v>0.14000000000000001</v>
      </c>
      <c r="K55">
        <v>0.13639999999999999</v>
      </c>
      <c r="L55">
        <v>0.5</v>
      </c>
      <c r="M55" s="18">
        <v>0.19400000000000001</v>
      </c>
      <c r="N55" s="18">
        <v>1</v>
      </c>
      <c r="O55" s="18">
        <v>63</v>
      </c>
      <c r="P55">
        <v>64</v>
      </c>
      <c r="Q55" s="18" t="s">
        <v>34</v>
      </c>
      <c r="R55" s="18" t="s">
        <v>35</v>
      </c>
      <c r="S55" s="18" t="s">
        <v>36</v>
      </c>
      <c r="T55" s="18" t="s">
        <v>41</v>
      </c>
      <c r="U55" s="18">
        <v>2011</v>
      </c>
      <c r="V55" s="16">
        <f t="shared" si="0"/>
        <v>40587</v>
      </c>
      <c r="W55" s="18" t="str">
        <f t="shared" si="1"/>
        <v>Weekday</v>
      </c>
    </row>
    <row r="56" spans="1:23" x14ac:dyDescent="0.25">
      <c r="A56" s="19">
        <v>54</v>
      </c>
      <c r="B56" s="20">
        <v>40546</v>
      </c>
      <c r="C56" s="18">
        <v>1</v>
      </c>
      <c r="D56" s="18">
        <v>0</v>
      </c>
      <c r="E56" s="18">
        <v>1</v>
      </c>
      <c r="F56" s="18">
        <v>8</v>
      </c>
      <c r="G56" s="18" t="b">
        <v>0</v>
      </c>
      <c r="H56" s="18">
        <v>1</v>
      </c>
      <c r="I56" s="18">
        <v>1</v>
      </c>
      <c r="J56" s="18">
        <v>0.14000000000000001</v>
      </c>
      <c r="K56">
        <v>0.1212</v>
      </c>
      <c r="L56">
        <v>0.5</v>
      </c>
      <c r="M56" s="18">
        <v>0.28360000000000002</v>
      </c>
      <c r="N56" s="18">
        <v>1</v>
      </c>
      <c r="O56" s="18">
        <v>153</v>
      </c>
      <c r="P56">
        <v>154</v>
      </c>
      <c r="Q56" s="18" t="s">
        <v>34</v>
      </c>
      <c r="R56" s="18" t="s">
        <v>35</v>
      </c>
      <c r="S56" s="18" t="s">
        <v>36</v>
      </c>
      <c r="T56" s="18" t="s">
        <v>41</v>
      </c>
      <c r="U56" s="18">
        <v>2011</v>
      </c>
      <c r="V56" s="16">
        <f t="shared" si="0"/>
        <v>40587</v>
      </c>
      <c r="W56" s="18" t="str">
        <f t="shared" si="1"/>
        <v>Weekday</v>
      </c>
    </row>
    <row r="57" spans="1:23" x14ac:dyDescent="0.25">
      <c r="A57" s="19">
        <v>55</v>
      </c>
      <c r="B57" s="20">
        <v>40546</v>
      </c>
      <c r="C57" s="18">
        <v>1</v>
      </c>
      <c r="D57" s="18">
        <v>0</v>
      </c>
      <c r="E57" s="18">
        <v>1</v>
      </c>
      <c r="F57" s="18">
        <v>9</v>
      </c>
      <c r="G57" s="18" t="b">
        <v>0</v>
      </c>
      <c r="H57" s="18">
        <v>1</v>
      </c>
      <c r="I57" s="18">
        <v>1</v>
      </c>
      <c r="J57" s="18">
        <v>0.16</v>
      </c>
      <c r="K57">
        <v>0.13639999999999999</v>
      </c>
      <c r="L57">
        <v>0.43</v>
      </c>
      <c r="M57" s="18">
        <v>0.3881</v>
      </c>
      <c r="N57" s="18">
        <v>7</v>
      </c>
      <c r="O57" s="18">
        <v>81</v>
      </c>
      <c r="P57">
        <v>88</v>
      </c>
      <c r="Q57" s="18" t="s">
        <v>34</v>
      </c>
      <c r="R57" s="18" t="s">
        <v>35</v>
      </c>
      <c r="S57" s="18" t="s">
        <v>36</v>
      </c>
      <c r="T57" s="18" t="s">
        <v>41</v>
      </c>
      <c r="U57" s="18">
        <v>2011</v>
      </c>
      <c r="V57" s="16">
        <f t="shared" si="0"/>
        <v>40587</v>
      </c>
      <c r="W57" s="18" t="str">
        <f t="shared" si="1"/>
        <v>Weekday</v>
      </c>
    </row>
    <row r="58" spans="1:23" x14ac:dyDescent="0.25">
      <c r="A58" s="19">
        <v>56</v>
      </c>
      <c r="B58" s="20">
        <v>40546</v>
      </c>
      <c r="C58" s="18">
        <v>1</v>
      </c>
      <c r="D58" s="18">
        <v>0</v>
      </c>
      <c r="E58" s="18">
        <v>1</v>
      </c>
      <c r="F58" s="18">
        <v>10</v>
      </c>
      <c r="G58" s="18" t="b">
        <v>0</v>
      </c>
      <c r="H58" s="18">
        <v>1</v>
      </c>
      <c r="I58" s="18">
        <v>1</v>
      </c>
      <c r="J58" s="18">
        <v>0.18</v>
      </c>
      <c r="K58">
        <v>0.16669999999999999</v>
      </c>
      <c r="L58">
        <v>0.43</v>
      </c>
      <c r="M58" s="18">
        <v>0.25369999999999998</v>
      </c>
      <c r="N58" s="18">
        <v>11</v>
      </c>
      <c r="O58" s="18">
        <v>33</v>
      </c>
      <c r="P58">
        <v>44</v>
      </c>
      <c r="Q58" s="18" t="s">
        <v>34</v>
      </c>
      <c r="R58" s="18" t="s">
        <v>35</v>
      </c>
      <c r="S58" s="18" t="s">
        <v>36</v>
      </c>
      <c r="T58" s="18" t="s">
        <v>41</v>
      </c>
      <c r="U58" s="18">
        <v>2011</v>
      </c>
      <c r="V58" s="16">
        <f t="shared" si="0"/>
        <v>40587</v>
      </c>
      <c r="W58" s="18" t="str">
        <f t="shared" si="1"/>
        <v>Weekday</v>
      </c>
    </row>
    <row r="59" spans="1:23" x14ac:dyDescent="0.25">
      <c r="A59" s="19">
        <v>57</v>
      </c>
      <c r="B59" s="20">
        <v>40546</v>
      </c>
      <c r="C59" s="18">
        <v>1</v>
      </c>
      <c r="D59" s="18">
        <v>0</v>
      </c>
      <c r="E59" s="18">
        <v>1</v>
      </c>
      <c r="F59" s="18">
        <v>11</v>
      </c>
      <c r="G59" s="18" t="b">
        <v>0</v>
      </c>
      <c r="H59" s="18">
        <v>1</v>
      </c>
      <c r="I59" s="18">
        <v>1</v>
      </c>
      <c r="J59" s="18">
        <v>0.2</v>
      </c>
      <c r="K59">
        <v>0.18179999999999999</v>
      </c>
      <c r="L59">
        <v>0.4</v>
      </c>
      <c r="M59" s="18">
        <v>0.32840000000000003</v>
      </c>
      <c r="N59" s="18">
        <v>10</v>
      </c>
      <c r="O59" s="18">
        <v>41</v>
      </c>
      <c r="P59">
        <v>51</v>
      </c>
      <c r="Q59" s="18" t="s">
        <v>34</v>
      </c>
      <c r="R59" s="18" t="s">
        <v>35</v>
      </c>
      <c r="S59" s="18" t="s">
        <v>36</v>
      </c>
      <c r="T59" s="18" t="s">
        <v>41</v>
      </c>
      <c r="U59" s="18">
        <v>2011</v>
      </c>
      <c r="V59" s="16">
        <f t="shared" si="0"/>
        <v>40587</v>
      </c>
      <c r="W59" s="18" t="str">
        <f t="shared" si="1"/>
        <v>Weekday</v>
      </c>
    </row>
    <row r="60" spans="1:23" x14ac:dyDescent="0.25">
      <c r="A60" s="19">
        <v>58</v>
      </c>
      <c r="B60" s="20">
        <v>40546</v>
      </c>
      <c r="C60" s="18">
        <v>1</v>
      </c>
      <c r="D60" s="18">
        <v>0</v>
      </c>
      <c r="E60" s="18">
        <v>1</v>
      </c>
      <c r="F60" s="18">
        <v>12</v>
      </c>
      <c r="G60" s="18" t="b">
        <v>0</v>
      </c>
      <c r="H60" s="18">
        <v>1</v>
      </c>
      <c r="I60" s="18">
        <v>1</v>
      </c>
      <c r="J60" s="18">
        <v>0.22</v>
      </c>
      <c r="K60">
        <v>0.21210000000000001</v>
      </c>
      <c r="L60">
        <v>0.35</v>
      </c>
      <c r="M60" s="18">
        <v>0.29849999999999999</v>
      </c>
      <c r="N60" s="18">
        <v>13</v>
      </c>
      <c r="O60" s="18">
        <v>48</v>
      </c>
      <c r="P60">
        <v>61</v>
      </c>
      <c r="Q60" s="18" t="s">
        <v>34</v>
      </c>
      <c r="R60" s="18" t="s">
        <v>35</v>
      </c>
      <c r="S60" s="18" t="s">
        <v>36</v>
      </c>
      <c r="T60" s="18" t="s">
        <v>41</v>
      </c>
      <c r="U60" s="18">
        <v>2011</v>
      </c>
      <c r="V60" s="16">
        <f t="shared" si="0"/>
        <v>40587</v>
      </c>
      <c r="W60" s="18" t="str">
        <f t="shared" si="1"/>
        <v>Weekday</v>
      </c>
    </row>
    <row r="61" spans="1:23" x14ac:dyDescent="0.25">
      <c r="A61" s="19">
        <v>59</v>
      </c>
      <c r="B61" s="20">
        <v>40546</v>
      </c>
      <c r="C61" s="18">
        <v>1</v>
      </c>
      <c r="D61" s="18">
        <v>0</v>
      </c>
      <c r="E61" s="18">
        <v>1</v>
      </c>
      <c r="F61" s="18">
        <v>13</v>
      </c>
      <c r="G61" s="18" t="b">
        <v>0</v>
      </c>
      <c r="H61" s="18">
        <v>1</v>
      </c>
      <c r="I61" s="18">
        <v>1</v>
      </c>
      <c r="J61" s="18">
        <v>0.24</v>
      </c>
      <c r="K61">
        <v>0</v>
      </c>
      <c r="L61">
        <v>0.35</v>
      </c>
      <c r="M61" s="18">
        <v>0.28360000000000002</v>
      </c>
      <c r="N61" s="18">
        <v>8</v>
      </c>
      <c r="O61" s="18">
        <v>53</v>
      </c>
      <c r="P61">
        <v>61</v>
      </c>
      <c r="Q61" s="18" t="s">
        <v>34</v>
      </c>
      <c r="R61" s="18" t="s">
        <v>35</v>
      </c>
      <c r="S61" s="18" t="s">
        <v>36</v>
      </c>
      <c r="T61" s="18" t="s">
        <v>41</v>
      </c>
      <c r="U61" s="18">
        <v>2011</v>
      </c>
      <c r="V61" s="16">
        <f t="shared" si="0"/>
        <v>40587</v>
      </c>
      <c r="W61" s="18" t="str">
        <f t="shared" si="1"/>
        <v>Weekday</v>
      </c>
    </row>
    <row r="62" spans="1:23" x14ac:dyDescent="0.25">
      <c r="A62" s="19">
        <v>60</v>
      </c>
      <c r="B62" s="20">
        <v>40546</v>
      </c>
      <c r="C62" s="18">
        <v>1</v>
      </c>
      <c r="D62" s="18">
        <v>0</v>
      </c>
      <c r="E62" s="18">
        <v>1</v>
      </c>
      <c r="F62" s="18">
        <v>14</v>
      </c>
      <c r="G62" s="18" t="b">
        <v>0</v>
      </c>
      <c r="H62" s="18">
        <v>1</v>
      </c>
      <c r="I62" s="18">
        <v>1</v>
      </c>
      <c r="J62" s="18">
        <v>0.26</v>
      </c>
      <c r="K62">
        <v>0.2424</v>
      </c>
      <c r="L62">
        <v>0.3</v>
      </c>
      <c r="M62" s="18">
        <v>0.28360000000000002</v>
      </c>
      <c r="N62" s="18">
        <v>11</v>
      </c>
      <c r="O62" s="18">
        <v>66</v>
      </c>
      <c r="P62">
        <v>77</v>
      </c>
      <c r="Q62" s="18" t="s">
        <v>34</v>
      </c>
      <c r="R62" s="18" t="s">
        <v>35</v>
      </c>
      <c r="S62" s="18" t="s">
        <v>36</v>
      </c>
      <c r="T62" s="18" t="s">
        <v>41</v>
      </c>
      <c r="U62" s="18">
        <v>2011</v>
      </c>
      <c r="V62" s="16">
        <f t="shared" si="0"/>
        <v>40587</v>
      </c>
      <c r="W62" s="18" t="str">
        <f t="shared" si="1"/>
        <v>Weekday</v>
      </c>
    </row>
    <row r="63" spans="1:23" x14ac:dyDescent="0.25">
      <c r="A63" s="19">
        <v>61</v>
      </c>
      <c r="B63" s="20">
        <v>40546</v>
      </c>
      <c r="C63" s="18">
        <v>1</v>
      </c>
      <c r="D63" s="18">
        <v>0</v>
      </c>
      <c r="E63" s="18">
        <v>1</v>
      </c>
      <c r="F63" s="18">
        <v>15</v>
      </c>
      <c r="G63" s="18" t="b">
        <v>0</v>
      </c>
      <c r="H63" s="18">
        <v>1</v>
      </c>
      <c r="I63" s="18">
        <v>1</v>
      </c>
      <c r="J63" s="18">
        <v>0.26</v>
      </c>
      <c r="K63">
        <v>0.2424</v>
      </c>
      <c r="L63">
        <v>0.3</v>
      </c>
      <c r="M63" s="18">
        <v>0.25369999999999998</v>
      </c>
      <c r="N63" s="18">
        <v>14</v>
      </c>
      <c r="O63" s="18">
        <v>58</v>
      </c>
      <c r="P63">
        <v>72</v>
      </c>
      <c r="Q63" s="18" t="s">
        <v>34</v>
      </c>
      <c r="R63" s="18" t="s">
        <v>35</v>
      </c>
      <c r="S63" s="18" t="s">
        <v>36</v>
      </c>
      <c r="T63" s="18" t="s">
        <v>41</v>
      </c>
      <c r="U63" s="18">
        <v>2011</v>
      </c>
      <c r="V63" s="16">
        <f t="shared" si="0"/>
        <v>40587</v>
      </c>
      <c r="W63" s="18" t="str">
        <f t="shared" si="1"/>
        <v>Weekday</v>
      </c>
    </row>
    <row r="64" spans="1:23" x14ac:dyDescent="0.25">
      <c r="A64" s="19">
        <v>62</v>
      </c>
      <c r="B64" s="20">
        <v>40546</v>
      </c>
      <c r="C64" s="18">
        <v>1</v>
      </c>
      <c r="D64" s="18">
        <v>0</v>
      </c>
      <c r="E64" s="18">
        <v>1</v>
      </c>
      <c r="F64" s="18">
        <v>16</v>
      </c>
      <c r="G64" s="18" t="b">
        <v>0</v>
      </c>
      <c r="H64" s="18">
        <v>1</v>
      </c>
      <c r="I64" s="18">
        <v>1</v>
      </c>
      <c r="J64" s="18">
        <v>0.26</v>
      </c>
      <c r="K64">
        <v>0.2424</v>
      </c>
      <c r="L64">
        <v>0.3</v>
      </c>
      <c r="M64" s="18">
        <v>0.25369999999999998</v>
      </c>
      <c r="N64" s="18">
        <v>9</v>
      </c>
      <c r="O64" s="18">
        <v>67</v>
      </c>
      <c r="P64">
        <v>76</v>
      </c>
      <c r="Q64" s="18" t="s">
        <v>34</v>
      </c>
      <c r="R64" s="18" t="s">
        <v>35</v>
      </c>
      <c r="S64" s="18" t="s">
        <v>36</v>
      </c>
      <c r="T64" s="18" t="s">
        <v>41</v>
      </c>
      <c r="U64" s="18">
        <v>2011</v>
      </c>
      <c r="V64" s="16">
        <f t="shared" si="0"/>
        <v>40587</v>
      </c>
      <c r="W64" s="18" t="str">
        <f t="shared" si="1"/>
        <v>Weekday</v>
      </c>
    </row>
    <row r="65" spans="1:23" x14ac:dyDescent="0.25">
      <c r="A65" s="19">
        <v>63</v>
      </c>
      <c r="B65" s="20">
        <v>40546</v>
      </c>
      <c r="C65" s="18">
        <v>1</v>
      </c>
      <c r="D65" s="18">
        <v>0</v>
      </c>
      <c r="E65" s="18">
        <v>1</v>
      </c>
      <c r="F65" s="18">
        <v>17</v>
      </c>
      <c r="G65" s="18" t="b">
        <v>0</v>
      </c>
      <c r="H65" s="18">
        <v>1</v>
      </c>
      <c r="I65" s="18">
        <v>1</v>
      </c>
      <c r="J65" s="18">
        <v>0.24</v>
      </c>
      <c r="K65">
        <v>0.2273</v>
      </c>
      <c r="L65">
        <v>0.3</v>
      </c>
      <c r="M65" s="18">
        <v>0.22389999999999999</v>
      </c>
      <c r="N65" s="18">
        <v>11</v>
      </c>
      <c r="O65" s="18">
        <v>146</v>
      </c>
      <c r="P65">
        <v>157</v>
      </c>
      <c r="Q65" s="18" t="s">
        <v>34</v>
      </c>
      <c r="R65" s="18" t="s">
        <v>35</v>
      </c>
      <c r="S65" s="18" t="s">
        <v>36</v>
      </c>
      <c r="T65" s="18" t="s">
        <v>41</v>
      </c>
      <c r="U65" s="18">
        <v>2011</v>
      </c>
      <c r="V65" s="16">
        <f t="shared" si="0"/>
        <v>40587</v>
      </c>
      <c r="W65" s="18" t="str">
        <f t="shared" si="1"/>
        <v>Weekday</v>
      </c>
    </row>
    <row r="66" spans="1:23" x14ac:dyDescent="0.25">
      <c r="A66" s="19">
        <v>64</v>
      </c>
      <c r="B66" s="20">
        <v>40546</v>
      </c>
      <c r="C66" s="18">
        <v>1</v>
      </c>
      <c r="D66" s="18">
        <v>0</v>
      </c>
      <c r="E66" s="18">
        <v>1</v>
      </c>
      <c r="F66" s="18">
        <v>18</v>
      </c>
      <c r="G66" s="18" t="b">
        <v>0</v>
      </c>
      <c r="H66" s="18">
        <v>1</v>
      </c>
      <c r="I66" s="18">
        <v>1</v>
      </c>
      <c r="J66" s="18">
        <v>0.24</v>
      </c>
      <c r="K66">
        <v>0.2576</v>
      </c>
      <c r="L66">
        <v>0.32</v>
      </c>
      <c r="M66" s="18">
        <v>0.1045</v>
      </c>
      <c r="N66" s="18">
        <v>9</v>
      </c>
      <c r="O66" s="18">
        <v>148</v>
      </c>
      <c r="P66">
        <v>157</v>
      </c>
      <c r="Q66" s="18" t="s">
        <v>34</v>
      </c>
      <c r="R66" s="18" t="s">
        <v>35</v>
      </c>
      <c r="S66" s="18" t="s">
        <v>36</v>
      </c>
      <c r="T66" s="18" t="s">
        <v>41</v>
      </c>
      <c r="U66" s="18">
        <v>2011</v>
      </c>
      <c r="V66" s="16">
        <f t="shared" si="0"/>
        <v>40587</v>
      </c>
      <c r="W66" s="18" t="str">
        <f t="shared" si="1"/>
        <v>Weekday</v>
      </c>
    </row>
    <row r="67" spans="1:23" x14ac:dyDescent="0.25">
      <c r="A67" s="19">
        <v>65</v>
      </c>
      <c r="B67" s="20">
        <v>40546</v>
      </c>
      <c r="C67" s="18">
        <v>1</v>
      </c>
      <c r="D67" s="18">
        <v>0</v>
      </c>
      <c r="E67" s="18">
        <v>1</v>
      </c>
      <c r="F67" s="18">
        <v>19</v>
      </c>
      <c r="G67" s="18" t="b">
        <v>0</v>
      </c>
      <c r="H67" s="18">
        <v>1</v>
      </c>
      <c r="I67" s="18">
        <v>1</v>
      </c>
      <c r="J67" s="18">
        <v>0.2</v>
      </c>
      <c r="K67">
        <v>0.2576</v>
      </c>
      <c r="L67">
        <v>0.47</v>
      </c>
      <c r="M67" s="18">
        <v>0</v>
      </c>
      <c r="N67" s="18">
        <v>8</v>
      </c>
      <c r="O67" s="18">
        <v>102</v>
      </c>
      <c r="P67">
        <v>110</v>
      </c>
      <c r="Q67" s="18" t="s">
        <v>34</v>
      </c>
      <c r="R67" s="18" t="s">
        <v>35</v>
      </c>
      <c r="S67" s="18" t="s">
        <v>36</v>
      </c>
      <c r="T67" s="18" t="s">
        <v>41</v>
      </c>
      <c r="U67" s="18">
        <v>2011</v>
      </c>
      <c r="V67" s="16">
        <f t="shared" ref="V67:V130" si="2">INDEX(B67:B1065,MATCH(MAX(K67:K1065),K67:K1065,0))</f>
        <v>40587</v>
      </c>
      <c r="W67" s="18" t="str">
        <f t="shared" ref="W67:W130" si="3">IF(G67=TRUE,"Holiday",IF(OR(H67=0,H67=6),"Weedend","Weekday"))</f>
        <v>Weekday</v>
      </c>
    </row>
    <row r="68" spans="1:23" x14ac:dyDescent="0.25">
      <c r="A68" s="19">
        <v>66</v>
      </c>
      <c r="B68" s="20">
        <v>40546</v>
      </c>
      <c r="C68" s="18">
        <v>1</v>
      </c>
      <c r="D68" s="18">
        <v>0</v>
      </c>
      <c r="E68" s="18">
        <v>1</v>
      </c>
      <c r="F68" s="18">
        <v>20</v>
      </c>
      <c r="G68" s="18" t="b">
        <v>0</v>
      </c>
      <c r="H68" s="18">
        <v>1</v>
      </c>
      <c r="I68" s="18">
        <v>1</v>
      </c>
      <c r="J68" s="18">
        <v>0.2</v>
      </c>
      <c r="K68">
        <v>0</v>
      </c>
      <c r="L68">
        <v>0.47</v>
      </c>
      <c r="M68" s="18">
        <v>0.1045</v>
      </c>
      <c r="N68" s="18">
        <v>3</v>
      </c>
      <c r="O68" s="18">
        <v>49</v>
      </c>
      <c r="P68">
        <v>52</v>
      </c>
      <c r="Q68" s="18" t="s">
        <v>34</v>
      </c>
      <c r="R68" s="18" t="s">
        <v>35</v>
      </c>
      <c r="S68" s="18" t="s">
        <v>36</v>
      </c>
      <c r="T68" s="18" t="s">
        <v>41</v>
      </c>
      <c r="U68" s="18">
        <v>2011</v>
      </c>
      <c r="V68" s="16">
        <f t="shared" si="2"/>
        <v>40587</v>
      </c>
      <c r="W68" s="18" t="str">
        <f t="shared" si="3"/>
        <v>Weekday</v>
      </c>
    </row>
    <row r="69" spans="1:23" x14ac:dyDescent="0.25">
      <c r="A69" s="19">
        <v>67</v>
      </c>
      <c r="B69" s="20">
        <v>40546</v>
      </c>
      <c r="C69" s="18">
        <v>1</v>
      </c>
      <c r="D69" s="18">
        <v>0</v>
      </c>
      <c r="E69" s="18">
        <v>1</v>
      </c>
      <c r="F69" s="18">
        <v>21</v>
      </c>
      <c r="G69" s="18" t="b">
        <v>0</v>
      </c>
      <c r="H69" s="18">
        <v>1</v>
      </c>
      <c r="I69" s="18">
        <v>1</v>
      </c>
      <c r="J69" s="18">
        <v>0.18</v>
      </c>
      <c r="K69">
        <v>0.19700000000000001</v>
      </c>
      <c r="L69">
        <v>0.64</v>
      </c>
      <c r="M69" s="18">
        <v>0.1343</v>
      </c>
      <c r="N69" s="18">
        <v>3</v>
      </c>
      <c r="O69" s="18">
        <v>49</v>
      </c>
      <c r="P69">
        <v>52</v>
      </c>
      <c r="Q69" s="18" t="s">
        <v>34</v>
      </c>
      <c r="R69" s="18" t="s">
        <v>35</v>
      </c>
      <c r="S69" s="18" t="s">
        <v>36</v>
      </c>
      <c r="T69" s="18" t="s">
        <v>41</v>
      </c>
      <c r="U69" s="18">
        <v>2011</v>
      </c>
      <c r="V69" s="16">
        <f t="shared" si="2"/>
        <v>40587</v>
      </c>
      <c r="W69" s="18" t="str">
        <f t="shared" si="3"/>
        <v>Weekday</v>
      </c>
    </row>
    <row r="70" spans="1:23" x14ac:dyDescent="0.25">
      <c r="A70" s="19">
        <v>68</v>
      </c>
      <c r="B70" s="20">
        <v>40546</v>
      </c>
      <c r="C70" s="18">
        <v>1</v>
      </c>
      <c r="D70" s="18">
        <v>0</v>
      </c>
      <c r="E70" s="18">
        <v>1</v>
      </c>
      <c r="F70" s="18">
        <v>22</v>
      </c>
      <c r="G70" s="18" t="b">
        <v>0</v>
      </c>
      <c r="H70" s="18">
        <v>1</v>
      </c>
      <c r="I70" s="18">
        <v>1</v>
      </c>
      <c r="J70" s="18">
        <v>0.14000000000000001</v>
      </c>
      <c r="K70">
        <v>0.1515</v>
      </c>
      <c r="L70">
        <v>0.69</v>
      </c>
      <c r="M70" s="18">
        <v>0.1343</v>
      </c>
      <c r="N70" s="18">
        <v>0</v>
      </c>
      <c r="O70" s="18">
        <v>20</v>
      </c>
      <c r="P70">
        <v>20</v>
      </c>
      <c r="Q70" s="18" t="s">
        <v>34</v>
      </c>
      <c r="R70" s="18" t="s">
        <v>35</v>
      </c>
      <c r="S70" s="18" t="s">
        <v>36</v>
      </c>
      <c r="T70" s="18" t="s">
        <v>41</v>
      </c>
      <c r="U70" s="18">
        <v>2011</v>
      </c>
      <c r="V70" s="16">
        <f t="shared" si="2"/>
        <v>40587</v>
      </c>
      <c r="W70" s="18" t="str">
        <f t="shared" si="3"/>
        <v>Weekday</v>
      </c>
    </row>
    <row r="71" spans="1:23" x14ac:dyDescent="0.25">
      <c r="A71" s="19">
        <v>69</v>
      </c>
      <c r="B71" s="20">
        <v>40546</v>
      </c>
      <c r="C71" s="18">
        <v>1</v>
      </c>
      <c r="D71" s="18">
        <v>0</v>
      </c>
      <c r="E71" s="18">
        <v>1</v>
      </c>
      <c r="F71" s="18">
        <v>23</v>
      </c>
      <c r="G71" s="18" t="b">
        <v>0</v>
      </c>
      <c r="H71" s="18">
        <v>1</v>
      </c>
      <c r="I71" s="18">
        <v>1</v>
      </c>
      <c r="J71" s="18">
        <v>0.18</v>
      </c>
      <c r="K71">
        <v>0.21210000000000001</v>
      </c>
      <c r="L71">
        <v>0.55000000000000004</v>
      </c>
      <c r="M71" s="18">
        <v>0.1045</v>
      </c>
      <c r="N71" s="18">
        <v>1</v>
      </c>
      <c r="O71" s="18">
        <v>11</v>
      </c>
      <c r="P71">
        <v>12</v>
      </c>
      <c r="Q71" s="18" t="s">
        <v>34</v>
      </c>
      <c r="R71" s="18" t="s">
        <v>35</v>
      </c>
      <c r="S71" s="18" t="s">
        <v>36</v>
      </c>
      <c r="T71" s="18" t="s">
        <v>41</v>
      </c>
      <c r="U71" s="18">
        <v>2011</v>
      </c>
      <c r="V71" s="16">
        <f t="shared" si="2"/>
        <v>40587</v>
      </c>
      <c r="W71" s="18" t="str">
        <f t="shared" si="3"/>
        <v>Weekday</v>
      </c>
    </row>
    <row r="72" spans="1:23" x14ac:dyDescent="0.25">
      <c r="A72" s="19">
        <v>70</v>
      </c>
      <c r="B72" s="20">
        <v>40547</v>
      </c>
      <c r="C72" s="18">
        <v>1</v>
      </c>
      <c r="D72" s="18">
        <v>0</v>
      </c>
      <c r="E72" s="18">
        <v>1</v>
      </c>
      <c r="F72" s="18">
        <v>0</v>
      </c>
      <c r="G72" s="18" t="b">
        <v>0</v>
      </c>
      <c r="H72" s="18">
        <v>2</v>
      </c>
      <c r="I72" s="18">
        <v>1</v>
      </c>
      <c r="J72" s="18">
        <v>0.16</v>
      </c>
      <c r="K72">
        <v>0</v>
      </c>
      <c r="L72">
        <v>0.55000000000000004</v>
      </c>
      <c r="M72" s="18">
        <v>0.1045</v>
      </c>
      <c r="N72" s="18">
        <v>0</v>
      </c>
      <c r="O72" s="18">
        <v>5</v>
      </c>
      <c r="P72">
        <v>5</v>
      </c>
      <c r="Q72" s="18" t="s">
        <v>34</v>
      </c>
      <c r="R72" s="18" t="s">
        <v>35</v>
      </c>
      <c r="S72" s="18" t="s">
        <v>36</v>
      </c>
      <c r="T72" s="18" t="s">
        <v>42</v>
      </c>
      <c r="U72" s="18">
        <v>2011</v>
      </c>
      <c r="V72" s="16">
        <f t="shared" si="2"/>
        <v>40587</v>
      </c>
      <c r="W72" s="18" t="str">
        <f t="shared" si="3"/>
        <v>Weekday</v>
      </c>
    </row>
    <row r="73" spans="1:23" x14ac:dyDescent="0.25">
      <c r="A73" s="19">
        <v>71</v>
      </c>
      <c r="B73" s="20">
        <v>40547</v>
      </c>
      <c r="C73" s="18">
        <v>1</v>
      </c>
      <c r="D73" s="18">
        <v>0</v>
      </c>
      <c r="E73" s="18">
        <v>1</v>
      </c>
      <c r="F73" s="18">
        <v>1</v>
      </c>
      <c r="G73" s="18" t="b">
        <v>0</v>
      </c>
      <c r="H73" s="18">
        <v>2</v>
      </c>
      <c r="I73" s="18">
        <v>1</v>
      </c>
      <c r="J73" s="18">
        <v>0.16</v>
      </c>
      <c r="K73">
        <v>0.18179999999999999</v>
      </c>
      <c r="L73">
        <v>0.59</v>
      </c>
      <c r="M73" s="18">
        <v>0.1045</v>
      </c>
      <c r="N73" s="18">
        <v>0</v>
      </c>
      <c r="O73" s="18">
        <v>2</v>
      </c>
      <c r="P73">
        <v>2</v>
      </c>
      <c r="Q73" s="18" t="s">
        <v>34</v>
      </c>
      <c r="R73" s="18" t="s">
        <v>35</v>
      </c>
      <c r="S73" s="18" t="s">
        <v>36</v>
      </c>
      <c r="T73" s="18" t="s">
        <v>42</v>
      </c>
      <c r="U73" s="18">
        <v>2011</v>
      </c>
      <c r="V73" s="16">
        <f t="shared" si="2"/>
        <v>40587</v>
      </c>
      <c r="W73" s="18" t="str">
        <f t="shared" si="3"/>
        <v>Weekday</v>
      </c>
    </row>
    <row r="74" spans="1:23" x14ac:dyDescent="0.25">
      <c r="A74" s="19">
        <v>72</v>
      </c>
      <c r="B74" s="20">
        <v>40547</v>
      </c>
      <c r="C74" s="18">
        <v>1</v>
      </c>
      <c r="D74" s="18">
        <v>0</v>
      </c>
      <c r="E74" s="18">
        <v>1</v>
      </c>
      <c r="F74" s="18">
        <v>2</v>
      </c>
      <c r="G74" s="18" t="b">
        <v>0</v>
      </c>
      <c r="H74" s="18">
        <v>2</v>
      </c>
      <c r="I74" s="18">
        <v>1</v>
      </c>
      <c r="J74" s="18">
        <v>0.14000000000000001</v>
      </c>
      <c r="K74">
        <v>0.1515</v>
      </c>
      <c r="L74">
        <v>0.63</v>
      </c>
      <c r="M74" s="18">
        <v>0.1343</v>
      </c>
      <c r="N74" s="18">
        <v>0</v>
      </c>
      <c r="O74" s="18">
        <v>1</v>
      </c>
      <c r="P74">
        <v>1</v>
      </c>
      <c r="Q74" s="18" t="s">
        <v>34</v>
      </c>
      <c r="R74" s="18" t="s">
        <v>35</v>
      </c>
      <c r="S74" s="18" t="s">
        <v>36</v>
      </c>
      <c r="T74" s="18" t="s">
        <v>42</v>
      </c>
      <c r="U74" s="18">
        <v>2011</v>
      </c>
      <c r="V74" s="16">
        <f t="shared" si="2"/>
        <v>40587</v>
      </c>
      <c r="W74" s="18" t="str">
        <f t="shared" si="3"/>
        <v>Weekday</v>
      </c>
    </row>
    <row r="75" spans="1:23" x14ac:dyDescent="0.25">
      <c r="A75" s="19">
        <v>73</v>
      </c>
      <c r="B75" s="20">
        <v>40547</v>
      </c>
      <c r="C75" s="18">
        <v>1</v>
      </c>
      <c r="D75" s="18">
        <v>0</v>
      </c>
      <c r="E75" s="18">
        <v>1</v>
      </c>
      <c r="F75" s="18">
        <v>4</v>
      </c>
      <c r="G75" s="18" t="b">
        <v>0</v>
      </c>
      <c r="H75" s="18">
        <v>2</v>
      </c>
      <c r="I75" s="18">
        <v>1</v>
      </c>
      <c r="J75" s="18">
        <v>0.14000000000000001</v>
      </c>
      <c r="K75">
        <v>0.18179999999999999</v>
      </c>
      <c r="L75">
        <v>0.63</v>
      </c>
      <c r="M75" s="18">
        <v>8.9599999999999999E-2</v>
      </c>
      <c r="N75" s="18">
        <v>0</v>
      </c>
      <c r="O75" s="18">
        <v>2</v>
      </c>
      <c r="P75">
        <v>2</v>
      </c>
      <c r="Q75" s="18" t="s">
        <v>34</v>
      </c>
      <c r="R75" s="18" t="s">
        <v>35</v>
      </c>
      <c r="S75" s="18" t="s">
        <v>36</v>
      </c>
      <c r="T75" s="18" t="s">
        <v>42</v>
      </c>
      <c r="U75" s="18">
        <v>2011</v>
      </c>
      <c r="V75" s="16">
        <f t="shared" si="2"/>
        <v>40587</v>
      </c>
      <c r="W75" s="18" t="str">
        <f t="shared" si="3"/>
        <v>Weekday</v>
      </c>
    </row>
    <row r="76" spans="1:23" x14ac:dyDescent="0.25">
      <c r="A76" s="19">
        <v>74</v>
      </c>
      <c r="B76" s="20">
        <v>40547</v>
      </c>
      <c r="C76" s="18">
        <v>1</v>
      </c>
      <c r="D76" s="18">
        <v>0</v>
      </c>
      <c r="E76" s="18">
        <v>1</v>
      </c>
      <c r="F76" s="18">
        <v>5</v>
      </c>
      <c r="G76" s="18" t="b">
        <v>0</v>
      </c>
      <c r="H76" s="18">
        <v>2</v>
      </c>
      <c r="I76" s="18">
        <v>1</v>
      </c>
      <c r="J76" s="18">
        <v>0.12</v>
      </c>
      <c r="K76">
        <v>0.1515</v>
      </c>
      <c r="L76">
        <v>0.68</v>
      </c>
      <c r="M76" s="18">
        <v>0.1045</v>
      </c>
      <c r="N76" s="18">
        <v>0</v>
      </c>
      <c r="O76" s="18">
        <v>4</v>
      </c>
      <c r="P76">
        <v>4</v>
      </c>
      <c r="Q76" s="18" t="s">
        <v>34</v>
      </c>
      <c r="R76" s="18" t="s">
        <v>35</v>
      </c>
      <c r="S76" s="18" t="s">
        <v>36</v>
      </c>
      <c r="T76" s="18" t="s">
        <v>42</v>
      </c>
      <c r="U76" s="18">
        <v>2011</v>
      </c>
      <c r="V76" s="16">
        <f t="shared" si="2"/>
        <v>40587</v>
      </c>
      <c r="W76" s="18" t="str">
        <f t="shared" si="3"/>
        <v>Weekday</v>
      </c>
    </row>
    <row r="77" spans="1:23" x14ac:dyDescent="0.25">
      <c r="A77" s="19">
        <v>75</v>
      </c>
      <c r="B77" s="20">
        <v>40547</v>
      </c>
      <c r="C77" s="18">
        <v>1</v>
      </c>
      <c r="D77" s="18">
        <v>0</v>
      </c>
      <c r="E77" s="18">
        <v>1</v>
      </c>
      <c r="F77" s="18">
        <v>6</v>
      </c>
      <c r="G77" s="18" t="b">
        <v>0</v>
      </c>
      <c r="H77" s="18">
        <v>2</v>
      </c>
      <c r="I77" s="18">
        <v>1</v>
      </c>
      <c r="J77" s="18">
        <v>0.12</v>
      </c>
      <c r="K77">
        <v>0.1515</v>
      </c>
      <c r="L77">
        <v>0.74</v>
      </c>
      <c r="M77" s="18">
        <v>0.1045</v>
      </c>
      <c r="N77" s="18">
        <v>0</v>
      </c>
      <c r="O77" s="18">
        <v>36</v>
      </c>
      <c r="P77">
        <v>36</v>
      </c>
      <c r="Q77" s="18" t="s">
        <v>34</v>
      </c>
      <c r="R77" s="18" t="s">
        <v>35</v>
      </c>
      <c r="S77" s="18" t="s">
        <v>36</v>
      </c>
      <c r="T77" s="18" t="s">
        <v>42</v>
      </c>
      <c r="U77" s="18">
        <v>2011</v>
      </c>
      <c r="V77" s="16">
        <f t="shared" si="2"/>
        <v>40587</v>
      </c>
      <c r="W77" s="18" t="str">
        <f t="shared" si="3"/>
        <v>Weekday</v>
      </c>
    </row>
    <row r="78" spans="1:23" x14ac:dyDescent="0.25">
      <c r="A78" s="19">
        <v>76</v>
      </c>
      <c r="B78" s="20">
        <v>40547</v>
      </c>
      <c r="C78" s="18">
        <v>1</v>
      </c>
      <c r="D78" s="18">
        <v>0</v>
      </c>
      <c r="E78" s="18">
        <v>1</v>
      </c>
      <c r="F78" s="18">
        <v>7</v>
      </c>
      <c r="G78" s="18" t="b">
        <v>0</v>
      </c>
      <c r="H78" s="18">
        <v>2</v>
      </c>
      <c r="I78" s="18">
        <v>1</v>
      </c>
      <c r="J78" s="18">
        <v>0.12</v>
      </c>
      <c r="K78">
        <v>0.1515</v>
      </c>
      <c r="L78">
        <v>0.74</v>
      </c>
      <c r="M78" s="18">
        <v>0.1343</v>
      </c>
      <c r="N78" s="18">
        <v>2</v>
      </c>
      <c r="O78" s="18">
        <v>92</v>
      </c>
      <c r="P78">
        <v>94</v>
      </c>
      <c r="Q78" s="18" t="s">
        <v>34</v>
      </c>
      <c r="R78" s="18" t="s">
        <v>35</v>
      </c>
      <c r="S78" s="18" t="s">
        <v>36</v>
      </c>
      <c r="T78" s="18" t="s">
        <v>42</v>
      </c>
      <c r="U78" s="18">
        <v>2011</v>
      </c>
      <c r="V78" s="16">
        <f t="shared" si="2"/>
        <v>40587</v>
      </c>
      <c r="W78" s="18" t="str">
        <f t="shared" si="3"/>
        <v>Weekday</v>
      </c>
    </row>
    <row r="79" spans="1:23" x14ac:dyDescent="0.25">
      <c r="A79" s="19">
        <v>77</v>
      </c>
      <c r="B79" s="20">
        <v>40547</v>
      </c>
      <c r="C79" s="18">
        <v>1</v>
      </c>
      <c r="D79" s="18">
        <v>0</v>
      </c>
      <c r="E79" s="18">
        <v>1</v>
      </c>
      <c r="F79" s="18">
        <v>8</v>
      </c>
      <c r="G79" s="18" t="b">
        <v>0</v>
      </c>
      <c r="H79" s="18">
        <v>2</v>
      </c>
      <c r="I79" s="18">
        <v>1</v>
      </c>
      <c r="J79" s="18">
        <v>0.14000000000000001</v>
      </c>
      <c r="K79">
        <v>0.1515</v>
      </c>
      <c r="L79">
        <v>0.69</v>
      </c>
      <c r="M79" s="18">
        <v>0.16420000000000001</v>
      </c>
      <c r="N79" s="18">
        <v>2</v>
      </c>
      <c r="O79" s="18">
        <v>177</v>
      </c>
      <c r="P79">
        <v>179</v>
      </c>
      <c r="Q79" s="18" t="s">
        <v>34</v>
      </c>
      <c r="R79" s="18" t="s">
        <v>35</v>
      </c>
      <c r="S79" s="18" t="s">
        <v>36</v>
      </c>
      <c r="T79" s="18" t="s">
        <v>42</v>
      </c>
      <c r="U79" s="18">
        <v>2011</v>
      </c>
      <c r="V79" s="16">
        <f t="shared" si="2"/>
        <v>40587</v>
      </c>
      <c r="W79" s="18" t="str">
        <f t="shared" si="3"/>
        <v>Weekday</v>
      </c>
    </row>
    <row r="80" spans="1:23" x14ac:dyDescent="0.25">
      <c r="A80" s="19">
        <v>78</v>
      </c>
      <c r="B80" s="20">
        <v>40547</v>
      </c>
      <c r="C80" s="18">
        <v>1</v>
      </c>
      <c r="D80" s="18">
        <v>0</v>
      </c>
      <c r="E80" s="18">
        <v>1</v>
      </c>
      <c r="F80" s="18">
        <v>9</v>
      </c>
      <c r="G80" s="18" t="b">
        <v>0</v>
      </c>
      <c r="H80" s="18">
        <v>2</v>
      </c>
      <c r="I80" s="18">
        <v>1</v>
      </c>
      <c r="J80" s="18">
        <v>0.16</v>
      </c>
      <c r="K80">
        <v>0.1515</v>
      </c>
      <c r="L80">
        <v>0.64</v>
      </c>
      <c r="M80" s="18">
        <v>0.22389999999999999</v>
      </c>
      <c r="N80" s="18">
        <v>2</v>
      </c>
      <c r="O80" s="18">
        <v>98</v>
      </c>
      <c r="P80">
        <v>100</v>
      </c>
      <c r="Q80" s="18" t="s">
        <v>34</v>
      </c>
      <c r="R80" s="18" t="s">
        <v>35</v>
      </c>
      <c r="S80" s="18" t="s">
        <v>36</v>
      </c>
      <c r="T80" s="18" t="s">
        <v>42</v>
      </c>
      <c r="U80" s="18">
        <v>2011</v>
      </c>
      <c r="V80" s="16">
        <f t="shared" si="2"/>
        <v>40587</v>
      </c>
      <c r="W80" s="18" t="str">
        <f t="shared" si="3"/>
        <v>Weekday</v>
      </c>
    </row>
    <row r="81" spans="1:23" x14ac:dyDescent="0.25">
      <c r="A81" s="19">
        <v>79</v>
      </c>
      <c r="B81" s="20">
        <v>40547</v>
      </c>
      <c r="C81" s="18">
        <v>1</v>
      </c>
      <c r="D81" s="18">
        <v>0</v>
      </c>
      <c r="E81" s="18">
        <v>1</v>
      </c>
      <c r="F81" s="18">
        <v>10</v>
      </c>
      <c r="G81" s="18" t="b">
        <v>0</v>
      </c>
      <c r="H81" s="18">
        <v>2</v>
      </c>
      <c r="I81" s="18">
        <v>2</v>
      </c>
      <c r="J81" s="18">
        <v>0.16</v>
      </c>
      <c r="K81">
        <v>0.13639999999999999</v>
      </c>
      <c r="L81">
        <v>0.69</v>
      </c>
      <c r="M81" s="18">
        <v>0.32840000000000003</v>
      </c>
      <c r="N81" s="18">
        <v>5</v>
      </c>
      <c r="O81" s="18">
        <v>37</v>
      </c>
      <c r="P81">
        <v>42</v>
      </c>
      <c r="Q81" s="18" t="s">
        <v>34</v>
      </c>
      <c r="R81" s="18" t="s">
        <v>35</v>
      </c>
      <c r="S81" s="18" t="s">
        <v>38</v>
      </c>
      <c r="T81" s="18" t="s">
        <v>42</v>
      </c>
      <c r="U81" s="18">
        <v>2011</v>
      </c>
      <c r="V81" s="16">
        <f t="shared" si="2"/>
        <v>40587</v>
      </c>
      <c r="W81" s="18" t="str">
        <f t="shared" si="3"/>
        <v>Weekday</v>
      </c>
    </row>
    <row r="82" spans="1:23" x14ac:dyDescent="0.25">
      <c r="A82" s="19">
        <v>80</v>
      </c>
      <c r="B82" s="20">
        <v>40547</v>
      </c>
      <c r="C82" s="18">
        <v>1</v>
      </c>
      <c r="D82" s="18">
        <v>0</v>
      </c>
      <c r="E82" s="18">
        <v>1</v>
      </c>
      <c r="F82" s="18">
        <v>11</v>
      </c>
      <c r="G82" s="18" t="b">
        <v>0</v>
      </c>
      <c r="H82" s="18">
        <v>2</v>
      </c>
      <c r="I82" s="18">
        <v>1</v>
      </c>
      <c r="J82" s="18">
        <v>0.22</v>
      </c>
      <c r="K82">
        <v>0.21210000000000001</v>
      </c>
      <c r="L82">
        <v>0.51</v>
      </c>
      <c r="M82" s="18">
        <v>0.29849999999999999</v>
      </c>
      <c r="N82" s="18">
        <v>7</v>
      </c>
      <c r="O82" s="18">
        <v>50</v>
      </c>
      <c r="P82">
        <v>57</v>
      </c>
      <c r="Q82" s="18" t="s">
        <v>34</v>
      </c>
      <c r="R82" s="18" t="s">
        <v>35</v>
      </c>
      <c r="S82" s="18" t="s">
        <v>36</v>
      </c>
      <c r="T82" s="18" t="s">
        <v>42</v>
      </c>
      <c r="U82" s="18">
        <v>2011</v>
      </c>
      <c r="V82" s="16">
        <f t="shared" si="2"/>
        <v>40587</v>
      </c>
      <c r="W82" s="18" t="str">
        <f t="shared" si="3"/>
        <v>Weekday</v>
      </c>
    </row>
    <row r="83" spans="1:23" x14ac:dyDescent="0.25">
      <c r="A83" s="19">
        <v>81</v>
      </c>
      <c r="B83" s="20">
        <v>40547</v>
      </c>
      <c r="C83" s="18">
        <v>1</v>
      </c>
      <c r="D83" s="18">
        <v>0</v>
      </c>
      <c r="E83" s="18">
        <v>1</v>
      </c>
      <c r="F83" s="18">
        <v>12</v>
      </c>
      <c r="G83" s="18" t="b">
        <v>0</v>
      </c>
      <c r="H83" s="18">
        <v>2</v>
      </c>
      <c r="I83" s="18">
        <v>1</v>
      </c>
      <c r="J83" s="18">
        <v>0.22</v>
      </c>
      <c r="K83">
        <v>0.2273</v>
      </c>
      <c r="L83">
        <v>0.51</v>
      </c>
      <c r="M83" s="18">
        <v>0.16420000000000001</v>
      </c>
      <c r="N83" s="18">
        <v>12</v>
      </c>
      <c r="O83" s="18">
        <v>66</v>
      </c>
      <c r="P83">
        <v>78</v>
      </c>
      <c r="Q83" s="18" t="s">
        <v>34</v>
      </c>
      <c r="R83" s="18" t="s">
        <v>35</v>
      </c>
      <c r="S83" s="18" t="s">
        <v>36</v>
      </c>
      <c r="T83" s="18" t="s">
        <v>42</v>
      </c>
      <c r="U83" s="18">
        <v>2011</v>
      </c>
      <c r="V83" s="16">
        <f t="shared" si="2"/>
        <v>40587</v>
      </c>
      <c r="W83" s="18" t="str">
        <f t="shared" si="3"/>
        <v>Weekday</v>
      </c>
    </row>
    <row r="84" spans="1:23" x14ac:dyDescent="0.25">
      <c r="A84" s="19">
        <v>82</v>
      </c>
      <c r="B84" s="20">
        <v>40547</v>
      </c>
      <c r="C84" s="18">
        <v>1</v>
      </c>
      <c r="D84" s="18">
        <v>0</v>
      </c>
      <c r="E84" s="18">
        <v>1</v>
      </c>
      <c r="F84" s="18">
        <v>13</v>
      </c>
      <c r="G84" s="18" t="b">
        <v>0</v>
      </c>
      <c r="H84" s="18">
        <v>2</v>
      </c>
      <c r="I84" s="18">
        <v>1</v>
      </c>
      <c r="J84" s="18">
        <v>0.24</v>
      </c>
      <c r="K84">
        <v>0.2273</v>
      </c>
      <c r="L84">
        <v>0.56000000000000005</v>
      </c>
      <c r="M84" s="18">
        <v>0.19400000000000001</v>
      </c>
      <c r="N84" s="18">
        <v>18</v>
      </c>
      <c r="O84" s="18">
        <v>79</v>
      </c>
      <c r="P84">
        <v>97</v>
      </c>
      <c r="Q84" s="18" t="s">
        <v>34</v>
      </c>
      <c r="R84" s="18" t="s">
        <v>35</v>
      </c>
      <c r="S84" s="18" t="s">
        <v>36</v>
      </c>
      <c r="T84" s="18" t="s">
        <v>42</v>
      </c>
      <c r="U84" s="18">
        <v>2011</v>
      </c>
      <c r="V84" s="16">
        <f t="shared" si="2"/>
        <v>40587</v>
      </c>
      <c r="W84" s="18" t="str">
        <f t="shared" si="3"/>
        <v>Weekday</v>
      </c>
    </row>
    <row r="85" spans="1:23" x14ac:dyDescent="0.25">
      <c r="A85" s="19">
        <v>83</v>
      </c>
      <c r="B85" s="20">
        <v>40547</v>
      </c>
      <c r="C85" s="18">
        <v>1</v>
      </c>
      <c r="D85" s="18">
        <v>0</v>
      </c>
      <c r="E85" s="18">
        <v>1</v>
      </c>
      <c r="F85" s="18">
        <v>14</v>
      </c>
      <c r="G85" s="18" t="b">
        <v>0</v>
      </c>
      <c r="H85" s="18">
        <v>2</v>
      </c>
      <c r="I85" s="18">
        <v>1</v>
      </c>
      <c r="J85" s="18">
        <v>0.26</v>
      </c>
      <c r="K85">
        <v>0.2576</v>
      </c>
      <c r="L85">
        <v>0.52</v>
      </c>
      <c r="M85" s="18">
        <v>0.22389999999999999</v>
      </c>
      <c r="N85" s="18">
        <v>9</v>
      </c>
      <c r="O85" s="18">
        <v>54</v>
      </c>
      <c r="P85">
        <v>63</v>
      </c>
      <c r="Q85" s="18" t="s">
        <v>34</v>
      </c>
      <c r="R85" s="18" t="s">
        <v>35</v>
      </c>
      <c r="S85" s="18" t="s">
        <v>36</v>
      </c>
      <c r="T85" s="18" t="s">
        <v>42</v>
      </c>
      <c r="U85" s="18">
        <v>2011</v>
      </c>
      <c r="V85" s="16">
        <f t="shared" si="2"/>
        <v>40587</v>
      </c>
      <c r="W85" s="18" t="str">
        <f t="shared" si="3"/>
        <v>Weekday</v>
      </c>
    </row>
    <row r="86" spans="1:23" x14ac:dyDescent="0.25">
      <c r="A86" s="19">
        <v>84</v>
      </c>
      <c r="B86" s="20">
        <v>40547</v>
      </c>
      <c r="C86" s="18">
        <v>1</v>
      </c>
      <c r="D86" s="18">
        <v>0</v>
      </c>
      <c r="E86" s="18">
        <v>1</v>
      </c>
      <c r="F86" s="18">
        <v>15</v>
      </c>
      <c r="G86" s="18" t="b">
        <v>0</v>
      </c>
      <c r="H86" s="18">
        <v>2</v>
      </c>
      <c r="I86" s="18">
        <v>1</v>
      </c>
      <c r="J86" s="18">
        <v>0.28000000000000003</v>
      </c>
      <c r="K86">
        <v>0.2727</v>
      </c>
      <c r="L86">
        <v>0.52</v>
      </c>
      <c r="M86" s="18">
        <v>0.25369999999999998</v>
      </c>
      <c r="N86" s="18">
        <v>17</v>
      </c>
      <c r="O86" s="18">
        <v>48</v>
      </c>
      <c r="P86">
        <v>65</v>
      </c>
      <c r="Q86" s="18" t="s">
        <v>34</v>
      </c>
      <c r="R86" s="18" t="s">
        <v>35</v>
      </c>
      <c r="S86" s="18" t="s">
        <v>36</v>
      </c>
      <c r="T86" s="18" t="s">
        <v>42</v>
      </c>
      <c r="U86" s="18">
        <v>2011</v>
      </c>
      <c r="V86" s="16">
        <f t="shared" si="2"/>
        <v>40587</v>
      </c>
      <c r="W86" s="18" t="str">
        <f t="shared" si="3"/>
        <v>Weekday</v>
      </c>
    </row>
    <row r="87" spans="1:23" x14ac:dyDescent="0.25">
      <c r="A87" s="19">
        <v>85</v>
      </c>
      <c r="B87" s="20">
        <v>40547</v>
      </c>
      <c r="C87" s="18">
        <v>1</v>
      </c>
      <c r="D87" s="18">
        <v>0</v>
      </c>
      <c r="E87" s="18">
        <v>1</v>
      </c>
      <c r="F87" s="18">
        <v>16</v>
      </c>
      <c r="G87" s="18" t="b">
        <v>0</v>
      </c>
      <c r="H87" s="18">
        <v>2</v>
      </c>
      <c r="I87" s="18">
        <v>1</v>
      </c>
      <c r="J87" s="18">
        <v>0.3</v>
      </c>
      <c r="K87">
        <v>0.28789999999999999</v>
      </c>
      <c r="L87">
        <v>0.49</v>
      </c>
      <c r="M87" s="18">
        <v>0.25369999999999998</v>
      </c>
      <c r="N87" s="18">
        <v>15</v>
      </c>
      <c r="O87" s="18">
        <v>68</v>
      </c>
      <c r="P87">
        <v>83</v>
      </c>
      <c r="Q87" s="18" t="s">
        <v>34</v>
      </c>
      <c r="R87" s="18" t="s">
        <v>35</v>
      </c>
      <c r="S87" s="18" t="s">
        <v>36</v>
      </c>
      <c r="T87" s="18" t="s">
        <v>42</v>
      </c>
      <c r="U87" s="18">
        <v>2011</v>
      </c>
      <c r="V87" s="16">
        <f t="shared" si="2"/>
        <v>40587</v>
      </c>
      <c r="W87" s="18" t="str">
        <f t="shared" si="3"/>
        <v>Weekday</v>
      </c>
    </row>
    <row r="88" spans="1:23" x14ac:dyDescent="0.25">
      <c r="A88" s="19">
        <v>86</v>
      </c>
      <c r="B88" s="20">
        <v>40547</v>
      </c>
      <c r="C88" s="18">
        <v>1</v>
      </c>
      <c r="D88" s="18">
        <v>0</v>
      </c>
      <c r="E88" s="18">
        <v>1</v>
      </c>
      <c r="F88" s="18">
        <v>17</v>
      </c>
      <c r="G88" s="18" t="b">
        <v>0</v>
      </c>
      <c r="H88" s="18">
        <v>2</v>
      </c>
      <c r="I88" s="18">
        <v>1</v>
      </c>
      <c r="J88" s="18">
        <v>0.28000000000000003</v>
      </c>
      <c r="K88">
        <v>0.2727</v>
      </c>
      <c r="L88">
        <v>0.48</v>
      </c>
      <c r="M88" s="18">
        <v>0.22389999999999999</v>
      </c>
      <c r="N88" s="18">
        <v>10</v>
      </c>
      <c r="O88" s="18">
        <v>202</v>
      </c>
      <c r="P88">
        <v>212</v>
      </c>
      <c r="Q88" s="18" t="s">
        <v>34</v>
      </c>
      <c r="R88" s="18" t="s">
        <v>35</v>
      </c>
      <c r="S88" s="18" t="s">
        <v>36</v>
      </c>
      <c r="T88" s="18" t="s">
        <v>42</v>
      </c>
      <c r="U88" s="18">
        <v>2011</v>
      </c>
      <c r="V88" s="16">
        <f t="shared" si="2"/>
        <v>40587</v>
      </c>
      <c r="W88" s="18" t="str">
        <f t="shared" si="3"/>
        <v>Weekday</v>
      </c>
    </row>
    <row r="89" spans="1:23" x14ac:dyDescent="0.25">
      <c r="A89" s="19">
        <v>87</v>
      </c>
      <c r="B89" s="20">
        <v>40547</v>
      </c>
      <c r="C89" s="18">
        <v>1</v>
      </c>
      <c r="D89" s="18">
        <v>0</v>
      </c>
      <c r="E89" s="18">
        <v>1</v>
      </c>
      <c r="F89" s="18">
        <v>18</v>
      </c>
      <c r="G89" s="18" t="b">
        <v>0</v>
      </c>
      <c r="H89" s="18">
        <v>2</v>
      </c>
      <c r="I89" s="18">
        <v>1</v>
      </c>
      <c r="J89" s="18">
        <v>0.26</v>
      </c>
      <c r="K89">
        <v>0.2576</v>
      </c>
      <c r="L89">
        <v>0.48</v>
      </c>
      <c r="M89" s="18">
        <v>0.19400000000000001</v>
      </c>
      <c r="N89" s="18">
        <v>3</v>
      </c>
      <c r="O89" s="18">
        <v>179</v>
      </c>
      <c r="P89">
        <v>182</v>
      </c>
      <c r="Q89" s="18" t="s">
        <v>34</v>
      </c>
      <c r="R89" s="18" t="s">
        <v>35</v>
      </c>
      <c r="S89" s="18" t="s">
        <v>36</v>
      </c>
      <c r="T89" s="18" t="s">
        <v>42</v>
      </c>
      <c r="U89" s="18">
        <v>2011</v>
      </c>
      <c r="V89" s="16">
        <f t="shared" si="2"/>
        <v>40587</v>
      </c>
      <c r="W89" s="18" t="str">
        <f t="shared" si="3"/>
        <v>Weekday</v>
      </c>
    </row>
    <row r="90" spans="1:23" x14ac:dyDescent="0.25">
      <c r="A90" s="19">
        <v>88</v>
      </c>
      <c r="B90" s="20">
        <v>40547</v>
      </c>
      <c r="C90" s="18">
        <v>1</v>
      </c>
      <c r="D90" s="18">
        <v>0</v>
      </c>
      <c r="E90" s="18">
        <v>1</v>
      </c>
      <c r="F90" s="18">
        <v>19</v>
      </c>
      <c r="G90" s="18" t="b">
        <v>0</v>
      </c>
      <c r="H90" s="18">
        <v>2</v>
      </c>
      <c r="I90" s="18">
        <v>1</v>
      </c>
      <c r="J90" s="18">
        <v>0.24</v>
      </c>
      <c r="K90">
        <v>0.2576</v>
      </c>
      <c r="L90">
        <v>0.48</v>
      </c>
      <c r="M90" s="18">
        <v>0.1045</v>
      </c>
      <c r="N90" s="18">
        <v>2</v>
      </c>
      <c r="O90" s="18">
        <v>110</v>
      </c>
      <c r="P90">
        <v>112</v>
      </c>
      <c r="Q90" s="18" t="s">
        <v>34</v>
      </c>
      <c r="R90" s="18" t="s">
        <v>35</v>
      </c>
      <c r="S90" s="18" t="s">
        <v>36</v>
      </c>
      <c r="T90" s="18" t="s">
        <v>42</v>
      </c>
      <c r="U90" s="18">
        <v>2011</v>
      </c>
      <c r="V90" s="16">
        <f t="shared" si="2"/>
        <v>40587</v>
      </c>
      <c r="W90" s="18" t="str">
        <f t="shared" si="3"/>
        <v>Weekday</v>
      </c>
    </row>
    <row r="91" spans="1:23" x14ac:dyDescent="0.25">
      <c r="A91" s="19">
        <v>89</v>
      </c>
      <c r="B91" s="20">
        <v>40547</v>
      </c>
      <c r="C91" s="18">
        <v>1</v>
      </c>
      <c r="D91" s="18">
        <v>0</v>
      </c>
      <c r="E91" s="18">
        <v>1</v>
      </c>
      <c r="F91" s="18">
        <v>20</v>
      </c>
      <c r="G91" s="18" t="b">
        <v>0</v>
      </c>
      <c r="H91" s="18">
        <v>2</v>
      </c>
      <c r="I91" s="18">
        <v>1</v>
      </c>
      <c r="J91" s="18">
        <v>0.24</v>
      </c>
      <c r="K91">
        <v>0.2576</v>
      </c>
      <c r="L91">
        <v>0.48</v>
      </c>
      <c r="M91" s="18">
        <v>0.1045</v>
      </c>
      <c r="N91" s="18">
        <v>1</v>
      </c>
      <c r="O91" s="18">
        <v>53</v>
      </c>
      <c r="P91">
        <v>54</v>
      </c>
      <c r="Q91" s="18" t="s">
        <v>34</v>
      </c>
      <c r="R91" s="18" t="s">
        <v>35</v>
      </c>
      <c r="S91" s="18" t="s">
        <v>36</v>
      </c>
      <c r="T91" s="18" t="s">
        <v>42</v>
      </c>
      <c r="U91" s="18">
        <v>2011</v>
      </c>
      <c r="V91" s="16">
        <f t="shared" si="2"/>
        <v>40587</v>
      </c>
      <c r="W91" s="18" t="str">
        <f t="shared" si="3"/>
        <v>Weekday</v>
      </c>
    </row>
    <row r="92" spans="1:23" x14ac:dyDescent="0.25">
      <c r="A92" s="19">
        <v>90</v>
      </c>
      <c r="B92" s="20">
        <v>40547</v>
      </c>
      <c r="C92" s="18">
        <v>1</v>
      </c>
      <c r="D92" s="18">
        <v>0</v>
      </c>
      <c r="E92" s="18">
        <v>1</v>
      </c>
      <c r="F92" s="18">
        <v>21</v>
      </c>
      <c r="G92" s="18" t="b">
        <v>0</v>
      </c>
      <c r="H92" s="18">
        <v>2</v>
      </c>
      <c r="I92" s="18">
        <v>1</v>
      </c>
      <c r="J92" s="18">
        <v>0.22</v>
      </c>
      <c r="K92">
        <v>0.2727</v>
      </c>
      <c r="L92">
        <v>0.64</v>
      </c>
      <c r="M92" s="18">
        <v>0</v>
      </c>
      <c r="N92" s="18">
        <v>0</v>
      </c>
      <c r="O92" s="18">
        <v>48</v>
      </c>
      <c r="P92">
        <v>48</v>
      </c>
      <c r="Q92" s="18" t="s">
        <v>34</v>
      </c>
      <c r="R92" s="18" t="s">
        <v>35</v>
      </c>
      <c r="S92" s="18" t="s">
        <v>36</v>
      </c>
      <c r="T92" s="18" t="s">
        <v>42</v>
      </c>
      <c r="U92" s="18">
        <v>2011</v>
      </c>
      <c r="V92" s="16">
        <f t="shared" si="2"/>
        <v>40587</v>
      </c>
      <c r="W92" s="18" t="str">
        <f t="shared" si="3"/>
        <v>Weekday</v>
      </c>
    </row>
    <row r="93" spans="1:23" x14ac:dyDescent="0.25">
      <c r="A93" s="19">
        <v>91</v>
      </c>
      <c r="B93" s="20">
        <v>40547</v>
      </c>
      <c r="C93" s="18">
        <v>1</v>
      </c>
      <c r="D93" s="18">
        <v>0</v>
      </c>
      <c r="E93" s="18">
        <v>1</v>
      </c>
      <c r="F93" s="18">
        <v>22</v>
      </c>
      <c r="G93" s="18" t="b">
        <v>0</v>
      </c>
      <c r="H93" s="18">
        <v>2</v>
      </c>
      <c r="I93" s="18">
        <v>1</v>
      </c>
      <c r="J93" s="18">
        <v>0.22</v>
      </c>
      <c r="K93">
        <v>0.2576</v>
      </c>
      <c r="L93">
        <v>0.64</v>
      </c>
      <c r="M93" s="18">
        <v>8.9599999999999999E-2</v>
      </c>
      <c r="N93" s="18">
        <v>1</v>
      </c>
      <c r="O93" s="18">
        <v>34</v>
      </c>
      <c r="P93">
        <v>35</v>
      </c>
      <c r="Q93" s="18" t="s">
        <v>34</v>
      </c>
      <c r="R93" s="18" t="s">
        <v>35</v>
      </c>
      <c r="S93" s="18" t="s">
        <v>36</v>
      </c>
      <c r="T93" s="18" t="s">
        <v>42</v>
      </c>
      <c r="U93" s="18">
        <v>2011</v>
      </c>
      <c r="V93" s="16">
        <f t="shared" si="2"/>
        <v>40587</v>
      </c>
      <c r="W93" s="18" t="str">
        <f t="shared" si="3"/>
        <v>Weekday</v>
      </c>
    </row>
    <row r="94" spans="1:23" x14ac:dyDescent="0.25">
      <c r="A94" s="19">
        <v>92</v>
      </c>
      <c r="B94" s="20">
        <v>40547</v>
      </c>
      <c r="C94" s="18">
        <v>1</v>
      </c>
      <c r="D94" s="18">
        <v>0</v>
      </c>
      <c r="E94" s="18">
        <v>1</v>
      </c>
      <c r="F94" s="18">
        <v>23</v>
      </c>
      <c r="G94" s="18" t="b">
        <v>0</v>
      </c>
      <c r="H94" s="18">
        <v>2</v>
      </c>
      <c r="I94" s="18">
        <v>1</v>
      </c>
      <c r="J94" s="18">
        <v>0.2</v>
      </c>
      <c r="K94">
        <v>0.2273</v>
      </c>
      <c r="L94">
        <v>0.69</v>
      </c>
      <c r="M94" s="18">
        <v>8.9599999999999999E-2</v>
      </c>
      <c r="N94" s="18">
        <v>2</v>
      </c>
      <c r="O94" s="18">
        <v>9</v>
      </c>
      <c r="P94">
        <v>11</v>
      </c>
      <c r="Q94" s="18" t="s">
        <v>34</v>
      </c>
      <c r="R94" s="18" t="s">
        <v>35</v>
      </c>
      <c r="S94" s="18" t="s">
        <v>36</v>
      </c>
      <c r="T94" s="18" t="s">
        <v>42</v>
      </c>
      <c r="U94" s="18">
        <v>2011</v>
      </c>
      <c r="V94" s="16">
        <f t="shared" si="2"/>
        <v>40587</v>
      </c>
      <c r="W94" s="18" t="str">
        <f t="shared" si="3"/>
        <v>Weekday</v>
      </c>
    </row>
    <row r="95" spans="1:23" x14ac:dyDescent="0.25">
      <c r="A95" s="19">
        <v>93</v>
      </c>
      <c r="B95" s="20">
        <v>40548</v>
      </c>
      <c r="C95" s="18">
        <v>1</v>
      </c>
      <c r="D95" s="18">
        <v>0</v>
      </c>
      <c r="E95" s="18">
        <v>1</v>
      </c>
      <c r="F95" s="18">
        <v>0</v>
      </c>
      <c r="G95" s="18" t="b">
        <v>0</v>
      </c>
      <c r="H95" s="18">
        <v>3</v>
      </c>
      <c r="I95" s="18">
        <v>1</v>
      </c>
      <c r="J95" s="18">
        <v>0.2</v>
      </c>
      <c r="K95">
        <v>0.2576</v>
      </c>
      <c r="L95">
        <v>0.64</v>
      </c>
      <c r="M95" s="18">
        <v>0</v>
      </c>
      <c r="N95" s="18">
        <v>0</v>
      </c>
      <c r="O95" s="18">
        <v>6</v>
      </c>
      <c r="P95">
        <v>6</v>
      </c>
      <c r="Q95" s="18" t="s">
        <v>34</v>
      </c>
      <c r="R95" s="18" t="s">
        <v>35</v>
      </c>
      <c r="S95" s="18" t="s">
        <v>36</v>
      </c>
      <c r="T95" s="18" t="s">
        <v>43</v>
      </c>
      <c r="U95" s="18">
        <v>2011</v>
      </c>
      <c r="V95" s="16">
        <f t="shared" si="2"/>
        <v>40587</v>
      </c>
      <c r="W95" s="18" t="str">
        <f t="shared" si="3"/>
        <v>Weekday</v>
      </c>
    </row>
    <row r="96" spans="1:23" x14ac:dyDescent="0.25">
      <c r="A96" s="19">
        <v>94</v>
      </c>
      <c r="B96" s="20">
        <v>40548</v>
      </c>
      <c r="C96" s="18">
        <v>1</v>
      </c>
      <c r="D96" s="18">
        <v>0</v>
      </c>
      <c r="E96" s="18">
        <v>1</v>
      </c>
      <c r="F96" s="18">
        <v>1</v>
      </c>
      <c r="G96" s="18" t="b">
        <v>0</v>
      </c>
      <c r="H96" s="18">
        <v>3</v>
      </c>
      <c r="I96" s="18">
        <v>1</v>
      </c>
      <c r="J96" s="18">
        <v>0.16</v>
      </c>
      <c r="K96">
        <v>0.19700000000000001</v>
      </c>
      <c r="L96">
        <v>0.74</v>
      </c>
      <c r="M96" s="18">
        <v>8.9599999999999999E-2</v>
      </c>
      <c r="N96" s="18">
        <v>0</v>
      </c>
      <c r="O96" s="18">
        <v>6</v>
      </c>
      <c r="P96">
        <v>6</v>
      </c>
      <c r="Q96" s="18" t="s">
        <v>34</v>
      </c>
      <c r="R96" s="18" t="s">
        <v>35</v>
      </c>
      <c r="S96" s="18" t="s">
        <v>36</v>
      </c>
      <c r="T96" s="18" t="s">
        <v>43</v>
      </c>
      <c r="U96" s="18">
        <v>2011</v>
      </c>
      <c r="V96" s="16">
        <f t="shared" si="2"/>
        <v>40587</v>
      </c>
      <c r="W96" s="18" t="str">
        <f t="shared" si="3"/>
        <v>Weekday</v>
      </c>
    </row>
    <row r="97" spans="1:23" x14ac:dyDescent="0.25">
      <c r="A97" s="19">
        <v>95</v>
      </c>
      <c r="B97" s="20">
        <v>40548</v>
      </c>
      <c r="C97" s="18">
        <v>1</v>
      </c>
      <c r="D97" s="18">
        <v>0</v>
      </c>
      <c r="E97" s="18">
        <v>1</v>
      </c>
      <c r="F97" s="18">
        <v>2</v>
      </c>
      <c r="G97" s="18" t="b">
        <v>0</v>
      </c>
      <c r="H97" s="18">
        <v>3</v>
      </c>
      <c r="I97" s="18">
        <v>1</v>
      </c>
      <c r="J97" s="18">
        <v>0.16</v>
      </c>
      <c r="K97">
        <v>0.19700000000000001</v>
      </c>
      <c r="L97">
        <v>0.74</v>
      </c>
      <c r="M97" s="18">
        <v>8.9599999999999999E-2</v>
      </c>
      <c r="N97" s="18">
        <v>0</v>
      </c>
      <c r="O97" s="18">
        <v>2</v>
      </c>
      <c r="P97">
        <v>2</v>
      </c>
      <c r="Q97" s="18" t="s">
        <v>34</v>
      </c>
      <c r="R97" s="18" t="s">
        <v>35</v>
      </c>
      <c r="S97" s="18" t="s">
        <v>36</v>
      </c>
      <c r="T97" s="18" t="s">
        <v>43</v>
      </c>
      <c r="U97" s="18">
        <v>2011</v>
      </c>
      <c r="V97" s="16">
        <f t="shared" si="2"/>
        <v>40587</v>
      </c>
      <c r="W97" s="18" t="str">
        <f t="shared" si="3"/>
        <v>Weekday</v>
      </c>
    </row>
    <row r="98" spans="1:23" x14ac:dyDescent="0.25">
      <c r="A98" s="19">
        <v>96</v>
      </c>
      <c r="B98" s="20">
        <v>40548</v>
      </c>
      <c r="C98" s="18">
        <v>1</v>
      </c>
      <c r="D98" s="18">
        <v>0</v>
      </c>
      <c r="E98" s="18">
        <v>1</v>
      </c>
      <c r="F98" s="18">
        <v>4</v>
      </c>
      <c r="G98" s="18" t="b">
        <v>0</v>
      </c>
      <c r="H98" s="18">
        <v>3</v>
      </c>
      <c r="I98" s="18">
        <v>1</v>
      </c>
      <c r="J98" s="18">
        <v>0.24</v>
      </c>
      <c r="K98">
        <v>0.2273</v>
      </c>
      <c r="L98">
        <v>0.48</v>
      </c>
      <c r="M98" s="18">
        <v>0.22389999999999999</v>
      </c>
      <c r="N98" s="18">
        <v>0</v>
      </c>
      <c r="O98" s="18">
        <v>2</v>
      </c>
      <c r="P98">
        <v>2</v>
      </c>
      <c r="Q98" s="18" t="s">
        <v>34</v>
      </c>
      <c r="R98" s="18" t="s">
        <v>35</v>
      </c>
      <c r="S98" s="18" t="s">
        <v>36</v>
      </c>
      <c r="T98" s="18" t="s">
        <v>43</v>
      </c>
      <c r="U98" s="18">
        <v>2011</v>
      </c>
      <c r="V98" s="16">
        <f t="shared" si="2"/>
        <v>40587</v>
      </c>
      <c r="W98" s="18" t="str">
        <f t="shared" si="3"/>
        <v>Weekday</v>
      </c>
    </row>
    <row r="99" spans="1:23" x14ac:dyDescent="0.25">
      <c r="A99" s="19">
        <v>97</v>
      </c>
      <c r="B99" s="20">
        <v>40548</v>
      </c>
      <c r="C99" s="18">
        <v>1</v>
      </c>
      <c r="D99" s="18">
        <v>0</v>
      </c>
      <c r="E99" s="18">
        <v>1</v>
      </c>
      <c r="F99" s="18">
        <v>5</v>
      </c>
      <c r="G99" s="18" t="b">
        <v>0</v>
      </c>
      <c r="H99" s="18">
        <v>3</v>
      </c>
      <c r="I99" s="18">
        <v>1</v>
      </c>
      <c r="J99" s="18">
        <v>0.22</v>
      </c>
      <c r="K99">
        <v>0.2273</v>
      </c>
      <c r="L99">
        <v>0.47</v>
      </c>
      <c r="M99" s="18">
        <v>0.16420000000000001</v>
      </c>
      <c r="N99" s="18">
        <v>0</v>
      </c>
      <c r="O99" s="18">
        <v>3</v>
      </c>
      <c r="P99">
        <v>3</v>
      </c>
      <c r="Q99" s="18" t="s">
        <v>34</v>
      </c>
      <c r="R99" s="18" t="s">
        <v>35</v>
      </c>
      <c r="S99" s="18" t="s">
        <v>36</v>
      </c>
      <c r="T99" s="18" t="s">
        <v>43</v>
      </c>
      <c r="U99" s="18">
        <v>2011</v>
      </c>
      <c r="V99" s="16">
        <f t="shared" si="2"/>
        <v>40587</v>
      </c>
      <c r="W99" s="18" t="str">
        <f t="shared" si="3"/>
        <v>Weekday</v>
      </c>
    </row>
    <row r="100" spans="1:23" x14ac:dyDescent="0.25">
      <c r="A100" s="19">
        <v>98</v>
      </c>
      <c r="B100" s="20">
        <v>40548</v>
      </c>
      <c r="C100" s="18">
        <v>1</v>
      </c>
      <c r="D100" s="18">
        <v>0</v>
      </c>
      <c r="E100" s="18">
        <v>1</v>
      </c>
      <c r="F100" s="18">
        <v>6</v>
      </c>
      <c r="G100" s="18" t="b">
        <v>0</v>
      </c>
      <c r="H100" s="18">
        <v>3</v>
      </c>
      <c r="I100" s="18">
        <v>1</v>
      </c>
      <c r="J100" s="18">
        <v>0.2</v>
      </c>
      <c r="K100">
        <v>0.19700000000000001</v>
      </c>
      <c r="L100">
        <v>0.47</v>
      </c>
      <c r="M100" s="18">
        <v>0.22389999999999999</v>
      </c>
      <c r="N100" s="18">
        <v>0</v>
      </c>
      <c r="O100" s="18">
        <v>33</v>
      </c>
      <c r="P100">
        <v>33</v>
      </c>
      <c r="Q100" s="18" t="s">
        <v>34</v>
      </c>
      <c r="R100" s="18" t="s">
        <v>35</v>
      </c>
      <c r="S100" s="18" t="s">
        <v>36</v>
      </c>
      <c r="T100" s="18" t="s">
        <v>43</v>
      </c>
      <c r="U100" s="18">
        <v>2011</v>
      </c>
      <c r="V100" s="16">
        <f t="shared" si="2"/>
        <v>40587</v>
      </c>
      <c r="W100" s="18" t="str">
        <f t="shared" si="3"/>
        <v>Weekday</v>
      </c>
    </row>
    <row r="101" spans="1:23" x14ac:dyDescent="0.25">
      <c r="A101" s="19">
        <v>99</v>
      </c>
      <c r="B101" s="20">
        <v>40548</v>
      </c>
      <c r="C101" s="18">
        <v>1</v>
      </c>
      <c r="D101" s="18">
        <v>0</v>
      </c>
      <c r="E101" s="18">
        <v>1</v>
      </c>
      <c r="F101" s="18">
        <v>7</v>
      </c>
      <c r="G101" s="18" t="b">
        <v>0</v>
      </c>
      <c r="H101" s="18">
        <v>3</v>
      </c>
      <c r="I101" s="18">
        <v>1</v>
      </c>
      <c r="J101" s="18">
        <v>0.18</v>
      </c>
      <c r="K101">
        <v>0.18179999999999999</v>
      </c>
      <c r="L101">
        <v>0.43</v>
      </c>
      <c r="M101" s="18">
        <v>0.19400000000000001</v>
      </c>
      <c r="N101" s="18">
        <v>1</v>
      </c>
      <c r="O101" s="18">
        <v>87</v>
      </c>
      <c r="P101">
        <v>88</v>
      </c>
      <c r="Q101" s="18" t="s">
        <v>34</v>
      </c>
      <c r="R101" s="18" t="s">
        <v>35</v>
      </c>
      <c r="S101" s="18" t="s">
        <v>36</v>
      </c>
      <c r="T101" s="18" t="s">
        <v>43</v>
      </c>
      <c r="U101" s="18">
        <v>2011</v>
      </c>
      <c r="V101" s="16">
        <f t="shared" si="2"/>
        <v>40587</v>
      </c>
      <c r="W101" s="18" t="str">
        <f t="shared" si="3"/>
        <v>Weekday</v>
      </c>
    </row>
    <row r="102" spans="1:23" x14ac:dyDescent="0.25">
      <c r="A102" s="19">
        <v>100</v>
      </c>
      <c r="B102" s="20">
        <v>40548</v>
      </c>
      <c r="C102" s="18">
        <v>1</v>
      </c>
      <c r="D102" s="18">
        <v>0</v>
      </c>
      <c r="E102" s="18">
        <v>1</v>
      </c>
      <c r="F102" s="18">
        <v>8</v>
      </c>
      <c r="G102" s="18" t="b">
        <v>0</v>
      </c>
      <c r="H102" s="18">
        <v>3</v>
      </c>
      <c r="I102" s="18">
        <v>1</v>
      </c>
      <c r="J102" s="18">
        <v>0.2</v>
      </c>
      <c r="K102">
        <v>0.18179999999999999</v>
      </c>
      <c r="L102">
        <v>0.4</v>
      </c>
      <c r="M102" s="18">
        <v>0.29849999999999999</v>
      </c>
      <c r="N102" s="18">
        <v>3</v>
      </c>
      <c r="O102" s="18">
        <v>192</v>
      </c>
      <c r="P102">
        <v>195</v>
      </c>
      <c r="Q102" s="18" t="s">
        <v>34</v>
      </c>
      <c r="R102" s="18" t="s">
        <v>35</v>
      </c>
      <c r="S102" s="18" t="s">
        <v>36</v>
      </c>
      <c r="T102" s="18" t="s">
        <v>43</v>
      </c>
      <c r="U102" s="18">
        <v>2011</v>
      </c>
      <c r="V102" s="16">
        <f t="shared" si="2"/>
        <v>40587</v>
      </c>
      <c r="W102" s="18" t="str">
        <f t="shared" si="3"/>
        <v>Weekday</v>
      </c>
    </row>
    <row r="103" spans="1:23" x14ac:dyDescent="0.25">
      <c r="A103" s="19">
        <v>101</v>
      </c>
      <c r="B103" s="20">
        <v>40548</v>
      </c>
      <c r="C103" s="18">
        <v>1</v>
      </c>
      <c r="D103" s="18">
        <v>0</v>
      </c>
      <c r="E103" s="18">
        <v>1</v>
      </c>
      <c r="F103" s="18">
        <v>9</v>
      </c>
      <c r="G103" s="18" t="b">
        <v>0</v>
      </c>
      <c r="H103" s="18">
        <v>3</v>
      </c>
      <c r="I103" s="18">
        <v>1</v>
      </c>
      <c r="J103" s="18">
        <v>0.22</v>
      </c>
      <c r="K103">
        <v>0.19700000000000001</v>
      </c>
      <c r="L103">
        <v>0.37</v>
      </c>
      <c r="M103" s="18">
        <v>0.32840000000000003</v>
      </c>
      <c r="N103" s="18">
        <v>6</v>
      </c>
      <c r="O103" s="18">
        <v>109</v>
      </c>
      <c r="P103">
        <v>115</v>
      </c>
      <c r="Q103" s="18" t="s">
        <v>34</v>
      </c>
      <c r="R103" s="18" t="s">
        <v>35</v>
      </c>
      <c r="S103" s="18" t="s">
        <v>36</v>
      </c>
      <c r="T103" s="18" t="s">
        <v>43</v>
      </c>
      <c r="U103" s="18">
        <v>2011</v>
      </c>
      <c r="V103" s="16">
        <f t="shared" si="2"/>
        <v>40587</v>
      </c>
      <c r="W103" s="18" t="str">
        <f t="shared" si="3"/>
        <v>Weekday</v>
      </c>
    </row>
    <row r="104" spans="1:23" x14ac:dyDescent="0.25">
      <c r="A104" s="19">
        <v>102</v>
      </c>
      <c r="B104" s="20">
        <v>40548</v>
      </c>
      <c r="C104" s="18">
        <v>1</v>
      </c>
      <c r="D104" s="18">
        <v>0</v>
      </c>
      <c r="E104" s="18">
        <v>1</v>
      </c>
      <c r="F104" s="18">
        <v>10</v>
      </c>
      <c r="G104" s="18" t="b">
        <v>0</v>
      </c>
      <c r="H104" s="18">
        <v>3</v>
      </c>
      <c r="I104" s="18">
        <v>1</v>
      </c>
      <c r="J104" s="18">
        <v>0.22</v>
      </c>
      <c r="K104">
        <v>0.19700000000000001</v>
      </c>
      <c r="L104">
        <v>0.37</v>
      </c>
      <c r="M104" s="18">
        <v>0.32840000000000003</v>
      </c>
      <c r="N104" s="18">
        <v>4</v>
      </c>
      <c r="O104" s="18">
        <v>53</v>
      </c>
      <c r="P104">
        <v>57</v>
      </c>
      <c r="Q104" s="18" t="s">
        <v>34</v>
      </c>
      <c r="R104" s="18" t="s">
        <v>35</v>
      </c>
      <c r="S104" s="18" t="s">
        <v>36</v>
      </c>
      <c r="T104" s="18" t="s">
        <v>43</v>
      </c>
      <c r="U104" s="18">
        <v>2011</v>
      </c>
      <c r="V104" s="16">
        <f t="shared" si="2"/>
        <v>40587</v>
      </c>
      <c r="W104" s="18" t="str">
        <f t="shared" si="3"/>
        <v>Weekday</v>
      </c>
    </row>
    <row r="105" spans="1:23" x14ac:dyDescent="0.25">
      <c r="A105" s="19">
        <v>103</v>
      </c>
      <c r="B105" s="20">
        <v>40548</v>
      </c>
      <c r="C105" s="18">
        <v>1</v>
      </c>
      <c r="D105" s="18">
        <v>0</v>
      </c>
      <c r="E105" s="18">
        <v>1</v>
      </c>
      <c r="F105" s="18">
        <v>11</v>
      </c>
      <c r="G105" s="18" t="b">
        <v>0</v>
      </c>
      <c r="H105" s="18">
        <v>3</v>
      </c>
      <c r="I105" s="18">
        <v>1</v>
      </c>
      <c r="J105" s="18">
        <v>0.26</v>
      </c>
      <c r="K105">
        <v>0.2273</v>
      </c>
      <c r="L105">
        <v>0.33</v>
      </c>
      <c r="M105" s="18">
        <v>0.32840000000000003</v>
      </c>
      <c r="N105" s="18">
        <v>12</v>
      </c>
      <c r="O105" s="18">
        <v>34</v>
      </c>
      <c r="P105">
        <v>46</v>
      </c>
      <c r="Q105" s="18" t="s">
        <v>34</v>
      </c>
      <c r="R105" s="18" t="s">
        <v>35</v>
      </c>
      <c r="S105" s="18" t="s">
        <v>36</v>
      </c>
      <c r="T105" s="18" t="s">
        <v>43</v>
      </c>
      <c r="U105" s="18">
        <v>2011</v>
      </c>
      <c r="V105" s="16">
        <f t="shared" si="2"/>
        <v>40587</v>
      </c>
      <c r="W105" s="18" t="str">
        <f t="shared" si="3"/>
        <v>Weekday</v>
      </c>
    </row>
    <row r="106" spans="1:23" x14ac:dyDescent="0.25">
      <c r="A106" s="19">
        <v>104</v>
      </c>
      <c r="B106" s="20">
        <v>40548</v>
      </c>
      <c r="C106" s="18">
        <v>1</v>
      </c>
      <c r="D106" s="18">
        <v>0</v>
      </c>
      <c r="E106" s="18">
        <v>1</v>
      </c>
      <c r="F106" s="18">
        <v>12</v>
      </c>
      <c r="G106" s="18" t="b">
        <v>0</v>
      </c>
      <c r="H106" s="18">
        <v>3</v>
      </c>
      <c r="I106" s="18">
        <v>1</v>
      </c>
      <c r="J106" s="18">
        <v>0.26</v>
      </c>
      <c r="K106">
        <v>0.2273</v>
      </c>
      <c r="L106">
        <v>0.33</v>
      </c>
      <c r="M106" s="18">
        <v>0.32840000000000003</v>
      </c>
      <c r="N106" s="18">
        <v>5</v>
      </c>
      <c r="O106" s="18">
        <v>74</v>
      </c>
      <c r="P106">
        <v>79</v>
      </c>
      <c r="Q106" s="18" t="s">
        <v>34</v>
      </c>
      <c r="R106" s="18" t="s">
        <v>35</v>
      </c>
      <c r="S106" s="18" t="s">
        <v>36</v>
      </c>
      <c r="T106" s="18" t="s">
        <v>43</v>
      </c>
      <c r="U106" s="18">
        <v>2011</v>
      </c>
      <c r="V106" s="16">
        <f t="shared" si="2"/>
        <v>40587</v>
      </c>
      <c r="W106" s="18" t="str">
        <f t="shared" si="3"/>
        <v>Weekday</v>
      </c>
    </row>
    <row r="107" spans="1:23" x14ac:dyDescent="0.25">
      <c r="A107" s="19">
        <v>105</v>
      </c>
      <c r="B107" s="20">
        <v>40548</v>
      </c>
      <c r="C107" s="18">
        <v>1</v>
      </c>
      <c r="D107" s="18">
        <v>0</v>
      </c>
      <c r="E107" s="18">
        <v>1</v>
      </c>
      <c r="F107" s="18">
        <v>13</v>
      </c>
      <c r="G107" s="18" t="b">
        <v>0</v>
      </c>
      <c r="H107" s="18">
        <v>3</v>
      </c>
      <c r="I107" s="18">
        <v>1</v>
      </c>
      <c r="J107" s="18">
        <v>0.28000000000000003</v>
      </c>
      <c r="K107">
        <v>0.2576</v>
      </c>
      <c r="L107">
        <v>0.3</v>
      </c>
      <c r="M107" s="18">
        <v>0.29849999999999999</v>
      </c>
      <c r="N107" s="18">
        <v>6</v>
      </c>
      <c r="O107" s="18">
        <v>65</v>
      </c>
      <c r="P107">
        <v>71</v>
      </c>
      <c r="Q107" s="18" t="s">
        <v>34</v>
      </c>
      <c r="R107" s="18" t="s">
        <v>35</v>
      </c>
      <c r="S107" s="18" t="s">
        <v>36</v>
      </c>
      <c r="T107" s="18" t="s">
        <v>43</v>
      </c>
      <c r="U107" s="18">
        <v>2011</v>
      </c>
      <c r="V107" s="16">
        <f t="shared" si="2"/>
        <v>40587</v>
      </c>
      <c r="W107" s="18" t="str">
        <f t="shared" si="3"/>
        <v>Weekday</v>
      </c>
    </row>
    <row r="108" spans="1:23" x14ac:dyDescent="0.25">
      <c r="A108" s="19">
        <v>106</v>
      </c>
      <c r="B108" s="20">
        <v>40548</v>
      </c>
      <c r="C108" s="18">
        <v>1</v>
      </c>
      <c r="D108" s="18">
        <v>0</v>
      </c>
      <c r="E108" s="18">
        <v>1</v>
      </c>
      <c r="F108" s="18">
        <v>14</v>
      </c>
      <c r="G108" s="18" t="b">
        <v>0</v>
      </c>
      <c r="H108" s="18">
        <v>3</v>
      </c>
      <c r="I108" s="18">
        <v>1</v>
      </c>
      <c r="J108" s="18">
        <v>0.3</v>
      </c>
      <c r="K108">
        <v>0.28789999999999999</v>
      </c>
      <c r="L108">
        <v>0.28000000000000003</v>
      </c>
      <c r="M108" s="18">
        <v>0.19400000000000001</v>
      </c>
      <c r="N108" s="18">
        <v>10</v>
      </c>
      <c r="O108" s="18">
        <v>52</v>
      </c>
      <c r="P108">
        <v>62</v>
      </c>
      <c r="Q108" s="18" t="s">
        <v>34</v>
      </c>
      <c r="R108" s="18" t="s">
        <v>35</v>
      </c>
      <c r="S108" s="18" t="s">
        <v>36</v>
      </c>
      <c r="T108" s="18" t="s">
        <v>43</v>
      </c>
      <c r="U108" s="18">
        <v>2011</v>
      </c>
      <c r="V108" s="16">
        <f t="shared" si="2"/>
        <v>40587</v>
      </c>
      <c r="W108" s="18" t="str">
        <f t="shared" si="3"/>
        <v>Weekday</v>
      </c>
    </row>
    <row r="109" spans="1:23" x14ac:dyDescent="0.25">
      <c r="A109" s="19">
        <v>107</v>
      </c>
      <c r="B109" s="20">
        <v>40548</v>
      </c>
      <c r="C109" s="18">
        <v>1</v>
      </c>
      <c r="D109" s="18">
        <v>0</v>
      </c>
      <c r="E109" s="18">
        <v>1</v>
      </c>
      <c r="F109" s="18">
        <v>15</v>
      </c>
      <c r="G109" s="18" t="b">
        <v>0</v>
      </c>
      <c r="H109" s="18">
        <v>3</v>
      </c>
      <c r="I109" s="18">
        <v>1</v>
      </c>
      <c r="J109" s="18">
        <v>0.3</v>
      </c>
      <c r="K109">
        <v>0.28789999999999999</v>
      </c>
      <c r="L109">
        <v>0.28000000000000003</v>
      </c>
      <c r="M109" s="18">
        <v>0.19400000000000001</v>
      </c>
      <c r="N109" s="18">
        <v>7</v>
      </c>
      <c r="O109" s="18">
        <v>55</v>
      </c>
      <c r="P109">
        <v>62</v>
      </c>
      <c r="Q109" s="18" t="s">
        <v>34</v>
      </c>
      <c r="R109" s="18" t="s">
        <v>35</v>
      </c>
      <c r="S109" s="18" t="s">
        <v>36</v>
      </c>
      <c r="T109" s="18" t="s">
        <v>43</v>
      </c>
      <c r="U109" s="18">
        <v>2011</v>
      </c>
      <c r="V109" s="16">
        <f t="shared" si="2"/>
        <v>40587</v>
      </c>
      <c r="W109" s="18" t="str">
        <f t="shared" si="3"/>
        <v>Weekday</v>
      </c>
    </row>
    <row r="110" spans="1:23" x14ac:dyDescent="0.25">
      <c r="A110" s="19">
        <v>108</v>
      </c>
      <c r="B110" s="20">
        <v>40548</v>
      </c>
      <c r="C110" s="18">
        <v>1</v>
      </c>
      <c r="D110" s="18">
        <v>0</v>
      </c>
      <c r="E110" s="18">
        <v>1</v>
      </c>
      <c r="F110" s="18">
        <v>16</v>
      </c>
      <c r="G110" s="18" t="b">
        <v>0</v>
      </c>
      <c r="H110" s="18">
        <v>3</v>
      </c>
      <c r="I110" s="18">
        <v>1</v>
      </c>
      <c r="J110" s="18">
        <v>0.3</v>
      </c>
      <c r="K110">
        <v>0.31819999999999998</v>
      </c>
      <c r="L110">
        <v>0.28000000000000003</v>
      </c>
      <c r="M110" s="18">
        <v>8.9599999999999999E-2</v>
      </c>
      <c r="N110" s="18">
        <v>4</v>
      </c>
      <c r="O110" s="18">
        <v>85</v>
      </c>
      <c r="P110">
        <v>89</v>
      </c>
      <c r="Q110" s="18" t="s">
        <v>34</v>
      </c>
      <c r="R110" s="18" t="s">
        <v>35</v>
      </c>
      <c r="S110" s="18" t="s">
        <v>36</v>
      </c>
      <c r="T110" s="18" t="s">
        <v>43</v>
      </c>
      <c r="U110" s="18">
        <v>2011</v>
      </c>
      <c r="V110" s="16">
        <f t="shared" si="2"/>
        <v>40587</v>
      </c>
      <c r="W110" s="18" t="str">
        <f t="shared" si="3"/>
        <v>Weekday</v>
      </c>
    </row>
    <row r="111" spans="1:23" x14ac:dyDescent="0.25">
      <c r="A111" s="19">
        <v>109</v>
      </c>
      <c r="B111" s="20">
        <v>40548</v>
      </c>
      <c r="C111" s="18">
        <v>1</v>
      </c>
      <c r="D111" s="18">
        <v>0</v>
      </c>
      <c r="E111" s="18">
        <v>1</v>
      </c>
      <c r="F111" s="18">
        <v>17</v>
      </c>
      <c r="G111" s="18" t="b">
        <v>0</v>
      </c>
      <c r="H111" s="18">
        <v>3</v>
      </c>
      <c r="I111" s="18">
        <v>1</v>
      </c>
      <c r="J111" s="18">
        <v>0.24</v>
      </c>
      <c r="K111">
        <v>0.2273</v>
      </c>
      <c r="L111">
        <v>0.38</v>
      </c>
      <c r="M111" s="18">
        <v>0.19400000000000001</v>
      </c>
      <c r="N111" s="18">
        <v>4</v>
      </c>
      <c r="O111" s="18">
        <v>186</v>
      </c>
      <c r="P111">
        <v>190</v>
      </c>
      <c r="Q111" s="18" t="s">
        <v>34</v>
      </c>
      <c r="R111" s="18" t="s">
        <v>35</v>
      </c>
      <c r="S111" s="18" t="s">
        <v>36</v>
      </c>
      <c r="T111" s="18" t="s">
        <v>43</v>
      </c>
      <c r="U111" s="18">
        <v>2011</v>
      </c>
      <c r="V111" s="16">
        <f t="shared" si="2"/>
        <v>40587</v>
      </c>
      <c r="W111" s="18" t="str">
        <f t="shared" si="3"/>
        <v>Weekday</v>
      </c>
    </row>
    <row r="112" spans="1:23" x14ac:dyDescent="0.25">
      <c r="A112" s="19">
        <v>110</v>
      </c>
      <c r="B112" s="20">
        <v>40548</v>
      </c>
      <c r="C112" s="18">
        <v>1</v>
      </c>
      <c r="D112" s="18">
        <v>0</v>
      </c>
      <c r="E112" s="18">
        <v>1</v>
      </c>
      <c r="F112" s="18">
        <v>18</v>
      </c>
      <c r="G112" s="18" t="b">
        <v>0</v>
      </c>
      <c r="H112" s="18">
        <v>3</v>
      </c>
      <c r="I112" s="18">
        <v>1</v>
      </c>
      <c r="J112" s="18">
        <v>0.24</v>
      </c>
      <c r="K112">
        <v>0.2424</v>
      </c>
      <c r="L112">
        <v>0.38</v>
      </c>
      <c r="M112" s="18">
        <v>0.1343</v>
      </c>
      <c r="N112" s="18">
        <v>3</v>
      </c>
      <c r="O112" s="18">
        <v>166</v>
      </c>
      <c r="P112">
        <v>169</v>
      </c>
      <c r="Q112" s="18" t="s">
        <v>34</v>
      </c>
      <c r="R112" s="18" t="s">
        <v>35</v>
      </c>
      <c r="S112" s="18" t="s">
        <v>36</v>
      </c>
      <c r="T112" s="18" t="s">
        <v>43</v>
      </c>
      <c r="U112" s="18">
        <v>2011</v>
      </c>
      <c r="V112" s="16">
        <f t="shared" si="2"/>
        <v>40587</v>
      </c>
      <c r="W112" s="18" t="str">
        <f t="shared" si="3"/>
        <v>Weekday</v>
      </c>
    </row>
    <row r="113" spans="1:23" x14ac:dyDescent="0.25">
      <c r="A113" s="19">
        <v>111</v>
      </c>
      <c r="B113" s="20">
        <v>40548</v>
      </c>
      <c r="C113" s="18">
        <v>1</v>
      </c>
      <c r="D113" s="18">
        <v>0</v>
      </c>
      <c r="E113" s="18">
        <v>1</v>
      </c>
      <c r="F113" s="18">
        <v>19</v>
      </c>
      <c r="G113" s="18" t="b">
        <v>0</v>
      </c>
      <c r="H113" s="18">
        <v>3</v>
      </c>
      <c r="I113" s="18">
        <v>1</v>
      </c>
      <c r="J113" s="18">
        <v>0.24</v>
      </c>
      <c r="K113">
        <v>0.2576</v>
      </c>
      <c r="L113">
        <v>0.38</v>
      </c>
      <c r="M113" s="18">
        <v>0.1045</v>
      </c>
      <c r="N113" s="18">
        <v>5</v>
      </c>
      <c r="O113" s="18">
        <v>127</v>
      </c>
      <c r="P113">
        <v>132</v>
      </c>
      <c r="Q113" s="18" t="s">
        <v>34</v>
      </c>
      <c r="R113" s="18" t="s">
        <v>35</v>
      </c>
      <c r="S113" s="18" t="s">
        <v>36</v>
      </c>
      <c r="T113" s="18" t="s">
        <v>43</v>
      </c>
      <c r="U113" s="18">
        <v>2011</v>
      </c>
      <c r="V113" s="16">
        <f t="shared" si="2"/>
        <v>40587</v>
      </c>
      <c r="W113" s="18" t="str">
        <f t="shared" si="3"/>
        <v>Weekday</v>
      </c>
    </row>
    <row r="114" spans="1:23" x14ac:dyDescent="0.25">
      <c r="A114" s="19">
        <v>112</v>
      </c>
      <c r="B114" s="20">
        <v>40548</v>
      </c>
      <c r="C114" s="18">
        <v>1</v>
      </c>
      <c r="D114" s="18">
        <v>0</v>
      </c>
      <c r="E114" s="18">
        <v>1</v>
      </c>
      <c r="F114" s="18">
        <v>20</v>
      </c>
      <c r="G114" s="18" t="b">
        <v>0</v>
      </c>
      <c r="H114" s="18">
        <v>3</v>
      </c>
      <c r="I114" s="18">
        <v>1</v>
      </c>
      <c r="J114" s="18">
        <v>0.22</v>
      </c>
      <c r="K114">
        <v>0.2273</v>
      </c>
      <c r="L114">
        <v>0.47</v>
      </c>
      <c r="M114" s="18">
        <v>0.16420000000000001</v>
      </c>
      <c r="N114" s="18">
        <v>7</v>
      </c>
      <c r="O114" s="18">
        <v>82</v>
      </c>
      <c r="P114">
        <v>89</v>
      </c>
      <c r="Q114" s="18" t="s">
        <v>34</v>
      </c>
      <c r="R114" s="18" t="s">
        <v>35</v>
      </c>
      <c r="S114" s="18" t="s">
        <v>36</v>
      </c>
      <c r="T114" s="18" t="s">
        <v>43</v>
      </c>
      <c r="U114" s="18">
        <v>2011</v>
      </c>
      <c r="V114" s="16">
        <f t="shared" si="2"/>
        <v>40587</v>
      </c>
      <c r="W114" s="18" t="str">
        <f t="shared" si="3"/>
        <v>Weekday</v>
      </c>
    </row>
    <row r="115" spans="1:23" x14ac:dyDescent="0.25">
      <c r="A115" s="19">
        <v>113</v>
      </c>
      <c r="B115" s="20">
        <v>40548</v>
      </c>
      <c r="C115" s="18">
        <v>1</v>
      </c>
      <c r="D115" s="18">
        <v>0</v>
      </c>
      <c r="E115" s="18">
        <v>1</v>
      </c>
      <c r="F115" s="18">
        <v>21</v>
      </c>
      <c r="G115" s="18" t="b">
        <v>0</v>
      </c>
      <c r="H115" s="18">
        <v>3</v>
      </c>
      <c r="I115" s="18">
        <v>1</v>
      </c>
      <c r="J115" s="18">
        <v>0.2</v>
      </c>
      <c r="K115">
        <v>0.19700000000000001</v>
      </c>
      <c r="L115">
        <v>0.51</v>
      </c>
      <c r="M115" s="18">
        <v>0.19400000000000001</v>
      </c>
      <c r="N115" s="18">
        <v>3</v>
      </c>
      <c r="O115" s="18">
        <v>40</v>
      </c>
      <c r="P115">
        <v>43</v>
      </c>
      <c r="Q115" s="18" t="s">
        <v>34</v>
      </c>
      <c r="R115" s="18" t="s">
        <v>35</v>
      </c>
      <c r="S115" s="18" t="s">
        <v>36</v>
      </c>
      <c r="T115" s="18" t="s">
        <v>43</v>
      </c>
      <c r="U115" s="18">
        <v>2011</v>
      </c>
      <c r="V115" s="16">
        <f t="shared" si="2"/>
        <v>40587</v>
      </c>
      <c r="W115" s="18" t="str">
        <f t="shared" si="3"/>
        <v>Weekday</v>
      </c>
    </row>
    <row r="116" spans="1:23" x14ac:dyDescent="0.25">
      <c r="A116" s="19">
        <v>114</v>
      </c>
      <c r="B116" s="20">
        <v>40548</v>
      </c>
      <c r="C116" s="18">
        <v>1</v>
      </c>
      <c r="D116" s="18">
        <v>0</v>
      </c>
      <c r="E116" s="18">
        <v>1</v>
      </c>
      <c r="F116" s="18">
        <v>22</v>
      </c>
      <c r="G116" s="18" t="b">
        <v>0</v>
      </c>
      <c r="H116" s="18">
        <v>3</v>
      </c>
      <c r="I116" s="18">
        <v>1</v>
      </c>
      <c r="J116" s="18">
        <v>0.18</v>
      </c>
      <c r="K116">
        <v>0.19700000000000001</v>
      </c>
      <c r="L116">
        <v>0.55000000000000004</v>
      </c>
      <c r="M116" s="18">
        <v>0.1343</v>
      </c>
      <c r="N116" s="18">
        <v>1</v>
      </c>
      <c r="O116" s="18">
        <v>41</v>
      </c>
      <c r="P116">
        <v>42</v>
      </c>
      <c r="Q116" s="18" t="s">
        <v>34</v>
      </c>
      <c r="R116" s="18" t="s">
        <v>35</v>
      </c>
      <c r="S116" s="18" t="s">
        <v>36</v>
      </c>
      <c r="T116" s="18" t="s">
        <v>43</v>
      </c>
      <c r="U116" s="18">
        <v>2011</v>
      </c>
      <c r="V116" s="16">
        <f t="shared" si="2"/>
        <v>40587</v>
      </c>
      <c r="W116" s="18" t="str">
        <f t="shared" si="3"/>
        <v>Weekday</v>
      </c>
    </row>
    <row r="117" spans="1:23" x14ac:dyDescent="0.25">
      <c r="A117" s="19">
        <v>115</v>
      </c>
      <c r="B117" s="20">
        <v>40548</v>
      </c>
      <c r="C117" s="18">
        <v>1</v>
      </c>
      <c r="D117" s="18">
        <v>0</v>
      </c>
      <c r="E117" s="18">
        <v>1</v>
      </c>
      <c r="F117" s="18">
        <v>23</v>
      </c>
      <c r="G117" s="18" t="b">
        <v>0</v>
      </c>
      <c r="H117" s="18">
        <v>3</v>
      </c>
      <c r="I117" s="18">
        <v>1</v>
      </c>
      <c r="J117" s="18">
        <v>0.2</v>
      </c>
      <c r="K117">
        <v>0.2576</v>
      </c>
      <c r="L117">
        <v>0.47</v>
      </c>
      <c r="M117" s="18">
        <v>0</v>
      </c>
      <c r="N117" s="18">
        <v>1</v>
      </c>
      <c r="O117" s="18">
        <v>18</v>
      </c>
      <c r="P117">
        <v>19</v>
      </c>
      <c r="Q117" s="18" t="s">
        <v>34</v>
      </c>
      <c r="R117" s="18" t="s">
        <v>35</v>
      </c>
      <c r="S117" s="18" t="s">
        <v>36</v>
      </c>
      <c r="T117" s="18" t="s">
        <v>43</v>
      </c>
      <c r="U117" s="18">
        <v>2011</v>
      </c>
      <c r="V117" s="16">
        <f t="shared" si="2"/>
        <v>40587</v>
      </c>
      <c r="W117" s="18" t="str">
        <f t="shared" si="3"/>
        <v>Weekday</v>
      </c>
    </row>
    <row r="118" spans="1:23" x14ac:dyDescent="0.25">
      <c r="A118" s="19">
        <v>116</v>
      </c>
      <c r="B118" s="20">
        <v>40549</v>
      </c>
      <c r="C118" s="18">
        <v>1</v>
      </c>
      <c r="D118" s="18">
        <v>0</v>
      </c>
      <c r="E118" s="18">
        <v>1</v>
      </c>
      <c r="F118" s="18">
        <v>0</v>
      </c>
      <c r="G118" s="18" t="b">
        <v>0</v>
      </c>
      <c r="H118" s="18">
        <v>4</v>
      </c>
      <c r="I118" s="18">
        <v>1</v>
      </c>
      <c r="J118" s="18">
        <v>0.18</v>
      </c>
      <c r="K118">
        <v>0.2424</v>
      </c>
      <c r="L118">
        <v>0.55000000000000004</v>
      </c>
      <c r="M118" s="18">
        <v>0</v>
      </c>
      <c r="N118" s="18">
        <v>0</v>
      </c>
      <c r="O118" s="18">
        <v>11</v>
      </c>
      <c r="P118">
        <v>11</v>
      </c>
      <c r="Q118" s="18" t="s">
        <v>34</v>
      </c>
      <c r="R118" s="18" t="s">
        <v>35</v>
      </c>
      <c r="S118" s="18" t="s">
        <v>36</v>
      </c>
      <c r="T118" s="18" t="s">
        <v>44</v>
      </c>
      <c r="U118" s="18">
        <v>2011</v>
      </c>
      <c r="V118" s="16">
        <f t="shared" si="2"/>
        <v>40587</v>
      </c>
      <c r="W118" s="18" t="str">
        <f t="shared" si="3"/>
        <v>Weekday</v>
      </c>
    </row>
    <row r="119" spans="1:23" x14ac:dyDescent="0.25">
      <c r="A119" s="19">
        <v>117</v>
      </c>
      <c r="B119" s="20">
        <v>40549</v>
      </c>
      <c r="C119" s="18">
        <v>1</v>
      </c>
      <c r="D119" s="18">
        <v>0</v>
      </c>
      <c r="E119" s="18">
        <v>1</v>
      </c>
      <c r="F119" s="18">
        <v>1</v>
      </c>
      <c r="G119" s="18" t="b">
        <v>0</v>
      </c>
      <c r="H119" s="18">
        <v>4</v>
      </c>
      <c r="I119" s="18">
        <v>1</v>
      </c>
      <c r="J119" s="18">
        <v>0.16</v>
      </c>
      <c r="K119">
        <v>0.2273</v>
      </c>
      <c r="L119">
        <v>0.64</v>
      </c>
      <c r="M119" s="18">
        <v>0</v>
      </c>
      <c r="N119" s="18">
        <v>0</v>
      </c>
      <c r="O119" s="18">
        <v>4</v>
      </c>
      <c r="P119">
        <v>4</v>
      </c>
      <c r="Q119" s="18" t="s">
        <v>34</v>
      </c>
      <c r="R119" s="18" t="s">
        <v>35</v>
      </c>
      <c r="S119" s="18" t="s">
        <v>36</v>
      </c>
      <c r="T119" s="18" t="s">
        <v>44</v>
      </c>
      <c r="U119" s="18">
        <v>2011</v>
      </c>
      <c r="V119" s="16">
        <f t="shared" si="2"/>
        <v>40587</v>
      </c>
      <c r="W119" s="18" t="str">
        <f t="shared" si="3"/>
        <v>Weekday</v>
      </c>
    </row>
    <row r="120" spans="1:23" x14ac:dyDescent="0.25">
      <c r="A120" s="19">
        <v>118</v>
      </c>
      <c r="B120" s="20">
        <v>40549</v>
      </c>
      <c r="C120" s="18">
        <v>1</v>
      </c>
      <c r="D120" s="18">
        <v>0</v>
      </c>
      <c r="E120" s="18">
        <v>1</v>
      </c>
      <c r="F120" s="18">
        <v>2</v>
      </c>
      <c r="G120" s="18" t="b">
        <v>0</v>
      </c>
      <c r="H120" s="18">
        <v>4</v>
      </c>
      <c r="I120" s="18">
        <v>1</v>
      </c>
      <c r="J120" s="18">
        <v>0.16</v>
      </c>
      <c r="K120">
        <v>0.2273</v>
      </c>
      <c r="L120">
        <v>0.64</v>
      </c>
      <c r="M120" s="18">
        <v>0</v>
      </c>
      <c r="N120" s="18">
        <v>0</v>
      </c>
      <c r="O120" s="18">
        <v>2</v>
      </c>
      <c r="P120">
        <v>2</v>
      </c>
      <c r="Q120" s="18" t="s">
        <v>34</v>
      </c>
      <c r="R120" s="18" t="s">
        <v>35</v>
      </c>
      <c r="S120" s="18" t="s">
        <v>36</v>
      </c>
      <c r="T120" s="18" t="s">
        <v>44</v>
      </c>
      <c r="U120" s="18">
        <v>2011</v>
      </c>
      <c r="V120" s="16">
        <f t="shared" si="2"/>
        <v>40587</v>
      </c>
      <c r="W120" s="18" t="str">
        <f t="shared" si="3"/>
        <v>Weekday</v>
      </c>
    </row>
    <row r="121" spans="1:23" x14ac:dyDescent="0.25">
      <c r="A121" s="19">
        <v>119</v>
      </c>
      <c r="B121" s="20">
        <v>40549</v>
      </c>
      <c r="C121" s="18">
        <v>1</v>
      </c>
      <c r="D121" s="18">
        <v>0</v>
      </c>
      <c r="E121" s="18">
        <v>1</v>
      </c>
      <c r="F121" s="18">
        <v>4</v>
      </c>
      <c r="G121" s="18" t="b">
        <v>0</v>
      </c>
      <c r="H121" s="18">
        <v>4</v>
      </c>
      <c r="I121" s="18">
        <v>2</v>
      </c>
      <c r="J121" s="18">
        <v>0.16</v>
      </c>
      <c r="K121">
        <v>0.19700000000000001</v>
      </c>
      <c r="L121">
        <v>0.64</v>
      </c>
      <c r="M121" s="18">
        <v>8.9599999999999999E-2</v>
      </c>
      <c r="N121" s="18">
        <v>0</v>
      </c>
      <c r="O121" s="18">
        <v>1</v>
      </c>
      <c r="P121">
        <v>1</v>
      </c>
      <c r="Q121" s="18" t="s">
        <v>34</v>
      </c>
      <c r="R121" s="18" t="s">
        <v>35</v>
      </c>
      <c r="S121" s="18" t="s">
        <v>38</v>
      </c>
      <c r="T121" s="18" t="s">
        <v>44</v>
      </c>
      <c r="U121" s="18">
        <v>2011</v>
      </c>
      <c r="V121" s="16">
        <f t="shared" si="2"/>
        <v>40587</v>
      </c>
      <c r="W121" s="18" t="str">
        <f t="shared" si="3"/>
        <v>Weekday</v>
      </c>
    </row>
    <row r="122" spans="1:23" x14ac:dyDescent="0.25">
      <c r="A122" s="19">
        <v>120</v>
      </c>
      <c r="B122" s="20">
        <v>40549</v>
      </c>
      <c r="C122" s="18">
        <v>1</v>
      </c>
      <c r="D122" s="18">
        <v>0</v>
      </c>
      <c r="E122" s="18">
        <v>1</v>
      </c>
      <c r="F122" s="18">
        <v>5</v>
      </c>
      <c r="G122" s="18" t="b">
        <v>0</v>
      </c>
      <c r="H122" s="18">
        <v>4</v>
      </c>
      <c r="I122" s="18">
        <v>2</v>
      </c>
      <c r="J122" s="18">
        <v>0.14000000000000001</v>
      </c>
      <c r="K122">
        <v>0.18179999999999999</v>
      </c>
      <c r="L122">
        <v>0.69</v>
      </c>
      <c r="M122" s="18">
        <v>8.9599999999999999E-2</v>
      </c>
      <c r="N122" s="18">
        <v>0</v>
      </c>
      <c r="O122" s="18">
        <v>4</v>
      </c>
      <c r="P122">
        <v>4</v>
      </c>
      <c r="Q122" s="18" t="s">
        <v>34</v>
      </c>
      <c r="R122" s="18" t="s">
        <v>35</v>
      </c>
      <c r="S122" s="18" t="s">
        <v>38</v>
      </c>
      <c r="T122" s="18" t="s">
        <v>44</v>
      </c>
      <c r="U122" s="18">
        <v>2011</v>
      </c>
      <c r="V122" s="16">
        <f t="shared" si="2"/>
        <v>40587</v>
      </c>
      <c r="W122" s="18" t="str">
        <f t="shared" si="3"/>
        <v>Weekday</v>
      </c>
    </row>
    <row r="123" spans="1:23" x14ac:dyDescent="0.25">
      <c r="A123" s="19">
        <v>121</v>
      </c>
      <c r="B123" s="20">
        <v>40549</v>
      </c>
      <c r="C123" s="18">
        <v>1</v>
      </c>
      <c r="D123" s="18">
        <v>0</v>
      </c>
      <c r="E123" s="18">
        <v>1</v>
      </c>
      <c r="F123" s="18">
        <v>6</v>
      </c>
      <c r="G123" s="18" t="b">
        <v>0</v>
      </c>
      <c r="H123" s="18">
        <v>4</v>
      </c>
      <c r="I123" s="18">
        <v>2</v>
      </c>
      <c r="J123" s="18">
        <v>0.14000000000000001</v>
      </c>
      <c r="K123">
        <v>0.16669999999999999</v>
      </c>
      <c r="L123">
        <v>0.63</v>
      </c>
      <c r="M123" s="18">
        <v>0.1045</v>
      </c>
      <c r="N123" s="18">
        <v>0</v>
      </c>
      <c r="O123" s="18">
        <v>36</v>
      </c>
      <c r="P123">
        <v>36</v>
      </c>
      <c r="Q123" s="18" t="s">
        <v>34</v>
      </c>
      <c r="R123" s="18" t="s">
        <v>35</v>
      </c>
      <c r="S123" s="18" t="s">
        <v>38</v>
      </c>
      <c r="T123" s="18" t="s">
        <v>44</v>
      </c>
      <c r="U123" s="18">
        <v>2011</v>
      </c>
      <c r="V123" s="16">
        <f t="shared" si="2"/>
        <v>40587</v>
      </c>
      <c r="W123" s="18" t="str">
        <f t="shared" si="3"/>
        <v>Weekday</v>
      </c>
    </row>
    <row r="124" spans="1:23" x14ac:dyDescent="0.25">
      <c r="A124" s="19">
        <v>122</v>
      </c>
      <c r="B124" s="20">
        <v>40549</v>
      </c>
      <c r="C124" s="18">
        <v>1</v>
      </c>
      <c r="D124" s="18">
        <v>0</v>
      </c>
      <c r="E124" s="18">
        <v>1</v>
      </c>
      <c r="F124" s="18">
        <v>7</v>
      </c>
      <c r="G124" s="18" t="b">
        <v>0</v>
      </c>
      <c r="H124" s="18">
        <v>4</v>
      </c>
      <c r="I124" s="18">
        <v>2</v>
      </c>
      <c r="J124" s="18">
        <v>0.16</v>
      </c>
      <c r="K124">
        <v>0.2273</v>
      </c>
      <c r="L124">
        <v>0.59</v>
      </c>
      <c r="M124" s="18">
        <v>0</v>
      </c>
      <c r="N124" s="18">
        <v>0</v>
      </c>
      <c r="O124" s="18">
        <v>95</v>
      </c>
      <c r="P124">
        <v>95</v>
      </c>
      <c r="Q124" s="18" t="s">
        <v>34</v>
      </c>
      <c r="R124" s="18" t="s">
        <v>35</v>
      </c>
      <c r="S124" s="18" t="s">
        <v>38</v>
      </c>
      <c r="T124" s="18" t="s">
        <v>44</v>
      </c>
      <c r="U124" s="18">
        <v>2011</v>
      </c>
      <c r="V124" s="16">
        <f t="shared" si="2"/>
        <v>40587</v>
      </c>
      <c r="W124" s="18" t="str">
        <f t="shared" si="3"/>
        <v>Weekday</v>
      </c>
    </row>
    <row r="125" spans="1:23" x14ac:dyDescent="0.25">
      <c r="A125" s="19">
        <v>123</v>
      </c>
      <c r="B125" s="20">
        <v>40549</v>
      </c>
      <c r="C125" s="18">
        <v>1</v>
      </c>
      <c r="D125" s="18">
        <v>0</v>
      </c>
      <c r="E125" s="18">
        <v>1</v>
      </c>
      <c r="F125" s="18">
        <v>8</v>
      </c>
      <c r="G125" s="18" t="b">
        <v>0</v>
      </c>
      <c r="H125" s="18">
        <v>4</v>
      </c>
      <c r="I125" s="18">
        <v>1</v>
      </c>
      <c r="J125" s="18">
        <v>0.16</v>
      </c>
      <c r="K125">
        <v>0.2273</v>
      </c>
      <c r="L125">
        <v>0.59</v>
      </c>
      <c r="M125" s="18">
        <v>0</v>
      </c>
      <c r="N125" s="18">
        <v>3</v>
      </c>
      <c r="O125" s="18">
        <v>216</v>
      </c>
      <c r="P125">
        <v>219</v>
      </c>
      <c r="Q125" s="18" t="s">
        <v>34</v>
      </c>
      <c r="R125" s="18" t="s">
        <v>35</v>
      </c>
      <c r="S125" s="18" t="s">
        <v>36</v>
      </c>
      <c r="T125" s="18" t="s">
        <v>44</v>
      </c>
      <c r="U125" s="18">
        <v>2011</v>
      </c>
      <c r="V125" s="16">
        <f t="shared" si="2"/>
        <v>40587</v>
      </c>
      <c r="W125" s="18" t="str">
        <f t="shared" si="3"/>
        <v>Weekday</v>
      </c>
    </row>
    <row r="126" spans="1:23" x14ac:dyDescent="0.25">
      <c r="A126" s="19">
        <v>124</v>
      </c>
      <c r="B126" s="20">
        <v>40549</v>
      </c>
      <c r="C126" s="18">
        <v>1</v>
      </c>
      <c r="D126" s="18">
        <v>0</v>
      </c>
      <c r="E126" s="18">
        <v>1</v>
      </c>
      <c r="F126" s="18">
        <v>9</v>
      </c>
      <c r="G126" s="18" t="b">
        <v>0</v>
      </c>
      <c r="H126" s="18">
        <v>4</v>
      </c>
      <c r="I126" s="18">
        <v>2</v>
      </c>
      <c r="J126" s="18">
        <v>0.18</v>
      </c>
      <c r="K126">
        <v>0.2424</v>
      </c>
      <c r="L126">
        <v>0.51</v>
      </c>
      <c r="M126" s="18">
        <v>0</v>
      </c>
      <c r="N126" s="18">
        <v>6</v>
      </c>
      <c r="O126" s="18">
        <v>116</v>
      </c>
      <c r="P126">
        <v>122</v>
      </c>
      <c r="Q126" s="18" t="s">
        <v>34</v>
      </c>
      <c r="R126" s="18" t="s">
        <v>35</v>
      </c>
      <c r="S126" s="18" t="s">
        <v>38</v>
      </c>
      <c r="T126" s="18" t="s">
        <v>44</v>
      </c>
      <c r="U126" s="18">
        <v>2011</v>
      </c>
      <c r="V126" s="16">
        <f t="shared" si="2"/>
        <v>40587</v>
      </c>
      <c r="W126" s="18" t="str">
        <f t="shared" si="3"/>
        <v>Weekday</v>
      </c>
    </row>
    <row r="127" spans="1:23" x14ac:dyDescent="0.25">
      <c r="A127" s="19">
        <v>125</v>
      </c>
      <c r="B127" s="20">
        <v>40549</v>
      </c>
      <c r="C127" s="18">
        <v>1</v>
      </c>
      <c r="D127" s="18">
        <v>0</v>
      </c>
      <c r="E127" s="18">
        <v>1</v>
      </c>
      <c r="F127" s="18">
        <v>10</v>
      </c>
      <c r="G127" s="18" t="b">
        <v>0</v>
      </c>
      <c r="H127" s="18">
        <v>4</v>
      </c>
      <c r="I127" s="18">
        <v>1</v>
      </c>
      <c r="J127" s="18">
        <v>0.2</v>
      </c>
      <c r="K127">
        <v>0.2576</v>
      </c>
      <c r="L127">
        <v>0.47</v>
      </c>
      <c r="M127" s="18">
        <v>0</v>
      </c>
      <c r="N127" s="18">
        <v>3</v>
      </c>
      <c r="O127" s="18">
        <v>42</v>
      </c>
      <c r="P127">
        <v>45</v>
      </c>
      <c r="Q127" s="18" t="s">
        <v>34</v>
      </c>
      <c r="R127" s="18" t="s">
        <v>35</v>
      </c>
      <c r="S127" s="18" t="s">
        <v>36</v>
      </c>
      <c r="T127" s="18" t="s">
        <v>44</v>
      </c>
      <c r="U127" s="18">
        <v>2011</v>
      </c>
      <c r="V127" s="16">
        <f t="shared" si="2"/>
        <v>40587</v>
      </c>
      <c r="W127" s="18" t="str">
        <f t="shared" si="3"/>
        <v>Weekday</v>
      </c>
    </row>
    <row r="128" spans="1:23" x14ac:dyDescent="0.25">
      <c r="A128" s="19">
        <v>126</v>
      </c>
      <c r="B128" s="20">
        <v>40549</v>
      </c>
      <c r="C128" s="18">
        <v>1</v>
      </c>
      <c r="D128" s="18">
        <v>0</v>
      </c>
      <c r="E128" s="18">
        <v>1</v>
      </c>
      <c r="F128" s="18">
        <v>11</v>
      </c>
      <c r="G128" s="18" t="b">
        <v>0</v>
      </c>
      <c r="H128" s="18">
        <v>4</v>
      </c>
      <c r="I128" s="18">
        <v>1</v>
      </c>
      <c r="J128" s="18">
        <v>0.22</v>
      </c>
      <c r="K128">
        <v>0.2576</v>
      </c>
      <c r="L128">
        <v>0.44</v>
      </c>
      <c r="M128" s="18">
        <v>8.9599999999999999E-2</v>
      </c>
      <c r="N128" s="18">
        <v>2</v>
      </c>
      <c r="O128" s="18">
        <v>57</v>
      </c>
      <c r="P128">
        <v>59</v>
      </c>
      <c r="Q128" s="18" t="s">
        <v>34</v>
      </c>
      <c r="R128" s="18" t="s">
        <v>35</v>
      </c>
      <c r="S128" s="18" t="s">
        <v>36</v>
      </c>
      <c r="T128" s="18" t="s">
        <v>44</v>
      </c>
      <c r="U128" s="18">
        <v>2011</v>
      </c>
      <c r="V128" s="16">
        <f t="shared" si="2"/>
        <v>40587</v>
      </c>
      <c r="W128" s="18" t="str">
        <f t="shared" si="3"/>
        <v>Weekday</v>
      </c>
    </row>
    <row r="129" spans="1:23" x14ac:dyDescent="0.25">
      <c r="A129" s="19">
        <v>127</v>
      </c>
      <c r="B129" s="20">
        <v>40549</v>
      </c>
      <c r="C129" s="18">
        <v>1</v>
      </c>
      <c r="D129" s="18">
        <v>0</v>
      </c>
      <c r="E129" s="18">
        <v>1</v>
      </c>
      <c r="F129" s="18">
        <v>12</v>
      </c>
      <c r="G129" s="18" t="b">
        <v>0</v>
      </c>
      <c r="H129" s="18">
        <v>4</v>
      </c>
      <c r="I129" s="18">
        <v>1</v>
      </c>
      <c r="J129" s="18">
        <v>0.26</v>
      </c>
      <c r="K129">
        <v>0.28789999999999999</v>
      </c>
      <c r="L129">
        <v>0.35</v>
      </c>
      <c r="M129" s="18">
        <v>0</v>
      </c>
      <c r="N129" s="18">
        <v>6</v>
      </c>
      <c r="O129" s="18">
        <v>78</v>
      </c>
      <c r="P129">
        <v>84</v>
      </c>
      <c r="Q129" s="18" t="s">
        <v>34</v>
      </c>
      <c r="R129" s="18" t="s">
        <v>35</v>
      </c>
      <c r="S129" s="18" t="s">
        <v>36</v>
      </c>
      <c r="T129" s="18" t="s">
        <v>44</v>
      </c>
      <c r="U129" s="18">
        <v>2011</v>
      </c>
      <c r="V129" s="16">
        <f t="shared" si="2"/>
        <v>40587</v>
      </c>
      <c r="W129" s="18" t="str">
        <f t="shared" si="3"/>
        <v>Weekday</v>
      </c>
    </row>
    <row r="130" spans="1:23" x14ac:dyDescent="0.25">
      <c r="A130" s="19">
        <v>128</v>
      </c>
      <c r="B130" s="20">
        <v>40549</v>
      </c>
      <c r="C130" s="18">
        <v>1</v>
      </c>
      <c r="D130" s="18">
        <v>0</v>
      </c>
      <c r="E130" s="18">
        <v>1</v>
      </c>
      <c r="F130" s="18">
        <v>13</v>
      </c>
      <c r="G130" s="18" t="b">
        <v>0</v>
      </c>
      <c r="H130" s="18">
        <v>4</v>
      </c>
      <c r="I130" s="18">
        <v>1</v>
      </c>
      <c r="J130" s="18">
        <v>0.26</v>
      </c>
      <c r="K130">
        <v>0.2727</v>
      </c>
      <c r="L130">
        <v>0.35</v>
      </c>
      <c r="M130" s="18">
        <v>0.1045</v>
      </c>
      <c r="N130" s="18">
        <v>12</v>
      </c>
      <c r="O130" s="18">
        <v>55</v>
      </c>
      <c r="P130">
        <v>67</v>
      </c>
      <c r="Q130" s="18" t="s">
        <v>34</v>
      </c>
      <c r="R130" s="18" t="s">
        <v>35</v>
      </c>
      <c r="S130" s="18" t="s">
        <v>36</v>
      </c>
      <c r="T130" s="18" t="s">
        <v>44</v>
      </c>
      <c r="U130" s="18">
        <v>2011</v>
      </c>
      <c r="V130" s="16">
        <f t="shared" si="2"/>
        <v>40587</v>
      </c>
      <c r="W130" s="18" t="str">
        <f t="shared" si="3"/>
        <v>Weekday</v>
      </c>
    </row>
    <row r="131" spans="1:23" x14ac:dyDescent="0.25">
      <c r="A131" s="19">
        <v>129</v>
      </c>
      <c r="B131" s="20">
        <v>40549</v>
      </c>
      <c r="C131" s="18">
        <v>1</v>
      </c>
      <c r="D131" s="18">
        <v>0</v>
      </c>
      <c r="E131" s="18">
        <v>1</v>
      </c>
      <c r="F131" s="18">
        <v>14</v>
      </c>
      <c r="G131" s="18" t="b">
        <v>0</v>
      </c>
      <c r="H131" s="18">
        <v>4</v>
      </c>
      <c r="I131" s="18">
        <v>1</v>
      </c>
      <c r="J131" s="18">
        <v>0.28000000000000003</v>
      </c>
      <c r="K131">
        <v>0.2727</v>
      </c>
      <c r="L131">
        <v>0.36</v>
      </c>
      <c r="M131" s="18">
        <v>0.16420000000000001</v>
      </c>
      <c r="N131" s="18">
        <v>11</v>
      </c>
      <c r="O131" s="18">
        <v>59</v>
      </c>
      <c r="P131">
        <v>70</v>
      </c>
      <c r="Q131" s="18" t="s">
        <v>34</v>
      </c>
      <c r="R131" s="18" t="s">
        <v>35</v>
      </c>
      <c r="S131" s="18" t="s">
        <v>36</v>
      </c>
      <c r="T131" s="18" t="s">
        <v>44</v>
      </c>
      <c r="U131" s="18">
        <v>2011</v>
      </c>
      <c r="V131" s="16">
        <f t="shared" ref="V131:V194" si="4">INDEX(B131:B1129,MATCH(MAX(K131:K1129),K131:K1129,0))</f>
        <v>40587</v>
      </c>
      <c r="W131" s="18" t="str">
        <f t="shared" ref="W131:W194" si="5">IF(G131=TRUE,"Holiday",IF(OR(H131=0,H131=6),"Weedend","Weekday"))</f>
        <v>Weekday</v>
      </c>
    </row>
    <row r="132" spans="1:23" x14ac:dyDescent="0.25">
      <c r="A132" s="19">
        <v>130</v>
      </c>
      <c r="B132" s="20">
        <v>40549</v>
      </c>
      <c r="C132" s="18">
        <v>1</v>
      </c>
      <c r="D132" s="18">
        <v>0</v>
      </c>
      <c r="E132" s="18">
        <v>1</v>
      </c>
      <c r="F132" s="18">
        <v>15</v>
      </c>
      <c r="G132" s="18" t="b">
        <v>0</v>
      </c>
      <c r="H132" s="18">
        <v>4</v>
      </c>
      <c r="I132" s="18">
        <v>1</v>
      </c>
      <c r="J132" s="18">
        <v>0.28000000000000003</v>
      </c>
      <c r="K132">
        <v>0.2727</v>
      </c>
      <c r="L132">
        <v>0.36</v>
      </c>
      <c r="M132" s="18">
        <v>0</v>
      </c>
      <c r="N132" s="18">
        <v>8</v>
      </c>
      <c r="O132" s="18">
        <v>54</v>
      </c>
      <c r="P132">
        <v>62</v>
      </c>
      <c r="Q132" s="18" t="s">
        <v>34</v>
      </c>
      <c r="R132" s="18" t="s">
        <v>35</v>
      </c>
      <c r="S132" s="18" t="s">
        <v>36</v>
      </c>
      <c r="T132" s="18" t="s">
        <v>44</v>
      </c>
      <c r="U132" s="18">
        <v>2011</v>
      </c>
      <c r="V132" s="16">
        <f t="shared" si="4"/>
        <v>40587</v>
      </c>
      <c r="W132" s="18" t="str">
        <f t="shared" si="5"/>
        <v>Weekday</v>
      </c>
    </row>
    <row r="133" spans="1:23" x14ac:dyDescent="0.25">
      <c r="A133" s="19">
        <v>131</v>
      </c>
      <c r="B133" s="20">
        <v>40549</v>
      </c>
      <c r="C133" s="18">
        <v>1</v>
      </c>
      <c r="D133" s="18">
        <v>0</v>
      </c>
      <c r="E133" s="18">
        <v>1</v>
      </c>
      <c r="F133" s="18">
        <v>16</v>
      </c>
      <c r="G133" s="18" t="b">
        <v>0</v>
      </c>
      <c r="H133" s="18">
        <v>4</v>
      </c>
      <c r="I133" s="18">
        <v>1</v>
      </c>
      <c r="J133" s="18">
        <v>0.26</v>
      </c>
      <c r="K133">
        <v>0.2576</v>
      </c>
      <c r="L133">
        <v>0.38</v>
      </c>
      <c r="M133" s="18">
        <v>0.16420000000000001</v>
      </c>
      <c r="N133" s="18">
        <v>12</v>
      </c>
      <c r="O133" s="18">
        <v>74</v>
      </c>
      <c r="P133">
        <v>86</v>
      </c>
      <c r="Q133" s="18" t="s">
        <v>34</v>
      </c>
      <c r="R133" s="18" t="s">
        <v>35</v>
      </c>
      <c r="S133" s="18" t="s">
        <v>36</v>
      </c>
      <c r="T133" s="18" t="s">
        <v>44</v>
      </c>
      <c r="U133" s="18">
        <v>2011</v>
      </c>
      <c r="V133" s="16">
        <f t="shared" si="4"/>
        <v>40587</v>
      </c>
      <c r="W133" s="18" t="str">
        <f t="shared" si="5"/>
        <v>Weekday</v>
      </c>
    </row>
    <row r="134" spans="1:23" x14ac:dyDescent="0.25">
      <c r="A134" s="19">
        <v>132</v>
      </c>
      <c r="B134" s="20">
        <v>40549</v>
      </c>
      <c r="C134" s="18">
        <v>1</v>
      </c>
      <c r="D134" s="18">
        <v>0</v>
      </c>
      <c r="E134" s="18">
        <v>1</v>
      </c>
      <c r="F134" s="18">
        <v>17</v>
      </c>
      <c r="G134" s="18" t="b">
        <v>0</v>
      </c>
      <c r="H134" s="18">
        <v>4</v>
      </c>
      <c r="I134" s="18">
        <v>1</v>
      </c>
      <c r="J134" s="18">
        <v>0.22</v>
      </c>
      <c r="K134">
        <v>0.2273</v>
      </c>
      <c r="L134">
        <v>0.51</v>
      </c>
      <c r="M134" s="18">
        <v>0.16420000000000001</v>
      </c>
      <c r="N134" s="18">
        <v>9</v>
      </c>
      <c r="O134" s="18">
        <v>163</v>
      </c>
      <c r="P134">
        <v>172</v>
      </c>
      <c r="Q134" s="18" t="s">
        <v>34</v>
      </c>
      <c r="R134" s="18" t="s">
        <v>35</v>
      </c>
      <c r="S134" s="18" t="s">
        <v>36</v>
      </c>
      <c r="T134" s="18" t="s">
        <v>44</v>
      </c>
      <c r="U134" s="18">
        <v>2011</v>
      </c>
      <c r="V134" s="16">
        <f t="shared" si="4"/>
        <v>40587</v>
      </c>
      <c r="W134" s="18" t="str">
        <f t="shared" si="5"/>
        <v>Weekday</v>
      </c>
    </row>
    <row r="135" spans="1:23" x14ac:dyDescent="0.25">
      <c r="A135" s="19">
        <v>133</v>
      </c>
      <c r="B135" s="20">
        <v>40549</v>
      </c>
      <c r="C135" s="18">
        <v>1</v>
      </c>
      <c r="D135" s="18">
        <v>0</v>
      </c>
      <c r="E135" s="18">
        <v>1</v>
      </c>
      <c r="F135" s="18">
        <v>18</v>
      </c>
      <c r="G135" s="18" t="b">
        <v>0</v>
      </c>
      <c r="H135" s="18">
        <v>4</v>
      </c>
      <c r="I135" s="18">
        <v>1</v>
      </c>
      <c r="J135" s="18">
        <v>0.22</v>
      </c>
      <c r="K135">
        <v>0.2273</v>
      </c>
      <c r="L135">
        <v>0.51</v>
      </c>
      <c r="M135" s="18">
        <v>0.1343</v>
      </c>
      <c r="N135" s="18">
        <v>5</v>
      </c>
      <c r="O135" s="18">
        <v>158</v>
      </c>
      <c r="P135">
        <v>163</v>
      </c>
      <c r="Q135" s="18" t="s">
        <v>34</v>
      </c>
      <c r="R135" s="18" t="s">
        <v>35</v>
      </c>
      <c r="S135" s="18" t="s">
        <v>36</v>
      </c>
      <c r="T135" s="18" t="s">
        <v>44</v>
      </c>
      <c r="U135" s="18">
        <v>2011</v>
      </c>
      <c r="V135" s="16">
        <f t="shared" si="4"/>
        <v>40587</v>
      </c>
      <c r="W135" s="18" t="str">
        <f t="shared" si="5"/>
        <v>Weekday</v>
      </c>
    </row>
    <row r="136" spans="1:23" x14ac:dyDescent="0.25">
      <c r="A136" s="19">
        <v>134</v>
      </c>
      <c r="B136" s="20">
        <v>40549</v>
      </c>
      <c r="C136" s="18">
        <v>1</v>
      </c>
      <c r="D136" s="18">
        <v>0</v>
      </c>
      <c r="E136" s="18">
        <v>1</v>
      </c>
      <c r="F136" s="18">
        <v>19</v>
      </c>
      <c r="G136" s="18" t="b">
        <v>0</v>
      </c>
      <c r="H136" s="18">
        <v>4</v>
      </c>
      <c r="I136" s="18">
        <v>1</v>
      </c>
      <c r="J136" s="18">
        <v>0.22</v>
      </c>
      <c r="K136">
        <v>0.2576</v>
      </c>
      <c r="L136">
        <v>0.55000000000000004</v>
      </c>
      <c r="M136" s="18">
        <v>8.9599999999999999E-2</v>
      </c>
      <c r="N136" s="18">
        <v>3</v>
      </c>
      <c r="O136" s="18">
        <v>109</v>
      </c>
      <c r="P136">
        <v>112</v>
      </c>
      <c r="Q136" s="18" t="s">
        <v>34</v>
      </c>
      <c r="R136" s="18" t="s">
        <v>35</v>
      </c>
      <c r="S136" s="18" t="s">
        <v>36</v>
      </c>
      <c r="T136" s="18" t="s">
        <v>44</v>
      </c>
      <c r="U136" s="18">
        <v>2011</v>
      </c>
      <c r="V136" s="16">
        <f t="shared" si="4"/>
        <v>40587</v>
      </c>
      <c r="W136" s="18" t="str">
        <f t="shared" si="5"/>
        <v>Weekday</v>
      </c>
    </row>
    <row r="137" spans="1:23" x14ac:dyDescent="0.25">
      <c r="A137" s="19">
        <v>135</v>
      </c>
      <c r="B137" s="20">
        <v>40549</v>
      </c>
      <c r="C137" s="18">
        <v>1</v>
      </c>
      <c r="D137" s="18">
        <v>0</v>
      </c>
      <c r="E137" s="18">
        <v>1</v>
      </c>
      <c r="F137" s="18">
        <v>20</v>
      </c>
      <c r="G137" s="18" t="b">
        <v>0</v>
      </c>
      <c r="H137" s="18">
        <v>4</v>
      </c>
      <c r="I137" s="18">
        <v>1</v>
      </c>
      <c r="J137" s="18">
        <v>0.2</v>
      </c>
      <c r="K137">
        <v>0.21210000000000001</v>
      </c>
      <c r="L137">
        <v>0.51</v>
      </c>
      <c r="M137" s="18">
        <v>0.16420000000000001</v>
      </c>
      <c r="N137" s="18">
        <v>3</v>
      </c>
      <c r="O137" s="18">
        <v>66</v>
      </c>
      <c r="P137">
        <v>69</v>
      </c>
      <c r="Q137" s="18" t="s">
        <v>34</v>
      </c>
      <c r="R137" s="18" t="s">
        <v>35</v>
      </c>
      <c r="S137" s="18" t="s">
        <v>36</v>
      </c>
      <c r="T137" s="18" t="s">
        <v>44</v>
      </c>
      <c r="U137" s="18">
        <v>2011</v>
      </c>
      <c r="V137" s="16">
        <f t="shared" si="4"/>
        <v>40587</v>
      </c>
      <c r="W137" s="18" t="str">
        <f t="shared" si="5"/>
        <v>Weekday</v>
      </c>
    </row>
    <row r="138" spans="1:23" x14ac:dyDescent="0.25">
      <c r="A138" s="19">
        <v>136</v>
      </c>
      <c r="B138" s="20">
        <v>40549</v>
      </c>
      <c r="C138" s="18">
        <v>1</v>
      </c>
      <c r="D138" s="18">
        <v>0</v>
      </c>
      <c r="E138" s="18">
        <v>1</v>
      </c>
      <c r="F138" s="18">
        <v>21</v>
      </c>
      <c r="G138" s="18" t="b">
        <v>0</v>
      </c>
      <c r="H138" s="18">
        <v>4</v>
      </c>
      <c r="I138" s="18">
        <v>2</v>
      </c>
      <c r="J138" s="18">
        <v>0.22</v>
      </c>
      <c r="K138">
        <v>0.21210000000000001</v>
      </c>
      <c r="L138">
        <v>0.55000000000000004</v>
      </c>
      <c r="M138" s="18">
        <v>0.22389999999999999</v>
      </c>
      <c r="N138" s="18">
        <v>0</v>
      </c>
      <c r="O138" s="18">
        <v>48</v>
      </c>
      <c r="P138">
        <v>48</v>
      </c>
      <c r="Q138" s="18" t="s">
        <v>34</v>
      </c>
      <c r="R138" s="18" t="s">
        <v>35</v>
      </c>
      <c r="S138" s="18" t="s">
        <v>38</v>
      </c>
      <c r="T138" s="18" t="s">
        <v>44</v>
      </c>
      <c r="U138" s="18">
        <v>2011</v>
      </c>
      <c r="V138" s="16">
        <f t="shared" si="4"/>
        <v>40587</v>
      </c>
      <c r="W138" s="18" t="str">
        <f t="shared" si="5"/>
        <v>Weekday</v>
      </c>
    </row>
    <row r="139" spans="1:23" x14ac:dyDescent="0.25">
      <c r="A139" s="19">
        <v>137</v>
      </c>
      <c r="B139" s="20">
        <v>40549</v>
      </c>
      <c r="C139" s="18">
        <v>1</v>
      </c>
      <c r="D139" s="18">
        <v>0</v>
      </c>
      <c r="E139" s="18">
        <v>1</v>
      </c>
      <c r="F139" s="18">
        <v>22</v>
      </c>
      <c r="G139" s="18" t="b">
        <v>0</v>
      </c>
      <c r="H139" s="18">
        <v>4</v>
      </c>
      <c r="I139" s="18">
        <v>2</v>
      </c>
      <c r="J139" s="18">
        <v>0.22</v>
      </c>
      <c r="K139">
        <v>0.21210000000000001</v>
      </c>
      <c r="L139">
        <v>0.51</v>
      </c>
      <c r="M139" s="18">
        <v>0.28360000000000002</v>
      </c>
      <c r="N139" s="18">
        <v>1</v>
      </c>
      <c r="O139" s="18">
        <v>51</v>
      </c>
      <c r="P139">
        <v>52</v>
      </c>
      <c r="Q139" s="18" t="s">
        <v>34</v>
      </c>
      <c r="R139" s="18" t="s">
        <v>35</v>
      </c>
      <c r="S139" s="18" t="s">
        <v>38</v>
      </c>
      <c r="T139" s="18" t="s">
        <v>44</v>
      </c>
      <c r="U139" s="18">
        <v>2011</v>
      </c>
      <c r="V139" s="16">
        <f t="shared" si="4"/>
        <v>40587</v>
      </c>
      <c r="W139" s="18" t="str">
        <f t="shared" si="5"/>
        <v>Weekday</v>
      </c>
    </row>
    <row r="140" spans="1:23" x14ac:dyDescent="0.25">
      <c r="A140" s="19">
        <v>138</v>
      </c>
      <c r="B140" s="20">
        <v>40549</v>
      </c>
      <c r="C140" s="18">
        <v>1</v>
      </c>
      <c r="D140" s="18">
        <v>0</v>
      </c>
      <c r="E140" s="18">
        <v>1</v>
      </c>
      <c r="F140" s="18">
        <v>23</v>
      </c>
      <c r="G140" s="18" t="b">
        <v>0</v>
      </c>
      <c r="H140" s="18">
        <v>4</v>
      </c>
      <c r="I140" s="18">
        <v>2</v>
      </c>
      <c r="J140" s="18">
        <v>0.2</v>
      </c>
      <c r="K140">
        <v>0.19700000000000001</v>
      </c>
      <c r="L140">
        <v>0.59</v>
      </c>
      <c r="M140" s="18">
        <v>0.19400000000000001</v>
      </c>
      <c r="N140" s="18">
        <v>4</v>
      </c>
      <c r="O140" s="18">
        <v>19</v>
      </c>
      <c r="P140">
        <v>23</v>
      </c>
      <c r="Q140" s="18" t="s">
        <v>34</v>
      </c>
      <c r="R140" s="18" t="s">
        <v>35</v>
      </c>
      <c r="S140" s="18" t="s">
        <v>38</v>
      </c>
      <c r="T140" s="18" t="s">
        <v>44</v>
      </c>
      <c r="U140" s="18">
        <v>2011</v>
      </c>
      <c r="V140" s="16">
        <f t="shared" si="4"/>
        <v>40587</v>
      </c>
      <c r="W140" s="18" t="str">
        <f t="shared" si="5"/>
        <v>Weekday</v>
      </c>
    </row>
    <row r="141" spans="1:23" x14ac:dyDescent="0.25">
      <c r="A141" s="19">
        <v>139</v>
      </c>
      <c r="B141" s="20">
        <v>40550</v>
      </c>
      <c r="C141" s="18">
        <v>1</v>
      </c>
      <c r="D141" s="18">
        <v>0</v>
      </c>
      <c r="E141" s="18">
        <v>1</v>
      </c>
      <c r="F141" s="18">
        <v>0</v>
      </c>
      <c r="G141" s="18" t="b">
        <v>0</v>
      </c>
      <c r="H141" s="18">
        <v>5</v>
      </c>
      <c r="I141" s="18">
        <v>2</v>
      </c>
      <c r="J141" s="18">
        <v>0.2</v>
      </c>
      <c r="K141">
        <v>0.19700000000000001</v>
      </c>
      <c r="L141">
        <v>0.64</v>
      </c>
      <c r="M141" s="18">
        <v>0.19400000000000001</v>
      </c>
      <c r="N141" s="18">
        <v>4</v>
      </c>
      <c r="O141" s="18">
        <v>13</v>
      </c>
      <c r="P141">
        <v>17</v>
      </c>
      <c r="Q141" s="18" t="s">
        <v>34</v>
      </c>
      <c r="R141" s="18" t="s">
        <v>35</v>
      </c>
      <c r="S141" s="18" t="s">
        <v>38</v>
      </c>
      <c r="T141" s="18" t="s">
        <v>45</v>
      </c>
      <c r="U141" s="18">
        <v>2011</v>
      </c>
      <c r="V141" s="16">
        <f t="shared" si="4"/>
        <v>40587</v>
      </c>
      <c r="W141" s="18" t="str">
        <f t="shared" si="5"/>
        <v>Weekday</v>
      </c>
    </row>
    <row r="142" spans="1:23" x14ac:dyDescent="0.25">
      <c r="A142" s="19">
        <v>140</v>
      </c>
      <c r="B142" s="20">
        <v>40550</v>
      </c>
      <c r="C142" s="18">
        <v>1</v>
      </c>
      <c r="D142" s="18">
        <v>0</v>
      </c>
      <c r="E142" s="18">
        <v>1</v>
      </c>
      <c r="F142" s="18">
        <v>1</v>
      </c>
      <c r="G142" s="18" t="b">
        <v>0</v>
      </c>
      <c r="H142" s="18">
        <v>5</v>
      </c>
      <c r="I142" s="18">
        <v>2</v>
      </c>
      <c r="J142" s="18">
        <v>0.2</v>
      </c>
      <c r="K142">
        <v>0.19700000000000001</v>
      </c>
      <c r="L142">
        <v>0.69</v>
      </c>
      <c r="M142" s="18">
        <v>0.22389999999999999</v>
      </c>
      <c r="N142" s="18">
        <v>2</v>
      </c>
      <c r="O142" s="18">
        <v>5</v>
      </c>
      <c r="P142">
        <v>7</v>
      </c>
      <c r="Q142" s="18" t="s">
        <v>34</v>
      </c>
      <c r="R142" s="18" t="s">
        <v>35</v>
      </c>
      <c r="S142" s="18" t="s">
        <v>38</v>
      </c>
      <c r="T142" s="18" t="s">
        <v>45</v>
      </c>
      <c r="U142" s="18">
        <v>2011</v>
      </c>
      <c r="V142" s="16">
        <f t="shared" si="4"/>
        <v>40587</v>
      </c>
      <c r="W142" s="18" t="str">
        <f t="shared" si="5"/>
        <v>Weekday</v>
      </c>
    </row>
    <row r="143" spans="1:23" x14ac:dyDescent="0.25">
      <c r="A143" s="19">
        <v>141</v>
      </c>
      <c r="B143" s="20">
        <v>40550</v>
      </c>
      <c r="C143" s="18">
        <v>1</v>
      </c>
      <c r="D143" s="18">
        <v>0</v>
      </c>
      <c r="E143" s="18">
        <v>1</v>
      </c>
      <c r="F143" s="18">
        <v>2</v>
      </c>
      <c r="G143" s="18" t="b">
        <v>0</v>
      </c>
      <c r="H143" s="18">
        <v>5</v>
      </c>
      <c r="I143" s="18">
        <v>2</v>
      </c>
      <c r="J143" s="18">
        <v>0.2</v>
      </c>
      <c r="K143">
        <v>0.19700000000000001</v>
      </c>
      <c r="L143">
        <v>0.69</v>
      </c>
      <c r="M143" s="18">
        <v>0.22389999999999999</v>
      </c>
      <c r="N143" s="18">
        <v>0</v>
      </c>
      <c r="O143" s="18">
        <v>1</v>
      </c>
      <c r="P143">
        <v>1</v>
      </c>
      <c r="Q143" s="18" t="s">
        <v>34</v>
      </c>
      <c r="R143" s="18" t="s">
        <v>35</v>
      </c>
      <c r="S143" s="18" t="s">
        <v>38</v>
      </c>
      <c r="T143" s="18" t="s">
        <v>45</v>
      </c>
      <c r="U143" s="18">
        <v>2011</v>
      </c>
      <c r="V143" s="16">
        <f t="shared" si="4"/>
        <v>40587</v>
      </c>
      <c r="W143" s="18" t="str">
        <f t="shared" si="5"/>
        <v>Weekday</v>
      </c>
    </row>
    <row r="144" spans="1:23" x14ac:dyDescent="0.25">
      <c r="A144" s="19">
        <v>142</v>
      </c>
      <c r="B144" s="20">
        <v>40550</v>
      </c>
      <c r="C144" s="18">
        <v>1</v>
      </c>
      <c r="D144" s="18">
        <v>0</v>
      </c>
      <c r="E144" s="18">
        <v>1</v>
      </c>
      <c r="F144" s="18">
        <v>4</v>
      </c>
      <c r="G144" s="18" t="b">
        <v>0</v>
      </c>
      <c r="H144" s="18">
        <v>5</v>
      </c>
      <c r="I144" s="18">
        <v>2</v>
      </c>
      <c r="J144" s="18">
        <v>0.2</v>
      </c>
      <c r="K144">
        <v>0.21210000000000001</v>
      </c>
      <c r="L144">
        <v>0.69</v>
      </c>
      <c r="M144" s="18">
        <v>0.1343</v>
      </c>
      <c r="N144" s="18">
        <v>0</v>
      </c>
      <c r="O144" s="18">
        <v>1</v>
      </c>
      <c r="P144">
        <v>1</v>
      </c>
      <c r="Q144" s="18" t="s">
        <v>34</v>
      </c>
      <c r="R144" s="18" t="s">
        <v>35</v>
      </c>
      <c r="S144" s="18" t="s">
        <v>38</v>
      </c>
      <c r="T144" s="18" t="s">
        <v>45</v>
      </c>
      <c r="U144" s="18">
        <v>2011</v>
      </c>
      <c r="V144" s="16">
        <f t="shared" si="4"/>
        <v>40587</v>
      </c>
      <c r="W144" s="18" t="str">
        <f t="shared" si="5"/>
        <v>Weekday</v>
      </c>
    </row>
    <row r="145" spans="1:23" x14ac:dyDescent="0.25">
      <c r="A145" s="19">
        <v>143</v>
      </c>
      <c r="B145" s="20">
        <v>40550</v>
      </c>
      <c r="C145" s="18">
        <v>1</v>
      </c>
      <c r="D145" s="18">
        <v>0</v>
      </c>
      <c r="E145" s="18">
        <v>1</v>
      </c>
      <c r="F145" s="18">
        <v>5</v>
      </c>
      <c r="G145" s="18" t="b">
        <v>0</v>
      </c>
      <c r="H145" s="18">
        <v>5</v>
      </c>
      <c r="I145" s="18">
        <v>3</v>
      </c>
      <c r="J145" s="18">
        <v>0.22</v>
      </c>
      <c r="K145">
        <v>0.2727</v>
      </c>
      <c r="L145">
        <v>0.55000000000000004</v>
      </c>
      <c r="M145" s="18">
        <v>0</v>
      </c>
      <c r="N145" s="18">
        <v>0</v>
      </c>
      <c r="O145" s="18">
        <v>5</v>
      </c>
      <c r="P145">
        <v>5</v>
      </c>
      <c r="Q145" s="18" t="s">
        <v>34</v>
      </c>
      <c r="R145" s="18" t="s">
        <v>35</v>
      </c>
      <c r="S145" s="18" t="s">
        <v>39</v>
      </c>
      <c r="T145" s="18" t="s">
        <v>45</v>
      </c>
      <c r="U145" s="18">
        <v>2011</v>
      </c>
      <c r="V145" s="16">
        <f t="shared" si="4"/>
        <v>40587</v>
      </c>
      <c r="W145" s="18" t="str">
        <f t="shared" si="5"/>
        <v>Weekday</v>
      </c>
    </row>
    <row r="146" spans="1:23" x14ac:dyDescent="0.25">
      <c r="A146" s="19">
        <v>144</v>
      </c>
      <c r="B146" s="20">
        <v>40550</v>
      </c>
      <c r="C146" s="18">
        <v>1</v>
      </c>
      <c r="D146" s="18">
        <v>0</v>
      </c>
      <c r="E146" s="18">
        <v>1</v>
      </c>
      <c r="F146" s="18">
        <v>6</v>
      </c>
      <c r="G146" s="18" t="b">
        <v>0</v>
      </c>
      <c r="H146" s="18">
        <v>5</v>
      </c>
      <c r="I146" s="18">
        <v>2</v>
      </c>
      <c r="J146" s="18">
        <v>0.2</v>
      </c>
      <c r="K146">
        <v>0.2576</v>
      </c>
      <c r="L146">
        <v>0.69</v>
      </c>
      <c r="M146" s="18">
        <v>0</v>
      </c>
      <c r="N146" s="18">
        <v>8</v>
      </c>
      <c r="O146" s="18">
        <v>26</v>
      </c>
      <c r="P146">
        <v>34</v>
      </c>
      <c r="Q146" s="18" t="s">
        <v>34</v>
      </c>
      <c r="R146" s="18" t="s">
        <v>35</v>
      </c>
      <c r="S146" s="18" t="s">
        <v>38</v>
      </c>
      <c r="T146" s="18" t="s">
        <v>45</v>
      </c>
      <c r="U146" s="18">
        <v>2011</v>
      </c>
      <c r="V146" s="16">
        <f t="shared" si="4"/>
        <v>40587</v>
      </c>
      <c r="W146" s="18" t="str">
        <f t="shared" si="5"/>
        <v>Weekday</v>
      </c>
    </row>
    <row r="147" spans="1:23" x14ac:dyDescent="0.25">
      <c r="A147" s="19">
        <v>145</v>
      </c>
      <c r="B147" s="20">
        <v>40550</v>
      </c>
      <c r="C147" s="18">
        <v>1</v>
      </c>
      <c r="D147" s="18">
        <v>0</v>
      </c>
      <c r="E147" s="18">
        <v>1</v>
      </c>
      <c r="F147" s="18">
        <v>7</v>
      </c>
      <c r="G147" s="18" t="b">
        <v>0</v>
      </c>
      <c r="H147" s="18">
        <v>5</v>
      </c>
      <c r="I147" s="18">
        <v>1</v>
      </c>
      <c r="J147" s="18">
        <v>0.2</v>
      </c>
      <c r="K147">
        <v>0.21210000000000001</v>
      </c>
      <c r="L147">
        <v>0.69</v>
      </c>
      <c r="M147" s="18">
        <v>0.1343</v>
      </c>
      <c r="N147" s="18">
        <v>8</v>
      </c>
      <c r="O147" s="18">
        <v>76</v>
      </c>
      <c r="P147">
        <v>84</v>
      </c>
      <c r="Q147" s="18" t="s">
        <v>34</v>
      </c>
      <c r="R147" s="18" t="s">
        <v>35</v>
      </c>
      <c r="S147" s="18" t="s">
        <v>36</v>
      </c>
      <c r="T147" s="18" t="s">
        <v>45</v>
      </c>
      <c r="U147" s="18">
        <v>2011</v>
      </c>
      <c r="V147" s="16">
        <f t="shared" si="4"/>
        <v>40587</v>
      </c>
      <c r="W147" s="18" t="str">
        <f t="shared" si="5"/>
        <v>Weekday</v>
      </c>
    </row>
    <row r="148" spans="1:23" x14ac:dyDescent="0.25">
      <c r="A148" s="19">
        <v>146</v>
      </c>
      <c r="B148" s="20">
        <v>40550</v>
      </c>
      <c r="C148" s="18">
        <v>1</v>
      </c>
      <c r="D148" s="18">
        <v>0</v>
      </c>
      <c r="E148" s="18">
        <v>1</v>
      </c>
      <c r="F148" s="18">
        <v>8</v>
      </c>
      <c r="G148" s="18" t="b">
        <v>0</v>
      </c>
      <c r="H148" s="18">
        <v>5</v>
      </c>
      <c r="I148" s="18">
        <v>1</v>
      </c>
      <c r="J148" s="18">
        <v>0.2</v>
      </c>
      <c r="K148">
        <v>0.19700000000000001</v>
      </c>
      <c r="L148">
        <v>0.51</v>
      </c>
      <c r="M148" s="18">
        <v>0.25369999999999998</v>
      </c>
      <c r="N148" s="18">
        <v>20</v>
      </c>
      <c r="O148" s="18">
        <v>190</v>
      </c>
      <c r="P148">
        <v>210</v>
      </c>
      <c r="Q148" s="18" t="s">
        <v>34</v>
      </c>
      <c r="R148" s="18" t="s">
        <v>35</v>
      </c>
      <c r="S148" s="18" t="s">
        <v>36</v>
      </c>
      <c r="T148" s="18" t="s">
        <v>45</v>
      </c>
      <c r="U148" s="18">
        <v>2011</v>
      </c>
      <c r="V148" s="16">
        <f t="shared" si="4"/>
        <v>40587</v>
      </c>
      <c r="W148" s="18" t="str">
        <f t="shared" si="5"/>
        <v>Weekday</v>
      </c>
    </row>
    <row r="149" spans="1:23" x14ac:dyDescent="0.25">
      <c r="A149" s="19">
        <v>147</v>
      </c>
      <c r="B149" s="20">
        <v>40550</v>
      </c>
      <c r="C149" s="18">
        <v>1</v>
      </c>
      <c r="D149" s="18">
        <v>0</v>
      </c>
      <c r="E149" s="18">
        <v>1</v>
      </c>
      <c r="F149" s="18">
        <v>9</v>
      </c>
      <c r="G149" s="18" t="b">
        <v>0</v>
      </c>
      <c r="H149" s="18">
        <v>5</v>
      </c>
      <c r="I149" s="18">
        <v>1</v>
      </c>
      <c r="J149" s="18">
        <v>0.2</v>
      </c>
      <c r="K149">
        <v>0.18179999999999999</v>
      </c>
      <c r="L149">
        <v>0.47</v>
      </c>
      <c r="M149" s="18">
        <v>0.29849999999999999</v>
      </c>
      <c r="N149" s="18">
        <v>9</v>
      </c>
      <c r="O149" s="18">
        <v>125</v>
      </c>
      <c r="P149">
        <v>134</v>
      </c>
      <c r="Q149" s="18" t="s">
        <v>34</v>
      </c>
      <c r="R149" s="18" t="s">
        <v>35</v>
      </c>
      <c r="S149" s="18" t="s">
        <v>36</v>
      </c>
      <c r="T149" s="18" t="s">
        <v>45</v>
      </c>
      <c r="U149" s="18">
        <v>2011</v>
      </c>
      <c r="V149" s="16">
        <f t="shared" si="4"/>
        <v>40587</v>
      </c>
      <c r="W149" s="18" t="str">
        <f t="shared" si="5"/>
        <v>Weekday</v>
      </c>
    </row>
    <row r="150" spans="1:23" x14ac:dyDescent="0.25">
      <c r="A150" s="19">
        <v>148</v>
      </c>
      <c r="B150" s="20">
        <v>40550</v>
      </c>
      <c r="C150" s="18">
        <v>1</v>
      </c>
      <c r="D150" s="18">
        <v>0</v>
      </c>
      <c r="E150" s="18">
        <v>1</v>
      </c>
      <c r="F150" s="18">
        <v>10</v>
      </c>
      <c r="G150" s="18" t="b">
        <v>0</v>
      </c>
      <c r="H150" s="18">
        <v>5</v>
      </c>
      <c r="I150" s="18">
        <v>1</v>
      </c>
      <c r="J150" s="18">
        <v>0.22</v>
      </c>
      <c r="K150">
        <v>0.19700000000000001</v>
      </c>
      <c r="L150">
        <v>0.37</v>
      </c>
      <c r="M150" s="18">
        <v>0.32840000000000003</v>
      </c>
      <c r="N150" s="18">
        <v>16</v>
      </c>
      <c r="O150" s="18">
        <v>47</v>
      </c>
      <c r="P150">
        <v>63</v>
      </c>
      <c r="Q150" s="18" t="s">
        <v>34</v>
      </c>
      <c r="R150" s="18" t="s">
        <v>35</v>
      </c>
      <c r="S150" s="18" t="s">
        <v>36</v>
      </c>
      <c r="T150" s="18" t="s">
        <v>45</v>
      </c>
      <c r="U150" s="18">
        <v>2011</v>
      </c>
      <c r="V150" s="16">
        <f t="shared" si="4"/>
        <v>40587</v>
      </c>
      <c r="W150" s="18" t="str">
        <f t="shared" si="5"/>
        <v>Weekday</v>
      </c>
    </row>
    <row r="151" spans="1:23" x14ac:dyDescent="0.25">
      <c r="A151" s="19">
        <v>149</v>
      </c>
      <c r="B151" s="20">
        <v>40550</v>
      </c>
      <c r="C151" s="18">
        <v>1</v>
      </c>
      <c r="D151" s="18">
        <v>0</v>
      </c>
      <c r="E151" s="18">
        <v>1</v>
      </c>
      <c r="F151" s="18">
        <v>11</v>
      </c>
      <c r="G151" s="18" t="b">
        <v>0</v>
      </c>
      <c r="H151" s="18">
        <v>5</v>
      </c>
      <c r="I151" s="18">
        <v>2</v>
      </c>
      <c r="J151" s="18">
        <v>0.2</v>
      </c>
      <c r="K151">
        <v>0.19700000000000001</v>
      </c>
      <c r="L151">
        <v>0.4</v>
      </c>
      <c r="M151" s="18">
        <v>0.22389999999999999</v>
      </c>
      <c r="N151" s="18">
        <v>19</v>
      </c>
      <c r="O151" s="18">
        <v>48</v>
      </c>
      <c r="P151">
        <v>67</v>
      </c>
      <c r="Q151" s="18" t="s">
        <v>34</v>
      </c>
      <c r="R151" s="18" t="s">
        <v>35</v>
      </c>
      <c r="S151" s="18" t="s">
        <v>38</v>
      </c>
      <c r="T151" s="18" t="s">
        <v>45</v>
      </c>
      <c r="U151" s="18">
        <v>2011</v>
      </c>
      <c r="V151" s="16">
        <f t="shared" si="4"/>
        <v>40587</v>
      </c>
      <c r="W151" s="18" t="str">
        <f t="shared" si="5"/>
        <v>Weekday</v>
      </c>
    </row>
    <row r="152" spans="1:23" x14ac:dyDescent="0.25">
      <c r="A152" s="19">
        <v>150</v>
      </c>
      <c r="B152" s="20">
        <v>40550</v>
      </c>
      <c r="C152" s="18">
        <v>1</v>
      </c>
      <c r="D152" s="18">
        <v>0</v>
      </c>
      <c r="E152" s="18">
        <v>1</v>
      </c>
      <c r="F152" s="18">
        <v>12</v>
      </c>
      <c r="G152" s="18" t="b">
        <v>0</v>
      </c>
      <c r="H152" s="18">
        <v>5</v>
      </c>
      <c r="I152" s="18">
        <v>2</v>
      </c>
      <c r="J152" s="18">
        <v>0.2</v>
      </c>
      <c r="K152">
        <v>0.19700000000000001</v>
      </c>
      <c r="L152">
        <v>0.37</v>
      </c>
      <c r="M152" s="18">
        <v>0.25369999999999998</v>
      </c>
      <c r="N152" s="18">
        <v>9</v>
      </c>
      <c r="O152" s="18">
        <v>50</v>
      </c>
      <c r="P152">
        <v>59</v>
      </c>
      <c r="Q152" s="18" t="s">
        <v>34</v>
      </c>
      <c r="R152" s="18" t="s">
        <v>35</v>
      </c>
      <c r="S152" s="18" t="s">
        <v>38</v>
      </c>
      <c r="T152" s="18" t="s">
        <v>45</v>
      </c>
      <c r="U152" s="18">
        <v>2011</v>
      </c>
      <c r="V152" s="16">
        <f t="shared" si="4"/>
        <v>40587</v>
      </c>
      <c r="W152" s="18" t="str">
        <f t="shared" si="5"/>
        <v>Weekday</v>
      </c>
    </row>
    <row r="153" spans="1:23" x14ac:dyDescent="0.25">
      <c r="A153" s="19">
        <v>151</v>
      </c>
      <c r="B153" s="20">
        <v>40550</v>
      </c>
      <c r="C153" s="18">
        <v>1</v>
      </c>
      <c r="D153" s="18">
        <v>0</v>
      </c>
      <c r="E153" s="18">
        <v>1</v>
      </c>
      <c r="F153" s="18">
        <v>13</v>
      </c>
      <c r="G153" s="18" t="b">
        <v>0</v>
      </c>
      <c r="H153" s="18">
        <v>5</v>
      </c>
      <c r="I153" s="18">
        <v>2</v>
      </c>
      <c r="J153" s="18">
        <v>0.2</v>
      </c>
      <c r="K153">
        <v>0.18179999999999999</v>
      </c>
      <c r="L153">
        <v>0.37</v>
      </c>
      <c r="M153" s="18">
        <v>0.28360000000000002</v>
      </c>
      <c r="N153" s="18">
        <v>9</v>
      </c>
      <c r="O153" s="18">
        <v>64</v>
      </c>
      <c r="P153">
        <v>73</v>
      </c>
      <c r="Q153" s="18" t="s">
        <v>34</v>
      </c>
      <c r="R153" s="18" t="s">
        <v>35</v>
      </c>
      <c r="S153" s="18" t="s">
        <v>38</v>
      </c>
      <c r="T153" s="18" t="s">
        <v>45</v>
      </c>
      <c r="U153" s="18">
        <v>2011</v>
      </c>
      <c r="V153" s="16">
        <f t="shared" si="4"/>
        <v>40587</v>
      </c>
      <c r="W153" s="18" t="str">
        <f t="shared" si="5"/>
        <v>Weekday</v>
      </c>
    </row>
    <row r="154" spans="1:23" x14ac:dyDescent="0.25">
      <c r="A154" s="19">
        <v>152</v>
      </c>
      <c r="B154" s="20">
        <v>40550</v>
      </c>
      <c r="C154" s="18">
        <v>1</v>
      </c>
      <c r="D154" s="18">
        <v>0</v>
      </c>
      <c r="E154" s="18">
        <v>1</v>
      </c>
      <c r="F154" s="18">
        <v>14</v>
      </c>
      <c r="G154" s="18" t="b">
        <v>0</v>
      </c>
      <c r="H154" s="18">
        <v>5</v>
      </c>
      <c r="I154" s="18">
        <v>2</v>
      </c>
      <c r="J154" s="18">
        <v>0.2</v>
      </c>
      <c r="K154">
        <v>0.19700000000000001</v>
      </c>
      <c r="L154">
        <v>0.4</v>
      </c>
      <c r="M154" s="18">
        <v>0.25369999999999998</v>
      </c>
      <c r="N154" s="18">
        <v>7</v>
      </c>
      <c r="O154" s="18">
        <v>43</v>
      </c>
      <c r="P154">
        <v>50</v>
      </c>
      <c r="Q154" s="18" t="s">
        <v>34</v>
      </c>
      <c r="R154" s="18" t="s">
        <v>35</v>
      </c>
      <c r="S154" s="18" t="s">
        <v>38</v>
      </c>
      <c r="T154" s="18" t="s">
        <v>45</v>
      </c>
      <c r="U154" s="18">
        <v>2011</v>
      </c>
      <c r="V154" s="16">
        <f t="shared" si="4"/>
        <v>40587</v>
      </c>
      <c r="W154" s="18" t="str">
        <f t="shared" si="5"/>
        <v>Weekday</v>
      </c>
    </row>
    <row r="155" spans="1:23" x14ac:dyDescent="0.25">
      <c r="A155" s="19">
        <v>153</v>
      </c>
      <c r="B155" s="20">
        <v>40550</v>
      </c>
      <c r="C155" s="18">
        <v>1</v>
      </c>
      <c r="D155" s="18">
        <v>0</v>
      </c>
      <c r="E155" s="18">
        <v>1</v>
      </c>
      <c r="F155" s="18">
        <v>15</v>
      </c>
      <c r="G155" s="18" t="b">
        <v>0</v>
      </c>
      <c r="H155" s="18">
        <v>5</v>
      </c>
      <c r="I155" s="18">
        <v>2</v>
      </c>
      <c r="J155" s="18">
        <v>0.2</v>
      </c>
      <c r="K155">
        <v>0.21210000000000001</v>
      </c>
      <c r="L155">
        <v>0.37</v>
      </c>
      <c r="M155" s="18">
        <v>0.16420000000000001</v>
      </c>
      <c r="N155" s="18">
        <v>9</v>
      </c>
      <c r="O155" s="18">
        <v>63</v>
      </c>
      <c r="P155">
        <v>72</v>
      </c>
      <c r="Q155" s="18" t="s">
        <v>34</v>
      </c>
      <c r="R155" s="18" t="s">
        <v>35</v>
      </c>
      <c r="S155" s="18" t="s">
        <v>38</v>
      </c>
      <c r="T155" s="18" t="s">
        <v>45</v>
      </c>
      <c r="U155" s="18">
        <v>2011</v>
      </c>
      <c r="V155" s="16">
        <f t="shared" si="4"/>
        <v>40587</v>
      </c>
      <c r="W155" s="18" t="str">
        <f t="shared" si="5"/>
        <v>Weekday</v>
      </c>
    </row>
    <row r="156" spans="1:23" x14ac:dyDescent="0.25">
      <c r="A156" s="19">
        <v>154</v>
      </c>
      <c r="B156" s="20">
        <v>40550</v>
      </c>
      <c r="C156" s="18">
        <v>1</v>
      </c>
      <c r="D156" s="18">
        <v>0</v>
      </c>
      <c r="E156" s="18">
        <v>1</v>
      </c>
      <c r="F156" s="18">
        <v>16</v>
      </c>
      <c r="G156" s="18" t="b">
        <v>0</v>
      </c>
      <c r="H156" s="18">
        <v>5</v>
      </c>
      <c r="I156" s="18">
        <v>2</v>
      </c>
      <c r="J156" s="18">
        <v>0.2</v>
      </c>
      <c r="K156">
        <v>0.21210000000000001</v>
      </c>
      <c r="L156">
        <v>0.37</v>
      </c>
      <c r="M156" s="18">
        <v>0.16420000000000001</v>
      </c>
      <c r="N156" s="18">
        <v>5</v>
      </c>
      <c r="O156" s="18">
        <v>82</v>
      </c>
      <c r="P156">
        <v>87</v>
      </c>
      <c r="Q156" s="18" t="s">
        <v>34</v>
      </c>
      <c r="R156" s="18" t="s">
        <v>35</v>
      </c>
      <c r="S156" s="18" t="s">
        <v>38</v>
      </c>
      <c r="T156" s="18" t="s">
        <v>45</v>
      </c>
      <c r="U156" s="18">
        <v>2011</v>
      </c>
      <c r="V156" s="16">
        <f t="shared" si="4"/>
        <v>40587</v>
      </c>
      <c r="W156" s="18" t="str">
        <f t="shared" si="5"/>
        <v>Weekday</v>
      </c>
    </row>
    <row r="157" spans="1:23" x14ac:dyDescent="0.25">
      <c r="A157" s="19">
        <v>155</v>
      </c>
      <c r="B157" s="20">
        <v>40550</v>
      </c>
      <c r="C157" s="18">
        <v>1</v>
      </c>
      <c r="D157" s="18">
        <v>0</v>
      </c>
      <c r="E157" s="18">
        <v>1</v>
      </c>
      <c r="F157" s="18">
        <v>17</v>
      </c>
      <c r="G157" s="18" t="b">
        <v>0</v>
      </c>
      <c r="H157" s="18">
        <v>5</v>
      </c>
      <c r="I157" s="18">
        <v>2</v>
      </c>
      <c r="J157" s="18">
        <v>0.2</v>
      </c>
      <c r="K157">
        <v>0.2576</v>
      </c>
      <c r="L157">
        <v>0.37</v>
      </c>
      <c r="M157" s="18">
        <v>0</v>
      </c>
      <c r="N157" s="18">
        <v>9</v>
      </c>
      <c r="O157" s="18">
        <v>178</v>
      </c>
      <c r="P157">
        <v>187</v>
      </c>
      <c r="Q157" s="18" t="s">
        <v>34</v>
      </c>
      <c r="R157" s="18" t="s">
        <v>35</v>
      </c>
      <c r="S157" s="18" t="s">
        <v>38</v>
      </c>
      <c r="T157" s="18" t="s">
        <v>45</v>
      </c>
      <c r="U157" s="18">
        <v>2011</v>
      </c>
      <c r="V157" s="16">
        <f t="shared" si="4"/>
        <v>40587</v>
      </c>
      <c r="W157" s="18" t="str">
        <f t="shared" si="5"/>
        <v>Weekday</v>
      </c>
    </row>
    <row r="158" spans="1:23" x14ac:dyDescent="0.25">
      <c r="A158" s="19">
        <v>156</v>
      </c>
      <c r="B158" s="20">
        <v>40550</v>
      </c>
      <c r="C158" s="18">
        <v>1</v>
      </c>
      <c r="D158" s="18">
        <v>0</v>
      </c>
      <c r="E158" s="18">
        <v>1</v>
      </c>
      <c r="F158" s="18">
        <v>18</v>
      </c>
      <c r="G158" s="18" t="b">
        <v>0</v>
      </c>
      <c r="H158" s="18">
        <v>5</v>
      </c>
      <c r="I158" s="18">
        <v>1</v>
      </c>
      <c r="J158" s="18">
        <v>0.2</v>
      </c>
      <c r="K158">
        <v>0.2273</v>
      </c>
      <c r="L158">
        <v>0.4</v>
      </c>
      <c r="M158" s="18">
        <v>8.9599999999999999E-2</v>
      </c>
      <c r="N158" s="18">
        <v>7</v>
      </c>
      <c r="O158" s="18">
        <v>116</v>
      </c>
      <c r="P158">
        <v>123</v>
      </c>
      <c r="Q158" s="18" t="s">
        <v>34</v>
      </c>
      <c r="R158" s="18" t="s">
        <v>35</v>
      </c>
      <c r="S158" s="18" t="s">
        <v>36</v>
      </c>
      <c r="T158" s="18" t="s">
        <v>45</v>
      </c>
      <c r="U158" s="18">
        <v>2011</v>
      </c>
      <c r="V158" s="16">
        <f t="shared" si="4"/>
        <v>40587</v>
      </c>
      <c r="W158" s="18" t="str">
        <f t="shared" si="5"/>
        <v>Weekday</v>
      </c>
    </row>
    <row r="159" spans="1:23" x14ac:dyDescent="0.25">
      <c r="A159" s="19">
        <v>157</v>
      </c>
      <c r="B159" s="20">
        <v>40550</v>
      </c>
      <c r="C159" s="18">
        <v>1</v>
      </c>
      <c r="D159" s="18">
        <v>0</v>
      </c>
      <c r="E159" s="18">
        <v>1</v>
      </c>
      <c r="F159" s="18">
        <v>19</v>
      </c>
      <c r="G159" s="18" t="b">
        <v>0</v>
      </c>
      <c r="H159" s="18">
        <v>5</v>
      </c>
      <c r="I159" s="18">
        <v>1</v>
      </c>
      <c r="J159" s="18">
        <v>0.16</v>
      </c>
      <c r="K159">
        <v>0.19700000000000001</v>
      </c>
      <c r="L159">
        <v>0.55000000000000004</v>
      </c>
      <c r="M159" s="18">
        <v>8.9599999999999999E-2</v>
      </c>
      <c r="N159" s="18">
        <v>3</v>
      </c>
      <c r="O159" s="18">
        <v>92</v>
      </c>
      <c r="P159">
        <v>95</v>
      </c>
      <c r="Q159" s="18" t="s">
        <v>34</v>
      </c>
      <c r="R159" s="18" t="s">
        <v>35</v>
      </c>
      <c r="S159" s="18" t="s">
        <v>36</v>
      </c>
      <c r="T159" s="18" t="s">
        <v>45</v>
      </c>
      <c r="U159" s="18">
        <v>2011</v>
      </c>
      <c r="V159" s="16">
        <f t="shared" si="4"/>
        <v>40587</v>
      </c>
      <c r="W159" s="18" t="str">
        <f t="shared" si="5"/>
        <v>Weekday</v>
      </c>
    </row>
    <row r="160" spans="1:23" x14ac:dyDescent="0.25">
      <c r="A160" s="19">
        <v>158</v>
      </c>
      <c r="B160" s="20">
        <v>40550</v>
      </c>
      <c r="C160" s="18">
        <v>1</v>
      </c>
      <c r="D160" s="18">
        <v>0</v>
      </c>
      <c r="E160" s="18">
        <v>1</v>
      </c>
      <c r="F160" s="18">
        <v>20</v>
      </c>
      <c r="G160" s="18" t="b">
        <v>0</v>
      </c>
      <c r="H160" s="18">
        <v>5</v>
      </c>
      <c r="I160" s="18">
        <v>1</v>
      </c>
      <c r="J160" s="18">
        <v>0.18</v>
      </c>
      <c r="K160">
        <v>0.21210000000000001</v>
      </c>
      <c r="L160">
        <v>0.47</v>
      </c>
      <c r="M160" s="18">
        <v>0.1045</v>
      </c>
      <c r="N160" s="18">
        <v>1</v>
      </c>
      <c r="O160" s="18">
        <v>50</v>
      </c>
      <c r="P160">
        <v>51</v>
      </c>
      <c r="Q160" s="18" t="s">
        <v>34</v>
      </c>
      <c r="R160" s="18" t="s">
        <v>35</v>
      </c>
      <c r="S160" s="18" t="s">
        <v>36</v>
      </c>
      <c r="T160" s="18" t="s">
        <v>45</v>
      </c>
      <c r="U160" s="18">
        <v>2011</v>
      </c>
      <c r="V160" s="16">
        <f t="shared" si="4"/>
        <v>40587</v>
      </c>
      <c r="W160" s="18" t="str">
        <f t="shared" si="5"/>
        <v>Weekday</v>
      </c>
    </row>
    <row r="161" spans="1:23" x14ac:dyDescent="0.25">
      <c r="A161" s="19">
        <v>159</v>
      </c>
      <c r="B161" s="20">
        <v>40550</v>
      </c>
      <c r="C161" s="18">
        <v>1</v>
      </c>
      <c r="D161" s="18">
        <v>0</v>
      </c>
      <c r="E161" s="18">
        <v>1</v>
      </c>
      <c r="F161" s="18">
        <v>21</v>
      </c>
      <c r="G161" s="18" t="b">
        <v>0</v>
      </c>
      <c r="H161" s="18">
        <v>5</v>
      </c>
      <c r="I161" s="18">
        <v>1</v>
      </c>
      <c r="J161" s="18">
        <v>0.18</v>
      </c>
      <c r="K161">
        <v>0.19700000000000001</v>
      </c>
      <c r="L161">
        <v>0.47</v>
      </c>
      <c r="M161" s="18">
        <v>0.1343</v>
      </c>
      <c r="N161" s="18">
        <v>0</v>
      </c>
      <c r="O161" s="18">
        <v>39</v>
      </c>
      <c r="P161">
        <v>39</v>
      </c>
      <c r="Q161" s="18" t="s">
        <v>34</v>
      </c>
      <c r="R161" s="18" t="s">
        <v>35</v>
      </c>
      <c r="S161" s="18" t="s">
        <v>36</v>
      </c>
      <c r="T161" s="18" t="s">
        <v>45</v>
      </c>
      <c r="U161" s="18">
        <v>2011</v>
      </c>
      <c r="V161" s="16">
        <f t="shared" si="4"/>
        <v>40587</v>
      </c>
      <c r="W161" s="18" t="str">
        <f t="shared" si="5"/>
        <v>Weekday</v>
      </c>
    </row>
    <row r="162" spans="1:23" x14ac:dyDescent="0.25">
      <c r="A162" s="19">
        <v>160</v>
      </c>
      <c r="B162" s="20">
        <v>40550</v>
      </c>
      <c r="C162" s="18">
        <v>1</v>
      </c>
      <c r="D162" s="18">
        <v>0</v>
      </c>
      <c r="E162" s="18">
        <v>1</v>
      </c>
      <c r="F162" s="18">
        <v>22</v>
      </c>
      <c r="G162" s="18" t="b">
        <v>0</v>
      </c>
      <c r="H162" s="18">
        <v>5</v>
      </c>
      <c r="I162" s="18">
        <v>2</v>
      </c>
      <c r="J162" s="18">
        <v>0.18</v>
      </c>
      <c r="K162">
        <v>0.19700000000000001</v>
      </c>
      <c r="L162">
        <v>0.43</v>
      </c>
      <c r="M162" s="18">
        <v>0.16420000000000001</v>
      </c>
      <c r="N162" s="18">
        <v>2</v>
      </c>
      <c r="O162" s="18">
        <v>34</v>
      </c>
      <c r="P162">
        <v>36</v>
      </c>
      <c r="Q162" s="18" t="s">
        <v>34</v>
      </c>
      <c r="R162" s="18" t="s">
        <v>35</v>
      </c>
      <c r="S162" s="18" t="s">
        <v>38</v>
      </c>
      <c r="T162" s="18" t="s">
        <v>45</v>
      </c>
      <c r="U162" s="18">
        <v>2011</v>
      </c>
      <c r="V162" s="16">
        <f t="shared" si="4"/>
        <v>40587</v>
      </c>
      <c r="W162" s="18" t="str">
        <f t="shared" si="5"/>
        <v>Weekday</v>
      </c>
    </row>
    <row r="163" spans="1:23" x14ac:dyDescent="0.25">
      <c r="A163" s="19">
        <v>161</v>
      </c>
      <c r="B163" s="20">
        <v>40550</v>
      </c>
      <c r="C163" s="18">
        <v>1</v>
      </c>
      <c r="D163" s="18">
        <v>0</v>
      </c>
      <c r="E163" s="18">
        <v>1</v>
      </c>
      <c r="F163" s="18">
        <v>23</v>
      </c>
      <c r="G163" s="18" t="b">
        <v>0</v>
      </c>
      <c r="H163" s="18">
        <v>5</v>
      </c>
      <c r="I163" s="18">
        <v>2</v>
      </c>
      <c r="J163" s="18">
        <v>0.18</v>
      </c>
      <c r="K163">
        <v>0.19700000000000001</v>
      </c>
      <c r="L163">
        <v>0.51</v>
      </c>
      <c r="M163" s="18">
        <v>0.16420000000000001</v>
      </c>
      <c r="N163" s="18">
        <v>1</v>
      </c>
      <c r="O163" s="18">
        <v>14</v>
      </c>
      <c r="P163">
        <v>15</v>
      </c>
      <c r="Q163" s="18" t="s">
        <v>34</v>
      </c>
      <c r="R163" s="18" t="s">
        <v>35</v>
      </c>
      <c r="S163" s="18" t="s">
        <v>38</v>
      </c>
      <c r="T163" s="18" t="s">
        <v>45</v>
      </c>
      <c r="U163" s="18">
        <v>2011</v>
      </c>
      <c r="V163" s="16">
        <f t="shared" si="4"/>
        <v>40587</v>
      </c>
      <c r="W163" s="18" t="str">
        <f t="shared" si="5"/>
        <v>Weekday</v>
      </c>
    </row>
    <row r="164" spans="1:23" x14ac:dyDescent="0.25">
      <c r="A164" s="19">
        <v>162</v>
      </c>
      <c r="B164" s="20">
        <v>40551</v>
      </c>
      <c r="C164" s="18">
        <v>1</v>
      </c>
      <c r="D164" s="18">
        <v>0</v>
      </c>
      <c r="E164" s="18">
        <v>1</v>
      </c>
      <c r="F164" s="18">
        <v>0</v>
      </c>
      <c r="G164" s="18" t="b">
        <v>0</v>
      </c>
      <c r="H164" s="18">
        <v>6</v>
      </c>
      <c r="I164" s="18">
        <v>2</v>
      </c>
      <c r="J164" s="18">
        <v>0.18</v>
      </c>
      <c r="K164">
        <v>0.19700000000000001</v>
      </c>
      <c r="L164">
        <v>0.51</v>
      </c>
      <c r="M164" s="18">
        <v>0.16420000000000001</v>
      </c>
      <c r="N164" s="18">
        <v>1</v>
      </c>
      <c r="O164" s="18">
        <v>24</v>
      </c>
      <c r="P164">
        <v>25</v>
      </c>
      <c r="Q164" s="18" t="s">
        <v>34</v>
      </c>
      <c r="R164" s="18" t="s">
        <v>35</v>
      </c>
      <c r="S164" s="18" t="s">
        <v>38</v>
      </c>
      <c r="T164" s="18" t="s">
        <v>37</v>
      </c>
      <c r="U164" s="18">
        <v>2011</v>
      </c>
      <c r="V164" s="16">
        <f t="shared" si="4"/>
        <v>40587</v>
      </c>
      <c r="W164" s="18" t="str">
        <f t="shared" si="5"/>
        <v>Weedend</v>
      </c>
    </row>
    <row r="165" spans="1:23" x14ac:dyDescent="0.25">
      <c r="A165" s="19">
        <v>163</v>
      </c>
      <c r="B165" s="20">
        <v>40551</v>
      </c>
      <c r="C165" s="18">
        <v>1</v>
      </c>
      <c r="D165" s="18">
        <v>0</v>
      </c>
      <c r="E165" s="18">
        <v>1</v>
      </c>
      <c r="F165" s="18">
        <v>1</v>
      </c>
      <c r="G165" s="18" t="b">
        <v>0</v>
      </c>
      <c r="H165" s="18">
        <v>6</v>
      </c>
      <c r="I165" s="18">
        <v>2</v>
      </c>
      <c r="J165" s="18">
        <v>0.18</v>
      </c>
      <c r="K165">
        <v>0.21210000000000001</v>
      </c>
      <c r="L165">
        <v>0.55000000000000004</v>
      </c>
      <c r="M165" s="18">
        <v>8.9599999999999999E-2</v>
      </c>
      <c r="N165" s="18">
        <v>1</v>
      </c>
      <c r="O165" s="18">
        <v>15</v>
      </c>
      <c r="P165">
        <v>16</v>
      </c>
      <c r="Q165" s="18" t="s">
        <v>34</v>
      </c>
      <c r="R165" s="18" t="s">
        <v>35</v>
      </c>
      <c r="S165" s="18" t="s">
        <v>38</v>
      </c>
      <c r="T165" s="18" t="s">
        <v>37</v>
      </c>
      <c r="U165" s="18">
        <v>2011</v>
      </c>
      <c r="V165" s="16">
        <f t="shared" si="4"/>
        <v>40587</v>
      </c>
      <c r="W165" s="18" t="str">
        <f t="shared" si="5"/>
        <v>Weedend</v>
      </c>
    </row>
    <row r="166" spans="1:23" x14ac:dyDescent="0.25">
      <c r="A166" s="19">
        <v>164</v>
      </c>
      <c r="B166" s="20">
        <v>40551</v>
      </c>
      <c r="C166" s="18">
        <v>1</v>
      </c>
      <c r="D166" s="18">
        <v>0</v>
      </c>
      <c r="E166" s="18">
        <v>1</v>
      </c>
      <c r="F166" s="18">
        <v>2</v>
      </c>
      <c r="G166" s="18" t="b">
        <v>0</v>
      </c>
      <c r="H166" s="18">
        <v>6</v>
      </c>
      <c r="I166" s="18">
        <v>2</v>
      </c>
      <c r="J166" s="18">
        <v>0.18</v>
      </c>
      <c r="K166">
        <v>0.2424</v>
      </c>
      <c r="L166">
        <v>0.55000000000000004</v>
      </c>
      <c r="M166" s="18">
        <v>0</v>
      </c>
      <c r="N166" s="18">
        <v>3</v>
      </c>
      <c r="O166" s="18">
        <v>13</v>
      </c>
      <c r="P166">
        <v>16</v>
      </c>
      <c r="Q166" s="18" t="s">
        <v>34</v>
      </c>
      <c r="R166" s="18" t="s">
        <v>35</v>
      </c>
      <c r="S166" s="18" t="s">
        <v>38</v>
      </c>
      <c r="T166" s="18" t="s">
        <v>37</v>
      </c>
      <c r="U166" s="18">
        <v>2011</v>
      </c>
      <c r="V166" s="16">
        <f t="shared" si="4"/>
        <v>40587</v>
      </c>
      <c r="W166" s="18" t="str">
        <f t="shared" si="5"/>
        <v>Weedend</v>
      </c>
    </row>
    <row r="167" spans="1:23" x14ac:dyDescent="0.25">
      <c r="A167" s="19">
        <v>165</v>
      </c>
      <c r="B167" s="20">
        <v>40551</v>
      </c>
      <c r="C167" s="18">
        <v>1</v>
      </c>
      <c r="D167" s="18">
        <v>0</v>
      </c>
      <c r="E167" s="18">
        <v>1</v>
      </c>
      <c r="F167" s="18">
        <v>3</v>
      </c>
      <c r="G167" s="18" t="b">
        <v>0</v>
      </c>
      <c r="H167" s="18">
        <v>6</v>
      </c>
      <c r="I167" s="18">
        <v>3</v>
      </c>
      <c r="J167" s="18">
        <v>0.18</v>
      </c>
      <c r="K167">
        <v>0.19700000000000001</v>
      </c>
      <c r="L167">
        <v>0.55000000000000004</v>
      </c>
      <c r="M167" s="18">
        <v>0.16420000000000001</v>
      </c>
      <c r="N167" s="18">
        <v>0</v>
      </c>
      <c r="O167" s="18">
        <v>7</v>
      </c>
      <c r="P167">
        <v>7</v>
      </c>
      <c r="Q167" s="18" t="s">
        <v>34</v>
      </c>
      <c r="R167" s="18" t="s">
        <v>35</v>
      </c>
      <c r="S167" s="18" t="s">
        <v>39</v>
      </c>
      <c r="T167" s="18" t="s">
        <v>37</v>
      </c>
      <c r="U167" s="18">
        <v>2011</v>
      </c>
      <c r="V167" s="16">
        <f t="shared" si="4"/>
        <v>40587</v>
      </c>
      <c r="W167" s="18" t="str">
        <f t="shared" si="5"/>
        <v>Weedend</v>
      </c>
    </row>
    <row r="168" spans="1:23" x14ac:dyDescent="0.25">
      <c r="A168" s="19">
        <v>166</v>
      </c>
      <c r="B168" s="20">
        <v>40551</v>
      </c>
      <c r="C168" s="18">
        <v>1</v>
      </c>
      <c r="D168" s="18">
        <v>0</v>
      </c>
      <c r="E168" s="18">
        <v>1</v>
      </c>
      <c r="F168" s="18">
        <v>4</v>
      </c>
      <c r="G168" s="18" t="b">
        <v>0</v>
      </c>
      <c r="H168" s="18">
        <v>6</v>
      </c>
      <c r="I168" s="18">
        <v>3</v>
      </c>
      <c r="J168" s="18">
        <v>0.18</v>
      </c>
      <c r="K168">
        <v>0.19700000000000001</v>
      </c>
      <c r="L168">
        <v>0.55000000000000004</v>
      </c>
      <c r="M168" s="18">
        <v>0.16420000000000001</v>
      </c>
      <c r="N168" s="18">
        <v>0</v>
      </c>
      <c r="O168" s="18">
        <v>1</v>
      </c>
      <c r="P168">
        <v>1</v>
      </c>
      <c r="Q168" s="18" t="s">
        <v>34</v>
      </c>
      <c r="R168" s="18" t="s">
        <v>35</v>
      </c>
      <c r="S168" s="18" t="s">
        <v>39</v>
      </c>
      <c r="T168" s="18" t="s">
        <v>37</v>
      </c>
      <c r="U168" s="18">
        <v>2011</v>
      </c>
      <c r="V168" s="16">
        <f t="shared" si="4"/>
        <v>40587</v>
      </c>
      <c r="W168" s="18" t="str">
        <f t="shared" si="5"/>
        <v>Weedend</v>
      </c>
    </row>
    <row r="169" spans="1:23" x14ac:dyDescent="0.25">
      <c r="A169" s="19">
        <v>167</v>
      </c>
      <c r="B169" s="20">
        <v>40551</v>
      </c>
      <c r="C169" s="18">
        <v>1</v>
      </c>
      <c r="D169" s="18">
        <v>0</v>
      </c>
      <c r="E169" s="18">
        <v>1</v>
      </c>
      <c r="F169" s="18">
        <v>5</v>
      </c>
      <c r="G169" s="18" t="b">
        <v>0</v>
      </c>
      <c r="H169" s="18">
        <v>6</v>
      </c>
      <c r="I169" s="18">
        <v>2</v>
      </c>
      <c r="J169" s="18">
        <v>0.16</v>
      </c>
      <c r="K169">
        <v>0.16669999999999999</v>
      </c>
      <c r="L169">
        <v>0.74</v>
      </c>
      <c r="M169" s="18">
        <v>0.16420000000000001</v>
      </c>
      <c r="N169" s="18">
        <v>0</v>
      </c>
      <c r="O169" s="18">
        <v>5</v>
      </c>
      <c r="P169">
        <v>5</v>
      </c>
      <c r="Q169" s="18" t="s">
        <v>34</v>
      </c>
      <c r="R169" s="18" t="s">
        <v>35</v>
      </c>
      <c r="S169" s="18" t="s">
        <v>38</v>
      </c>
      <c r="T169" s="18" t="s">
        <v>37</v>
      </c>
      <c r="U169" s="18">
        <v>2011</v>
      </c>
      <c r="V169" s="16">
        <f t="shared" si="4"/>
        <v>40587</v>
      </c>
      <c r="W169" s="18" t="str">
        <f t="shared" si="5"/>
        <v>Weedend</v>
      </c>
    </row>
    <row r="170" spans="1:23" x14ac:dyDescent="0.25">
      <c r="A170" s="19">
        <v>168</v>
      </c>
      <c r="B170" s="20">
        <v>40551</v>
      </c>
      <c r="C170" s="18">
        <v>1</v>
      </c>
      <c r="D170" s="18">
        <v>0</v>
      </c>
      <c r="E170" s="18">
        <v>1</v>
      </c>
      <c r="F170" s="18">
        <v>6</v>
      </c>
      <c r="G170" s="18" t="b">
        <v>0</v>
      </c>
      <c r="H170" s="18">
        <v>6</v>
      </c>
      <c r="I170" s="18">
        <v>2</v>
      </c>
      <c r="J170" s="18">
        <v>0.16</v>
      </c>
      <c r="K170">
        <v>0.16669999999999999</v>
      </c>
      <c r="L170">
        <v>0.74</v>
      </c>
      <c r="M170" s="18">
        <v>0.16420000000000001</v>
      </c>
      <c r="N170" s="18">
        <v>0</v>
      </c>
      <c r="O170" s="18">
        <v>2</v>
      </c>
      <c r="P170">
        <v>2</v>
      </c>
      <c r="Q170" s="18" t="s">
        <v>34</v>
      </c>
      <c r="R170" s="18" t="s">
        <v>35</v>
      </c>
      <c r="S170" s="18" t="s">
        <v>38</v>
      </c>
      <c r="T170" s="18" t="s">
        <v>37</v>
      </c>
      <c r="U170" s="18">
        <v>2011</v>
      </c>
      <c r="V170" s="16">
        <f t="shared" si="4"/>
        <v>40587</v>
      </c>
      <c r="W170" s="18" t="str">
        <f t="shared" si="5"/>
        <v>Weedend</v>
      </c>
    </row>
    <row r="171" spans="1:23" x14ac:dyDescent="0.25">
      <c r="A171" s="19">
        <v>169</v>
      </c>
      <c r="B171" s="20">
        <v>40551</v>
      </c>
      <c r="C171" s="18">
        <v>1</v>
      </c>
      <c r="D171" s="18">
        <v>0</v>
      </c>
      <c r="E171" s="18">
        <v>1</v>
      </c>
      <c r="F171" s="18">
        <v>7</v>
      </c>
      <c r="G171" s="18" t="b">
        <v>0</v>
      </c>
      <c r="H171" s="18">
        <v>6</v>
      </c>
      <c r="I171" s="18">
        <v>2</v>
      </c>
      <c r="J171" s="18">
        <v>0.16</v>
      </c>
      <c r="K171">
        <v>0.18179999999999999</v>
      </c>
      <c r="L171">
        <v>0.74</v>
      </c>
      <c r="M171" s="18">
        <v>0.1045</v>
      </c>
      <c r="N171" s="18">
        <v>1</v>
      </c>
      <c r="O171" s="18">
        <v>8</v>
      </c>
      <c r="P171">
        <v>9</v>
      </c>
      <c r="Q171" s="18" t="s">
        <v>34</v>
      </c>
      <c r="R171" s="18" t="s">
        <v>35</v>
      </c>
      <c r="S171" s="18" t="s">
        <v>38</v>
      </c>
      <c r="T171" s="18" t="s">
        <v>37</v>
      </c>
      <c r="U171" s="18">
        <v>2011</v>
      </c>
      <c r="V171" s="16">
        <f t="shared" si="4"/>
        <v>40587</v>
      </c>
      <c r="W171" s="18" t="str">
        <f t="shared" si="5"/>
        <v>Weedend</v>
      </c>
    </row>
    <row r="172" spans="1:23" x14ac:dyDescent="0.25">
      <c r="A172" s="19">
        <v>170</v>
      </c>
      <c r="B172" s="20">
        <v>40551</v>
      </c>
      <c r="C172" s="18">
        <v>1</v>
      </c>
      <c r="D172" s="18">
        <v>0</v>
      </c>
      <c r="E172" s="18">
        <v>1</v>
      </c>
      <c r="F172" s="18">
        <v>8</v>
      </c>
      <c r="G172" s="18" t="b">
        <v>0</v>
      </c>
      <c r="H172" s="18">
        <v>6</v>
      </c>
      <c r="I172" s="18">
        <v>3</v>
      </c>
      <c r="J172" s="18">
        <v>0.16</v>
      </c>
      <c r="K172">
        <v>0.18179999999999999</v>
      </c>
      <c r="L172">
        <v>0.93</v>
      </c>
      <c r="M172" s="18">
        <v>0.1045</v>
      </c>
      <c r="N172" s="18">
        <v>0</v>
      </c>
      <c r="O172" s="18">
        <v>15</v>
      </c>
      <c r="P172">
        <v>15</v>
      </c>
      <c r="Q172" s="18" t="s">
        <v>34</v>
      </c>
      <c r="R172" s="18" t="s">
        <v>35</v>
      </c>
      <c r="S172" s="18" t="s">
        <v>39</v>
      </c>
      <c r="T172" s="18" t="s">
        <v>37</v>
      </c>
      <c r="U172" s="18">
        <v>2011</v>
      </c>
      <c r="V172" s="16">
        <f t="shared" si="4"/>
        <v>40587</v>
      </c>
      <c r="W172" s="18" t="str">
        <f t="shared" si="5"/>
        <v>Weedend</v>
      </c>
    </row>
    <row r="173" spans="1:23" x14ac:dyDescent="0.25">
      <c r="A173" s="19">
        <v>171</v>
      </c>
      <c r="B173" s="20">
        <v>40551</v>
      </c>
      <c r="C173" s="18">
        <v>1</v>
      </c>
      <c r="D173" s="18">
        <v>0</v>
      </c>
      <c r="E173" s="18">
        <v>1</v>
      </c>
      <c r="F173" s="18">
        <v>9</v>
      </c>
      <c r="G173" s="18" t="b">
        <v>0</v>
      </c>
      <c r="H173" s="18">
        <v>6</v>
      </c>
      <c r="I173" s="18">
        <v>3</v>
      </c>
      <c r="J173" s="18">
        <v>0.16</v>
      </c>
      <c r="K173">
        <v>0.18179999999999999</v>
      </c>
      <c r="L173">
        <v>0.93</v>
      </c>
      <c r="M173" s="18">
        <v>0.1045</v>
      </c>
      <c r="N173" s="18">
        <v>0</v>
      </c>
      <c r="O173" s="18">
        <v>20</v>
      </c>
      <c r="P173">
        <v>20</v>
      </c>
      <c r="Q173" s="18" t="s">
        <v>34</v>
      </c>
      <c r="R173" s="18" t="s">
        <v>35</v>
      </c>
      <c r="S173" s="18" t="s">
        <v>39</v>
      </c>
      <c r="T173" s="18" t="s">
        <v>37</v>
      </c>
      <c r="U173" s="18">
        <v>2011</v>
      </c>
      <c r="V173" s="16">
        <f t="shared" si="4"/>
        <v>40587</v>
      </c>
      <c r="W173" s="18" t="str">
        <f t="shared" si="5"/>
        <v>Weedend</v>
      </c>
    </row>
    <row r="174" spans="1:23" x14ac:dyDescent="0.25">
      <c r="A174" s="19">
        <v>172</v>
      </c>
      <c r="B174" s="20">
        <v>40551</v>
      </c>
      <c r="C174" s="18">
        <v>1</v>
      </c>
      <c r="D174" s="18">
        <v>0</v>
      </c>
      <c r="E174" s="18">
        <v>1</v>
      </c>
      <c r="F174" s="18">
        <v>10</v>
      </c>
      <c r="G174" s="18" t="b">
        <v>0</v>
      </c>
      <c r="H174" s="18">
        <v>6</v>
      </c>
      <c r="I174" s="18">
        <v>2</v>
      </c>
      <c r="J174" s="18">
        <v>0.18</v>
      </c>
      <c r="K174">
        <v>0.19700000000000001</v>
      </c>
      <c r="L174">
        <v>0.8</v>
      </c>
      <c r="M174" s="18">
        <v>0.16420000000000001</v>
      </c>
      <c r="N174" s="18">
        <v>5</v>
      </c>
      <c r="O174" s="18">
        <v>56</v>
      </c>
      <c r="P174">
        <v>61</v>
      </c>
      <c r="Q174" s="18" t="s">
        <v>34</v>
      </c>
      <c r="R174" s="18" t="s">
        <v>35</v>
      </c>
      <c r="S174" s="18" t="s">
        <v>38</v>
      </c>
      <c r="T174" s="18" t="s">
        <v>37</v>
      </c>
      <c r="U174" s="18">
        <v>2011</v>
      </c>
      <c r="V174" s="16">
        <f t="shared" si="4"/>
        <v>40587</v>
      </c>
      <c r="W174" s="18" t="str">
        <f t="shared" si="5"/>
        <v>Weedend</v>
      </c>
    </row>
    <row r="175" spans="1:23" x14ac:dyDescent="0.25">
      <c r="A175" s="19">
        <v>173</v>
      </c>
      <c r="B175" s="20">
        <v>40551</v>
      </c>
      <c r="C175" s="18">
        <v>1</v>
      </c>
      <c r="D175" s="18">
        <v>0</v>
      </c>
      <c r="E175" s="18">
        <v>1</v>
      </c>
      <c r="F175" s="18">
        <v>11</v>
      </c>
      <c r="G175" s="18" t="b">
        <v>0</v>
      </c>
      <c r="H175" s="18">
        <v>6</v>
      </c>
      <c r="I175" s="18">
        <v>2</v>
      </c>
      <c r="J175" s="18">
        <v>0.2</v>
      </c>
      <c r="K175">
        <v>0.18179999999999999</v>
      </c>
      <c r="L175">
        <v>0.69</v>
      </c>
      <c r="M175" s="18">
        <v>0.3881</v>
      </c>
      <c r="N175" s="18">
        <v>2</v>
      </c>
      <c r="O175" s="18">
        <v>60</v>
      </c>
      <c r="P175">
        <v>62</v>
      </c>
      <c r="Q175" s="18" t="s">
        <v>34</v>
      </c>
      <c r="R175" s="18" t="s">
        <v>35</v>
      </c>
      <c r="S175" s="18" t="s">
        <v>38</v>
      </c>
      <c r="T175" s="18" t="s">
        <v>37</v>
      </c>
      <c r="U175" s="18">
        <v>2011</v>
      </c>
      <c r="V175" s="16">
        <f t="shared" si="4"/>
        <v>40587</v>
      </c>
      <c r="W175" s="18" t="str">
        <f t="shared" si="5"/>
        <v>Weedend</v>
      </c>
    </row>
    <row r="176" spans="1:23" x14ac:dyDescent="0.25">
      <c r="A176" s="19">
        <v>174</v>
      </c>
      <c r="B176" s="20">
        <v>40551</v>
      </c>
      <c r="C176" s="18">
        <v>1</v>
      </c>
      <c r="D176" s="18">
        <v>0</v>
      </c>
      <c r="E176" s="18">
        <v>1</v>
      </c>
      <c r="F176" s="18">
        <v>12</v>
      </c>
      <c r="G176" s="18" t="b">
        <v>0</v>
      </c>
      <c r="H176" s="18">
        <v>6</v>
      </c>
      <c r="I176" s="18">
        <v>2</v>
      </c>
      <c r="J176" s="18">
        <v>0.2</v>
      </c>
      <c r="K176">
        <v>0.18179999999999999</v>
      </c>
      <c r="L176">
        <v>0.59</v>
      </c>
      <c r="M176" s="18">
        <v>0.35820000000000002</v>
      </c>
      <c r="N176" s="18">
        <v>8</v>
      </c>
      <c r="O176" s="18">
        <v>90</v>
      </c>
      <c r="P176">
        <v>98</v>
      </c>
      <c r="Q176" s="18" t="s">
        <v>34</v>
      </c>
      <c r="R176" s="18" t="s">
        <v>35</v>
      </c>
      <c r="S176" s="18" t="s">
        <v>38</v>
      </c>
      <c r="T176" s="18" t="s">
        <v>37</v>
      </c>
      <c r="U176" s="18">
        <v>2011</v>
      </c>
      <c r="V176" s="16">
        <f t="shared" si="4"/>
        <v>40587</v>
      </c>
      <c r="W176" s="18" t="str">
        <f t="shared" si="5"/>
        <v>Weedend</v>
      </c>
    </row>
    <row r="177" spans="1:23" x14ac:dyDescent="0.25">
      <c r="A177" s="19">
        <v>175</v>
      </c>
      <c r="B177" s="20">
        <v>40551</v>
      </c>
      <c r="C177" s="18">
        <v>1</v>
      </c>
      <c r="D177" s="18">
        <v>0</v>
      </c>
      <c r="E177" s="18">
        <v>1</v>
      </c>
      <c r="F177" s="18">
        <v>13</v>
      </c>
      <c r="G177" s="18" t="b">
        <v>0</v>
      </c>
      <c r="H177" s="18">
        <v>6</v>
      </c>
      <c r="I177" s="18">
        <v>1</v>
      </c>
      <c r="J177" s="18">
        <v>0.2</v>
      </c>
      <c r="K177">
        <v>0.18179999999999999</v>
      </c>
      <c r="L177">
        <v>0.44</v>
      </c>
      <c r="M177" s="18">
        <v>0.32840000000000003</v>
      </c>
      <c r="N177" s="18">
        <v>7</v>
      </c>
      <c r="O177" s="18">
        <v>95</v>
      </c>
      <c r="P177">
        <v>102</v>
      </c>
      <c r="Q177" s="18" t="s">
        <v>34</v>
      </c>
      <c r="R177" s="18" t="s">
        <v>35</v>
      </c>
      <c r="S177" s="18" t="s">
        <v>36</v>
      </c>
      <c r="T177" s="18" t="s">
        <v>37</v>
      </c>
      <c r="U177" s="18">
        <v>2011</v>
      </c>
      <c r="V177" s="16">
        <f t="shared" si="4"/>
        <v>40587</v>
      </c>
      <c r="W177" s="18" t="str">
        <f t="shared" si="5"/>
        <v>Weedend</v>
      </c>
    </row>
    <row r="178" spans="1:23" x14ac:dyDescent="0.25">
      <c r="A178" s="19">
        <v>176</v>
      </c>
      <c r="B178" s="20">
        <v>40551</v>
      </c>
      <c r="C178" s="18">
        <v>1</v>
      </c>
      <c r="D178" s="18">
        <v>0</v>
      </c>
      <c r="E178" s="18">
        <v>1</v>
      </c>
      <c r="F178" s="18">
        <v>14</v>
      </c>
      <c r="G178" s="18" t="b">
        <v>0</v>
      </c>
      <c r="H178" s="18">
        <v>6</v>
      </c>
      <c r="I178" s="18">
        <v>1</v>
      </c>
      <c r="J178" s="18">
        <v>0.2</v>
      </c>
      <c r="K178">
        <v>0.16669999999999999</v>
      </c>
      <c r="L178">
        <v>0.32</v>
      </c>
      <c r="M178" s="18">
        <v>0.49249999999999999</v>
      </c>
      <c r="N178" s="18">
        <v>12</v>
      </c>
      <c r="O178" s="18">
        <v>83</v>
      </c>
      <c r="P178">
        <v>95</v>
      </c>
      <c r="Q178" s="18" t="s">
        <v>34</v>
      </c>
      <c r="R178" s="18" t="s">
        <v>35</v>
      </c>
      <c r="S178" s="18" t="s">
        <v>36</v>
      </c>
      <c r="T178" s="18" t="s">
        <v>37</v>
      </c>
      <c r="U178" s="18">
        <v>2011</v>
      </c>
      <c r="V178" s="16">
        <f t="shared" si="4"/>
        <v>40587</v>
      </c>
      <c r="W178" s="18" t="str">
        <f t="shared" si="5"/>
        <v>Weedend</v>
      </c>
    </row>
    <row r="179" spans="1:23" x14ac:dyDescent="0.25">
      <c r="A179" s="19">
        <v>177</v>
      </c>
      <c r="B179" s="20">
        <v>40551</v>
      </c>
      <c r="C179" s="18">
        <v>1</v>
      </c>
      <c r="D179" s="18">
        <v>0</v>
      </c>
      <c r="E179" s="18">
        <v>1</v>
      </c>
      <c r="F179" s="18">
        <v>15</v>
      </c>
      <c r="G179" s="18" t="b">
        <v>0</v>
      </c>
      <c r="H179" s="18">
        <v>6</v>
      </c>
      <c r="I179" s="18">
        <v>1</v>
      </c>
      <c r="J179" s="18">
        <v>0.2</v>
      </c>
      <c r="K179">
        <v>0.16669999999999999</v>
      </c>
      <c r="L179">
        <v>0.32</v>
      </c>
      <c r="M179" s="18">
        <v>0.44779999999999998</v>
      </c>
      <c r="N179" s="18">
        <v>5</v>
      </c>
      <c r="O179" s="18">
        <v>69</v>
      </c>
      <c r="P179">
        <v>74</v>
      </c>
      <c r="Q179" s="18" t="s">
        <v>34</v>
      </c>
      <c r="R179" s="18" t="s">
        <v>35</v>
      </c>
      <c r="S179" s="18" t="s">
        <v>36</v>
      </c>
      <c r="T179" s="18" t="s">
        <v>37</v>
      </c>
      <c r="U179" s="18">
        <v>2011</v>
      </c>
      <c r="V179" s="16">
        <f t="shared" si="4"/>
        <v>40587</v>
      </c>
      <c r="W179" s="18" t="str">
        <f t="shared" si="5"/>
        <v>Weedend</v>
      </c>
    </row>
    <row r="180" spans="1:23" x14ac:dyDescent="0.25">
      <c r="A180" s="19">
        <v>178</v>
      </c>
      <c r="B180" s="20">
        <v>40551</v>
      </c>
      <c r="C180" s="18">
        <v>1</v>
      </c>
      <c r="D180" s="18">
        <v>0</v>
      </c>
      <c r="E180" s="18">
        <v>1</v>
      </c>
      <c r="F180" s="18">
        <v>16</v>
      </c>
      <c r="G180" s="18" t="b">
        <v>0</v>
      </c>
      <c r="H180" s="18">
        <v>6</v>
      </c>
      <c r="I180" s="18">
        <v>1</v>
      </c>
      <c r="J180" s="18">
        <v>0.18</v>
      </c>
      <c r="K180">
        <v>0.13639999999999999</v>
      </c>
      <c r="L180">
        <v>0.28999999999999998</v>
      </c>
      <c r="M180" s="18">
        <v>0.44779999999999998</v>
      </c>
      <c r="N180" s="18">
        <v>8</v>
      </c>
      <c r="O180" s="18">
        <v>68</v>
      </c>
      <c r="P180">
        <v>76</v>
      </c>
      <c r="Q180" s="18" t="s">
        <v>34</v>
      </c>
      <c r="R180" s="18" t="s">
        <v>35</v>
      </c>
      <c r="S180" s="18" t="s">
        <v>36</v>
      </c>
      <c r="T180" s="18" t="s">
        <v>37</v>
      </c>
      <c r="U180" s="18">
        <v>2011</v>
      </c>
      <c r="V180" s="16">
        <f t="shared" si="4"/>
        <v>40587</v>
      </c>
      <c r="W180" s="18" t="str">
        <f t="shared" si="5"/>
        <v>Weedend</v>
      </c>
    </row>
    <row r="181" spans="1:23" x14ac:dyDescent="0.25">
      <c r="A181" s="19">
        <v>179</v>
      </c>
      <c r="B181" s="20">
        <v>40551</v>
      </c>
      <c r="C181" s="18">
        <v>1</v>
      </c>
      <c r="D181" s="18">
        <v>0</v>
      </c>
      <c r="E181" s="18">
        <v>1</v>
      </c>
      <c r="F181" s="18">
        <v>17</v>
      </c>
      <c r="G181" s="18" t="b">
        <v>0</v>
      </c>
      <c r="H181" s="18">
        <v>6</v>
      </c>
      <c r="I181" s="18">
        <v>1</v>
      </c>
      <c r="J181" s="18">
        <v>0.16</v>
      </c>
      <c r="K181">
        <v>0.1212</v>
      </c>
      <c r="L181">
        <v>0.37</v>
      </c>
      <c r="M181" s="18">
        <v>0.55220000000000002</v>
      </c>
      <c r="N181" s="18">
        <v>5</v>
      </c>
      <c r="O181" s="18">
        <v>64</v>
      </c>
      <c r="P181">
        <v>69</v>
      </c>
      <c r="Q181" s="18" t="s">
        <v>34</v>
      </c>
      <c r="R181" s="18" t="s">
        <v>35</v>
      </c>
      <c r="S181" s="18" t="s">
        <v>36</v>
      </c>
      <c r="T181" s="18" t="s">
        <v>37</v>
      </c>
      <c r="U181" s="18">
        <v>2011</v>
      </c>
      <c r="V181" s="16">
        <f t="shared" si="4"/>
        <v>40587</v>
      </c>
      <c r="W181" s="18" t="str">
        <f t="shared" si="5"/>
        <v>Weedend</v>
      </c>
    </row>
    <row r="182" spans="1:23" x14ac:dyDescent="0.25">
      <c r="A182" s="19">
        <v>180</v>
      </c>
      <c r="B182" s="20">
        <v>40551</v>
      </c>
      <c r="C182" s="18">
        <v>1</v>
      </c>
      <c r="D182" s="18">
        <v>0</v>
      </c>
      <c r="E182" s="18">
        <v>1</v>
      </c>
      <c r="F182" s="18">
        <v>18</v>
      </c>
      <c r="G182" s="18" t="b">
        <v>0</v>
      </c>
      <c r="H182" s="18">
        <v>6</v>
      </c>
      <c r="I182" s="18">
        <v>1</v>
      </c>
      <c r="J182" s="18">
        <v>0.14000000000000001</v>
      </c>
      <c r="K182">
        <v>0.1212</v>
      </c>
      <c r="L182">
        <v>0.39</v>
      </c>
      <c r="M182" s="18">
        <v>0.29849999999999999</v>
      </c>
      <c r="N182" s="18">
        <v>3</v>
      </c>
      <c r="O182" s="18">
        <v>52</v>
      </c>
      <c r="P182">
        <v>55</v>
      </c>
      <c r="Q182" s="18" t="s">
        <v>34</v>
      </c>
      <c r="R182" s="18" t="s">
        <v>35</v>
      </c>
      <c r="S182" s="18" t="s">
        <v>36</v>
      </c>
      <c r="T182" s="18" t="s">
        <v>37</v>
      </c>
      <c r="U182" s="18">
        <v>2011</v>
      </c>
      <c r="V182" s="16">
        <f t="shared" si="4"/>
        <v>40587</v>
      </c>
      <c r="W182" s="18" t="str">
        <f t="shared" si="5"/>
        <v>Weedend</v>
      </c>
    </row>
    <row r="183" spans="1:23" x14ac:dyDescent="0.25">
      <c r="A183" s="19">
        <v>181</v>
      </c>
      <c r="B183" s="20">
        <v>40551</v>
      </c>
      <c r="C183" s="18">
        <v>1</v>
      </c>
      <c r="D183" s="18">
        <v>0</v>
      </c>
      <c r="E183" s="18">
        <v>1</v>
      </c>
      <c r="F183" s="18">
        <v>19</v>
      </c>
      <c r="G183" s="18" t="b">
        <v>0</v>
      </c>
      <c r="H183" s="18">
        <v>6</v>
      </c>
      <c r="I183" s="18">
        <v>1</v>
      </c>
      <c r="J183" s="18">
        <v>0.14000000000000001</v>
      </c>
      <c r="K183">
        <v>0.1212</v>
      </c>
      <c r="L183">
        <v>0.36</v>
      </c>
      <c r="M183" s="18">
        <v>0.25369999999999998</v>
      </c>
      <c r="N183" s="18">
        <v>4</v>
      </c>
      <c r="O183" s="18">
        <v>26</v>
      </c>
      <c r="P183">
        <v>30</v>
      </c>
      <c r="Q183" s="18" t="s">
        <v>34</v>
      </c>
      <c r="R183" s="18" t="s">
        <v>35</v>
      </c>
      <c r="S183" s="18" t="s">
        <v>36</v>
      </c>
      <c r="T183" s="18" t="s">
        <v>37</v>
      </c>
      <c r="U183" s="18">
        <v>2011</v>
      </c>
      <c r="V183" s="16">
        <f t="shared" si="4"/>
        <v>40587</v>
      </c>
      <c r="W183" s="18" t="str">
        <f t="shared" si="5"/>
        <v>Weedend</v>
      </c>
    </row>
    <row r="184" spans="1:23" x14ac:dyDescent="0.25">
      <c r="A184" s="19">
        <v>182</v>
      </c>
      <c r="B184" s="20">
        <v>40551</v>
      </c>
      <c r="C184" s="18">
        <v>1</v>
      </c>
      <c r="D184" s="18">
        <v>0</v>
      </c>
      <c r="E184" s="18">
        <v>1</v>
      </c>
      <c r="F184" s="18">
        <v>20</v>
      </c>
      <c r="G184" s="18" t="b">
        <v>0</v>
      </c>
      <c r="H184" s="18">
        <v>6</v>
      </c>
      <c r="I184" s="18">
        <v>1</v>
      </c>
      <c r="J184" s="18">
        <v>0.12</v>
      </c>
      <c r="K184">
        <v>0.1212</v>
      </c>
      <c r="L184">
        <v>0.36</v>
      </c>
      <c r="M184" s="18">
        <v>0.25369999999999998</v>
      </c>
      <c r="N184" s="18">
        <v>0</v>
      </c>
      <c r="O184" s="18">
        <v>28</v>
      </c>
      <c r="P184">
        <v>28</v>
      </c>
      <c r="Q184" s="18" t="s">
        <v>34</v>
      </c>
      <c r="R184" s="18" t="s">
        <v>35</v>
      </c>
      <c r="S184" s="18" t="s">
        <v>36</v>
      </c>
      <c r="T184" s="18" t="s">
        <v>37</v>
      </c>
      <c r="U184" s="18">
        <v>2011</v>
      </c>
      <c r="V184" s="16">
        <f t="shared" si="4"/>
        <v>40587</v>
      </c>
      <c r="W184" s="18" t="str">
        <f t="shared" si="5"/>
        <v>Weedend</v>
      </c>
    </row>
    <row r="185" spans="1:23" x14ac:dyDescent="0.25">
      <c r="A185" s="19">
        <v>183</v>
      </c>
      <c r="B185" s="20">
        <v>40551</v>
      </c>
      <c r="C185" s="18">
        <v>1</v>
      </c>
      <c r="D185" s="18">
        <v>0</v>
      </c>
      <c r="E185" s="18">
        <v>1</v>
      </c>
      <c r="F185" s="18">
        <v>21</v>
      </c>
      <c r="G185" s="18" t="b">
        <v>0</v>
      </c>
      <c r="H185" s="18">
        <v>6</v>
      </c>
      <c r="I185" s="18">
        <v>1</v>
      </c>
      <c r="J185" s="18">
        <v>0.12</v>
      </c>
      <c r="K185">
        <v>0.1061</v>
      </c>
      <c r="L185">
        <v>0.39</v>
      </c>
      <c r="M185" s="18">
        <v>0.35820000000000002</v>
      </c>
      <c r="N185" s="18">
        <v>2</v>
      </c>
      <c r="O185" s="18">
        <v>35</v>
      </c>
      <c r="P185">
        <v>37</v>
      </c>
      <c r="Q185" s="18" t="s">
        <v>34</v>
      </c>
      <c r="R185" s="18" t="s">
        <v>35</v>
      </c>
      <c r="S185" s="18" t="s">
        <v>36</v>
      </c>
      <c r="T185" s="18" t="s">
        <v>37</v>
      </c>
      <c r="U185" s="18">
        <v>2011</v>
      </c>
      <c r="V185" s="16">
        <f t="shared" si="4"/>
        <v>40587</v>
      </c>
      <c r="W185" s="18" t="str">
        <f t="shared" si="5"/>
        <v>Weedend</v>
      </c>
    </row>
    <row r="186" spans="1:23" x14ac:dyDescent="0.25">
      <c r="A186" s="19">
        <v>184</v>
      </c>
      <c r="B186" s="20">
        <v>40551</v>
      </c>
      <c r="C186" s="18">
        <v>1</v>
      </c>
      <c r="D186" s="18">
        <v>0</v>
      </c>
      <c r="E186" s="18">
        <v>1</v>
      </c>
      <c r="F186" s="18">
        <v>22</v>
      </c>
      <c r="G186" s="18" t="b">
        <v>0</v>
      </c>
      <c r="H186" s="18">
        <v>6</v>
      </c>
      <c r="I186" s="18">
        <v>1</v>
      </c>
      <c r="J186" s="18">
        <v>0.12</v>
      </c>
      <c r="K186">
        <v>0.1061</v>
      </c>
      <c r="L186">
        <v>0.36</v>
      </c>
      <c r="M186" s="18">
        <v>0.3881</v>
      </c>
      <c r="N186" s="18">
        <v>1</v>
      </c>
      <c r="O186" s="18">
        <v>33</v>
      </c>
      <c r="P186">
        <v>34</v>
      </c>
      <c r="Q186" s="18" t="s">
        <v>34</v>
      </c>
      <c r="R186" s="18" t="s">
        <v>35</v>
      </c>
      <c r="S186" s="18" t="s">
        <v>36</v>
      </c>
      <c r="T186" s="18" t="s">
        <v>37</v>
      </c>
      <c r="U186" s="18">
        <v>2011</v>
      </c>
      <c r="V186" s="16">
        <f t="shared" si="4"/>
        <v>40587</v>
      </c>
      <c r="W186" s="18" t="str">
        <f t="shared" si="5"/>
        <v>Weedend</v>
      </c>
    </row>
    <row r="187" spans="1:23" x14ac:dyDescent="0.25">
      <c r="A187" s="19">
        <v>185</v>
      </c>
      <c r="B187" s="20">
        <v>40551</v>
      </c>
      <c r="C187" s="18">
        <v>1</v>
      </c>
      <c r="D187" s="18">
        <v>0</v>
      </c>
      <c r="E187" s="18">
        <v>1</v>
      </c>
      <c r="F187" s="18">
        <v>23</v>
      </c>
      <c r="G187" s="18" t="b">
        <v>0</v>
      </c>
      <c r="H187" s="18">
        <v>6</v>
      </c>
      <c r="I187" s="18">
        <v>1</v>
      </c>
      <c r="J187" s="18">
        <v>0.1</v>
      </c>
      <c r="K187">
        <v>6.0600000000000001E-2</v>
      </c>
      <c r="L187">
        <v>0.39</v>
      </c>
      <c r="M187" s="18">
        <v>0.44779999999999998</v>
      </c>
      <c r="N187" s="18">
        <v>0</v>
      </c>
      <c r="O187" s="18">
        <v>22</v>
      </c>
      <c r="P187">
        <v>22</v>
      </c>
      <c r="Q187" s="18" t="s">
        <v>34</v>
      </c>
      <c r="R187" s="18" t="s">
        <v>35</v>
      </c>
      <c r="S187" s="18" t="s">
        <v>36</v>
      </c>
      <c r="T187" s="18" t="s">
        <v>37</v>
      </c>
      <c r="U187" s="18">
        <v>2011</v>
      </c>
      <c r="V187" s="16">
        <f t="shared" si="4"/>
        <v>40587</v>
      </c>
      <c r="W187" s="18" t="str">
        <f t="shared" si="5"/>
        <v>Weedend</v>
      </c>
    </row>
    <row r="188" spans="1:23" x14ac:dyDescent="0.25">
      <c r="A188" s="19">
        <v>186</v>
      </c>
      <c r="B188" s="20">
        <v>40552</v>
      </c>
      <c r="C188" s="18">
        <v>1</v>
      </c>
      <c r="D188" s="18">
        <v>0</v>
      </c>
      <c r="E188" s="18">
        <v>1</v>
      </c>
      <c r="F188" s="18">
        <v>0</v>
      </c>
      <c r="G188" s="18" t="b">
        <v>0</v>
      </c>
      <c r="H188" s="18">
        <v>0</v>
      </c>
      <c r="I188" s="18">
        <v>1</v>
      </c>
      <c r="J188" s="18">
        <v>0.1</v>
      </c>
      <c r="K188">
        <v>7.5800000000000006E-2</v>
      </c>
      <c r="L188">
        <v>0.42</v>
      </c>
      <c r="M188" s="18">
        <v>0.3881</v>
      </c>
      <c r="N188" s="18">
        <v>1</v>
      </c>
      <c r="O188" s="18">
        <v>24</v>
      </c>
      <c r="P188">
        <v>25</v>
      </c>
      <c r="Q188" s="18" t="s">
        <v>34</v>
      </c>
      <c r="R188" s="18" t="s">
        <v>35</v>
      </c>
      <c r="S188" s="18" t="s">
        <v>36</v>
      </c>
      <c r="T188" s="18" t="s">
        <v>40</v>
      </c>
      <c r="U188" s="18">
        <v>2011</v>
      </c>
      <c r="V188" s="16">
        <f t="shared" si="4"/>
        <v>40587</v>
      </c>
      <c r="W188" s="18" t="str">
        <f t="shared" si="5"/>
        <v>Weedend</v>
      </c>
    </row>
    <row r="189" spans="1:23" x14ac:dyDescent="0.25">
      <c r="A189" s="19">
        <v>187</v>
      </c>
      <c r="B189" s="20">
        <v>40552</v>
      </c>
      <c r="C189" s="18">
        <v>1</v>
      </c>
      <c r="D189" s="18">
        <v>0</v>
      </c>
      <c r="E189" s="18">
        <v>1</v>
      </c>
      <c r="F189" s="18">
        <v>1</v>
      </c>
      <c r="G189" s="18" t="b">
        <v>0</v>
      </c>
      <c r="H189" s="18">
        <v>0</v>
      </c>
      <c r="I189" s="18">
        <v>1</v>
      </c>
      <c r="J189" s="18">
        <v>0.1</v>
      </c>
      <c r="K189">
        <v>6.0600000000000001E-2</v>
      </c>
      <c r="L189">
        <v>0.42</v>
      </c>
      <c r="M189" s="18">
        <v>0.4627</v>
      </c>
      <c r="N189" s="18">
        <v>0</v>
      </c>
      <c r="O189" s="18">
        <v>12</v>
      </c>
      <c r="P189">
        <v>12</v>
      </c>
      <c r="Q189" s="18" t="s">
        <v>34</v>
      </c>
      <c r="R189" s="18" t="s">
        <v>35</v>
      </c>
      <c r="S189" s="18" t="s">
        <v>36</v>
      </c>
      <c r="T189" s="18" t="s">
        <v>40</v>
      </c>
      <c r="U189" s="18">
        <v>2011</v>
      </c>
      <c r="V189" s="16">
        <f t="shared" si="4"/>
        <v>40587</v>
      </c>
      <c r="W189" s="18" t="str">
        <f t="shared" si="5"/>
        <v>Weedend</v>
      </c>
    </row>
    <row r="190" spans="1:23" x14ac:dyDescent="0.25">
      <c r="A190" s="19">
        <v>188</v>
      </c>
      <c r="B190" s="20">
        <v>40552</v>
      </c>
      <c r="C190" s="18">
        <v>1</v>
      </c>
      <c r="D190" s="18">
        <v>0</v>
      </c>
      <c r="E190" s="18">
        <v>1</v>
      </c>
      <c r="F190" s="18">
        <v>2</v>
      </c>
      <c r="G190" s="18" t="b">
        <v>0</v>
      </c>
      <c r="H190" s="18">
        <v>0</v>
      </c>
      <c r="I190" s="18">
        <v>1</v>
      </c>
      <c r="J190" s="18">
        <v>0.1</v>
      </c>
      <c r="K190">
        <v>6.0600000000000001E-2</v>
      </c>
      <c r="L190">
        <v>0.46</v>
      </c>
      <c r="M190" s="18">
        <v>0.4627</v>
      </c>
      <c r="N190" s="18">
        <v>0</v>
      </c>
      <c r="O190" s="18">
        <v>11</v>
      </c>
      <c r="P190">
        <v>11</v>
      </c>
      <c r="Q190" s="18" t="s">
        <v>34</v>
      </c>
      <c r="R190" s="18" t="s">
        <v>35</v>
      </c>
      <c r="S190" s="18" t="s">
        <v>36</v>
      </c>
      <c r="T190" s="18" t="s">
        <v>40</v>
      </c>
      <c r="U190" s="18">
        <v>2011</v>
      </c>
      <c r="V190" s="16">
        <f t="shared" si="4"/>
        <v>40587</v>
      </c>
      <c r="W190" s="18" t="str">
        <f t="shared" si="5"/>
        <v>Weedend</v>
      </c>
    </row>
    <row r="191" spans="1:23" x14ac:dyDescent="0.25">
      <c r="A191" s="19">
        <v>189</v>
      </c>
      <c r="B191" s="20">
        <v>40552</v>
      </c>
      <c r="C191" s="18">
        <v>1</v>
      </c>
      <c r="D191" s="18">
        <v>0</v>
      </c>
      <c r="E191" s="18">
        <v>1</v>
      </c>
      <c r="F191" s="18">
        <v>3</v>
      </c>
      <c r="G191" s="18" t="b">
        <v>0</v>
      </c>
      <c r="H191" s="18">
        <v>0</v>
      </c>
      <c r="I191" s="18">
        <v>1</v>
      </c>
      <c r="J191" s="18">
        <v>0.1</v>
      </c>
      <c r="K191">
        <v>7.5800000000000006E-2</v>
      </c>
      <c r="L191">
        <v>0.46</v>
      </c>
      <c r="M191" s="18">
        <v>0.41789999999999999</v>
      </c>
      <c r="N191" s="18">
        <v>0</v>
      </c>
      <c r="O191" s="18">
        <v>4</v>
      </c>
      <c r="P191">
        <v>4</v>
      </c>
      <c r="Q191" s="18" t="s">
        <v>34</v>
      </c>
      <c r="R191" s="18" t="s">
        <v>35</v>
      </c>
      <c r="S191" s="18" t="s">
        <v>36</v>
      </c>
      <c r="T191" s="18" t="s">
        <v>40</v>
      </c>
      <c r="U191" s="18">
        <v>2011</v>
      </c>
      <c r="V191" s="16">
        <f t="shared" si="4"/>
        <v>40587</v>
      </c>
      <c r="W191" s="18" t="str">
        <f t="shared" si="5"/>
        <v>Weedend</v>
      </c>
    </row>
    <row r="192" spans="1:23" x14ac:dyDescent="0.25">
      <c r="A192" s="19">
        <v>190</v>
      </c>
      <c r="B192" s="20">
        <v>40552</v>
      </c>
      <c r="C192" s="18">
        <v>1</v>
      </c>
      <c r="D192" s="18">
        <v>0</v>
      </c>
      <c r="E192" s="18">
        <v>1</v>
      </c>
      <c r="F192" s="18">
        <v>4</v>
      </c>
      <c r="G192" s="18" t="b">
        <v>0</v>
      </c>
      <c r="H192" s="18">
        <v>0</v>
      </c>
      <c r="I192" s="18">
        <v>1</v>
      </c>
      <c r="J192" s="18">
        <v>0.08</v>
      </c>
      <c r="K192">
        <v>9.0899999999999995E-2</v>
      </c>
      <c r="L192">
        <v>0.53</v>
      </c>
      <c r="M192" s="18">
        <v>0.19400000000000001</v>
      </c>
      <c r="N192" s="18">
        <v>0</v>
      </c>
      <c r="O192" s="18">
        <v>1</v>
      </c>
      <c r="P192">
        <v>1</v>
      </c>
      <c r="Q192" s="18" t="s">
        <v>34</v>
      </c>
      <c r="R192" s="18" t="s">
        <v>35</v>
      </c>
      <c r="S192" s="18" t="s">
        <v>36</v>
      </c>
      <c r="T192" s="18" t="s">
        <v>40</v>
      </c>
      <c r="U192" s="18">
        <v>2011</v>
      </c>
      <c r="V192" s="16">
        <f t="shared" si="4"/>
        <v>40587</v>
      </c>
      <c r="W192" s="18" t="str">
        <f t="shared" si="5"/>
        <v>Weedend</v>
      </c>
    </row>
    <row r="193" spans="1:23" x14ac:dyDescent="0.25">
      <c r="A193" s="19">
        <v>191</v>
      </c>
      <c r="B193" s="20">
        <v>40552</v>
      </c>
      <c r="C193" s="18">
        <v>1</v>
      </c>
      <c r="D193" s="18">
        <v>0</v>
      </c>
      <c r="E193" s="18">
        <v>1</v>
      </c>
      <c r="F193" s="18">
        <v>5</v>
      </c>
      <c r="G193" s="18" t="b">
        <v>0</v>
      </c>
      <c r="H193" s="18">
        <v>0</v>
      </c>
      <c r="I193" s="18">
        <v>1</v>
      </c>
      <c r="J193" s="18">
        <v>0.08</v>
      </c>
      <c r="K193">
        <v>9.0899999999999995E-2</v>
      </c>
      <c r="L193">
        <v>0.53</v>
      </c>
      <c r="M193" s="18">
        <v>0.19400000000000001</v>
      </c>
      <c r="N193" s="18">
        <v>0</v>
      </c>
      <c r="O193" s="18">
        <v>1</v>
      </c>
      <c r="P193">
        <v>1</v>
      </c>
      <c r="Q193" s="18" t="s">
        <v>34</v>
      </c>
      <c r="R193" s="18" t="s">
        <v>35</v>
      </c>
      <c r="S193" s="18" t="s">
        <v>36</v>
      </c>
      <c r="T193" s="18" t="s">
        <v>40</v>
      </c>
      <c r="U193" s="18">
        <v>2011</v>
      </c>
      <c r="V193" s="16">
        <f t="shared" si="4"/>
        <v>40587</v>
      </c>
      <c r="W193" s="18" t="str">
        <f t="shared" si="5"/>
        <v>Weedend</v>
      </c>
    </row>
    <row r="194" spans="1:23" x14ac:dyDescent="0.25">
      <c r="A194" s="19">
        <v>192</v>
      </c>
      <c r="B194" s="20">
        <v>40552</v>
      </c>
      <c r="C194" s="18">
        <v>1</v>
      </c>
      <c r="D194" s="18">
        <v>0</v>
      </c>
      <c r="E194" s="18">
        <v>1</v>
      </c>
      <c r="F194" s="18">
        <v>6</v>
      </c>
      <c r="G194" s="18" t="b">
        <v>0</v>
      </c>
      <c r="H194" s="18">
        <v>0</v>
      </c>
      <c r="I194" s="18">
        <v>1</v>
      </c>
      <c r="J194" s="18">
        <v>0.1</v>
      </c>
      <c r="K194">
        <v>9.0899999999999995E-2</v>
      </c>
      <c r="L194">
        <v>0.49</v>
      </c>
      <c r="M194" s="18">
        <v>0.28360000000000002</v>
      </c>
      <c r="N194" s="18">
        <v>0</v>
      </c>
      <c r="O194" s="18">
        <v>1</v>
      </c>
      <c r="P194">
        <v>1</v>
      </c>
      <c r="Q194" s="18" t="s">
        <v>34</v>
      </c>
      <c r="R194" s="18" t="s">
        <v>35</v>
      </c>
      <c r="S194" s="18" t="s">
        <v>36</v>
      </c>
      <c r="T194" s="18" t="s">
        <v>40</v>
      </c>
      <c r="U194" s="18">
        <v>2011</v>
      </c>
      <c r="V194" s="16">
        <f t="shared" si="4"/>
        <v>40587</v>
      </c>
      <c r="W194" s="18" t="str">
        <f t="shared" si="5"/>
        <v>Weedend</v>
      </c>
    </row>
    <row r="195" spans="1:23" x14ac:dyDescent="0.25">
      <c r="A195" s="19">
        <v>193</v>
      </c>
      <c r="B195" s="20">
        <v>40552</v>
      </c>
      <c r="C195" s="18">
        <v>1</v>
      </c>
      <c r="D195" s="18">
        <v>0</v>
      </c>
      <c r="E195" s="18">
        <v>1</v>
      </c>
      <c r="F195" s="18">
        <v>7</v>
      </c>
      <c r="G195" s="18" t="b">
        <v>0</v>
      </c>
      <c r="H195" s="18">
        <v>0</v>
      </c>
      <c r="I195" s="18">
        <v>1</v>
      </c>
      <c r="J195" s="18">
        <v>0.08</v>
      </c>
      <c r="K195">
        <v>9.0899999999999995E-2</v>
      </c>
      <c r="L195">
        <v>0.53</v>
      </c>
      <c r="M195" s="18">
        <v>0.19400000000000001</v>
      </c>
      <c r="N195" s="18">
        <v>1</v>
      </c>
      <c r="O195" s="18">
        <v>5</v>
      </c>
      <c r="P195">
        <v>6</v>
      </c>
      <c r="Q195" s="18" t="s">
        <v>34</v>
      </c>
      <c r="R195" s="18" t="s">
        <v>35</v>
      </c>
      <c r="S195" s="18" t="s">
        <v>36</v>
      </c>
      <c r="T195" s="18" t="s">
        <v>40</v>
      </c>
      <c r="U195" s="18">
        <v>2011</v>
      </c>
      <c r="V195" s="16">
        <f t="shared" ref="V195:V258" si="6">INDEX(B195:B1193,MATCH(MAX(K195:K1193),K195:K1193,0))</f>
        <v>40587</v>
      </c>
      <c r="W195" s="18" t="str">
        <f t="shared" ref="W195:W258" si="7">IF(G195=TRUE,"Holiday",IF(OR(H195=0,H195=6),"Weedend","Weekday"))</f>
        <v>Weedend</v>
      </c>
    </row>
    <row r="196" spans="1:23" x14ac:dyDescent="0.25">
      <c r="A196" s="19">
        <v>194</v>
      </c>
      <c r="B196" s="20">
        <v>40552</v>
      </c>
      <c r="C196" s="18">
        <v>1</v>
      </c>
      <c r="D196" s="18">
        <v>0</v>
      </c>
      <c r="E196" s="18">
        <v>1</v>
      </c>
      <c r="F196" s="18">
        <v>8</v>
      </c>
      <c r="G196" s="18" t="b">
        <v>0</v>
      </c>
      <c r="H196" s="18">
        <v>0</v>
      </c>
      <c r="I196" s="18">
        <v>1</v>
      </c>
      <c r="J196" s="18">
        <v>0.1</v>
      </c>
      <c r="K196">
        <v>9.0899999999999995E-2</v>
      </c>
      <c r="L196">
        <v>0.49</v>
      </c>
      <c r="M196" s="18">
        <v>0.28360000000000002</v>
      </c>
      <c r="N196" s="18">
        <v>0</v>
      </c>
      <c r="O196" s="18">
        <v>10</v>
      </c>
      <c r="P196">
        <v>10</v>
      </c>
      <c r="Q196" s="18" t="s">
        <v>34</v>
      </c>
      <c r="R196" s="18" t="s">
        <v>35</v>
      </c>
      <c r="S196" s="18" t="s">
        <v>36</v>
      </c>
      <c r="T196" s="18" t="s">
        <v>40</v>
      </c>
      <c r="U196" s="18">
        <v>2011</v>
      </c>
      <c r="V196" s="16">
        <f t="shared" si="6"/>
        <v>40587</v>
      </c>
      <c r="W196" s="18" t="str">
        <f t="shared" si="7"/>
        <v>Weedend</v>
      </c>
    </row>
    <row r="197" spans="1:23" x14ac:dyDescent="0.25">
      <c r="A197" s="19">
        <v>195</v>
      </c>
      <c r="B197" s="20">
        <v>40552</v>
      </c>
      <c r="C197" s="18">
        <v>1</v>
      </c>
      <c r="D197" s="18">
        <v>0</v>
      </c>
      <c r="E197" s="18">
        <v>1</v>
      </c>
      <c r="F197" s="18">
        <v>9</v>
      </c>
      <c r="G197" s="18" t="b">
        <v>0</v>
      </c>
      <c r="H197" s="18">
        <v>0</v>
      </c>
      <c r="I197" s="18">
        <v>1</v>
      </c>
      <c r="J197" s="18">
        <v>0.12</v>
      </c>
      <c r="K197">
        <v>7.5800000000000006E-2</v>
      </c>
      <c r="L197">
        <v>0.46</v>
      </c>
      <c r="M197" s="18">
        <v>0.52239999999999998</v>
      </c>
      <c r="N197" s="18">
        <v>0</v>
      </c>
      <c r="O197" s="18">
        <v>19</v>
      </c>
      <c r="P197">
        <v>19</v>
      </c>
      <c r="Q197" s="18" t="s">
        <v>34</v>
      </c>
      <c r="R197" s="18" t="s">
        <v>35</v>
      </c>
      <c r="S197" s="18" t="s">
        <v>36</v>
      </c>
      <c r="T197" s="18" t="s">
        <v>40</v>
      </c>
      <c r="U197" s="18">
        <v>2011</v>
      </c>
      <c r="V197" s="16">
        <f t="shared" si="6"/>
        <v>40587</v>
      </c>
      <c r="W197" s="18" t="str">
        <f t="shared" si="7"/>
        <v>Weedend</v>
      </c>
    </row>
    <row r="198" spans="1:23" x14ac:dyDescent="0.25">
      <c r="A198" s="19">
        <v>196</v>
      </c>
      <c r="B198" s="20">
        <v>40552</v>
      </c>
      <c r="C198" s="18">
        <v>1</v>
      </c>
      <c r="D198" s="18">
        <v>0</v>
      </c>
      <c r="E198" s="18">
        <v>1</v>
      </c>
      <c r="F198" s="18">
        <v>10</v>
      </c>
      <c r="G198" s="18" t="b">
        <v>0</v>
      </c>
      <c r="H198" s="18">
        <v>0</v>
      </c>
      <c r="I198" s="18">
        <v>1</v>
      </c>
      <c r="J198" s="18">
        <v>0.14000000000000001</v>
      </c>
      <c r="K198">
        <v>0.1061</v>
      </c>
      <c r="L198">
        <v>0.43</v>
      </c>
      <c r="M198" s="18">
        <v>0.3881</v>
      </c>
      <c r="N198" s="18">
        <v>0</v>
      </c>
      <c r="O198" s="18">
        <v>49</v>
      </c>
      <c r="P198">
        <v>49</v>
      </c>
      <c r="Q198" s="18" t="s">
        <v>34</v>
      </c>
      <c r="R198" s="18" t="s">
        <v>35</v>
      </c>
      <c r="S198" s="18" t="s">
        <v>36</v>
      </c>
      <c r="T198" s="18" t="s">
        <v>40</v>
      </c>
      <c r="U198" s="18">
        <v>2011</v>
      </c>
      <c r="V198" s="16">
        <f t="shared" si="6"/>
        <v>40587</v>
      </c>
      <c r="W198" s="18" t="str">
        <f t="shared" si="7"/>
        <v>Weedend</v>
      </c>
    </row>
    <row r="199" spans="1:23" x14ac:dyDescent="0.25">
      <c r="A199" s="19">
        <v>197</v>
      </c>
      <c r="B199" s="20">
        <v>40552</v>
      </c>
      <c r="C199" s="18">
        <v>1</v>
      </c>
      <c r="D199" s="18">
        <v>0</v>
      </c>
      <c r="E199" s="18">
        <v>1</v>
      </c>
      <c r="F199" s="18">
        <v>11</v>
      </c>
      <c r="G199" s="18" t="b">
        <v>0</v>
      </c>
      <c r="H199" s="18">
        <v>0</v>
      </c>
      <c r="I199" s="18">
        <v>1</v>
      </c>
      <c r="J199" s="18">
        <v>0.16</v>
      </c>
      <c r="K199">
        <v>0.1212</v>
      </c>
      <c r="L199">
        <v>0.4</v>
      </c>
      <c r="M199" s="18">
        <v>0.52239999999999998</v>
      </c>
      <c r="N199" s="18">
        <v>2</v>
      </c>
      <c r="O199" s="18">
        <v>47</v>
      </c>
      <c r="P199">
        <v>49</v>
      </c>
      <c r="Q199" s="18" t="s">
        <v>34</v>
      </c>
      <c r="R199" s="18" t="s">
        <v>35</v>
      </c>
      <c r="S199" s="18" t="s">
        <v>36</v>
      </c>
      <c r="T199" s="18" t="s">
        <v>40</v>
      </c>
      <c r="U199" s="18">
        <v>2011</v>
      </c>
      <c r="V199" s="16">
        <f t="shared" si="6"/>
        <v>40587</v>
      </c>
      <c r="W199" s="18" t="str">
        <f t="shared" si="7"/>
        <v>Weedend</v>
      </c>
    </row>
    <row r="200" spans="1:23" x14ac:dyDescent="0.25">
      <c r="A200" s="19">
        <v>198</v>
      </c>
      <c r="B200" s="20">
        <v>40552</v>
      </c>
      <c r="C200" s="18">
        <v>1</v>
      </c>
      <c r="D200" s="18">
        <v>0</v>
      </c>
      <c r="E200" s="18">
        <v>1</v>
      </c>
      <c r="F200" s="18">
        <v>12</v>
      </c>
      <c r="G200" s="18" t="b">
        <v>0</v>
      </c>
      <c r="H200" s="18">
        <v>0</v>
      </c>
      <c r="I200" s="18">
        <v>1</v>
      </c>
      <c r="J200" s="18">
        <v>0.18</v>
      </c>
      <c r="K200">
        <v>0.13639999999999999</v>
      </c>
      <c r="L200">
        <v>0.37</v>
      </c>
      <c r="M200" s="18">
        <v>0.44779999999999998</v>
      </c>
      <c r="N200" s="18">
        <v>4</v>
      </c>
      <c r="O200" s="18">
        <v>79</v>
      </c>
      <c r="P200">
        <v>83</v>
      </c>
      <c r="Q200" s="18" t="s">
        <v>34</v>
      </c>
      <c r="R200" s="18" t="s">
        <v>35</v>
      </c>
      <c r="S200" s="18" t="s">
        <v>36</v>
      </c>
      <c r="T200" s="18" t="s">
        <v>40</v>
      </c>
      <c r="U200" s="18">
        <v>2011</v>
      </c>
      <c r="V200" s="16">
        <f t="shared" si="6"/>
        <v>40587</v>
      </c>
      <c r="W200" s="18" t="str">
        <f t="shared" si="7"/>
        <v>Weedend</v>
      </c>
    </row>
    <row r="201" spans="1:23" x14ac:dyDescent="0.25">
      <c r="A201" s="19">
        <v>199</v>
      </c>
      <c r="B201" s="20">
        <v>40552</v>
      </c>
      <c r="C201" s="18">
        <v>1</v>
      </c>
      <c r="D201" s="18">
        <v>0</v>
      </c>
      <c r="E201" s="18">
        <v>1</v>
      </c>
      <c r="F201" s="18">
        <v>13</v>
      </c>
      <c r="G201" s="18" t="b">
        <v>0</v>
      </c>
      <c r="H201" s="18">
        <v>0</v>
      </c>
      <c r="I201" s="18">
        <v>1</v>
      </c>
      <c r="J201" s="18">
        <v>0.2</v>
      </c>
      <c r="K201">
        <v>0.16669999999999999</v>
      </c>
      <c r="L201">
        <v>0.34</v>
      </c>
      <c r="M201" s="18">
        <v>0.44779999999999998</v>
      </c>
      <c r="N201" s="18">
        <v>6</v>
      </c>
      <c r="O201" s="18">
        <v>69</v>
      </c>
      <c r="P201">
        <v>75</v>
      </c>
      <c r="Q201" s="18" t="s">
        <v>34</v>
      </c>
      <c r="R201" s="18" t="s">
        <v>35</v>
      </c>
      <c r="S201" s="18" t="s">
        <v>36</v>
      </c>
      <c r="T201" s="18" t="s">
        <v>40</v>
      </c>
      <c r="U201" s="18">
        <v>2011</v>
      </c>
      <c r="V201" s="16">
        <f t="shared" si="6"/>
        <v>40587</v>
      </c>
      <c r="W201" s="18" t="str">
        <f t="shared" si="7"/>
        <v>Weedend</v>
      </c>
    </row>
    <row r="202" spans="1:23" x14ac:dyDescent="0.25">
      <c r="A202" s="19">
        <v>200</v>
      </c>
      <c r="B202" s="20">
        <v>40552</v>
      </c>
      <c r="C202" s="18">
        <v>1</v>
      </c>
      <c r="D202" s="18">
        <v>0</v>
      </c>
      <c r="E202" s="18">
        <v>1</v>
      </c>
      <c r="F202" s="18">
        <v>14</v>
      </c>
      <c r="G202" s="18" t="b">
        <v>0</v>
      </c>
      <c r="H202" s="18">
        <v>0</v>
      </c>
      <c r="I202" s="18">
        <v>1</v>
      </c>
      <c r="J202" s="18">
        <v>0.22</v>
      </c>
      <c r="K202">
        <v>0.18179999999999999</v>
      </c>
      <c r="L202">
        <v>0.32</v>
      </c>
      <c r="M202" s="18">
        <v>0.4627</v>
      </c>
      <c r="N202" s="18">
        <v>8</v>
      </c>
      <c r="O202" s="18">
        <v>64</v>
      </c>
      <c r="P202">
        <v>72</v>
      </c>
      <c r="Q202" s="18" t="s">
        <v>34</v>
      </c>
      <c r="R202" s="18" t="s">
        <v>35</v>
      </c>
      <c r="S202" s="18" t="s">
        <v>36</v>
      </c>
      <c r="T202" s="18" t="s">
        <v>40</v>
      </c>
      <c r="U202" s="18">
        <v>2011</v>
      </c>
      <c r="V202" s="16">
        <f t="shared" si="6"/>
        <v>40587</v>
      </c>
      <c r="W202" s="18" t="str">
        <f t="shared" si="7"/>
        <v>Weedend</v>
      </c>
    </row>
    <row r="203" spans="1:23" x14ac:dyDescent="0.25">
      <c r="A203" s="19">
        <v>201</v>
      </c>
      <c r="B203" s="20">
        <v>40552</v>
      </c>
      <c r="C203" s="18">
        <v>1</v>
      </c>
      <c r="D203" s="18">
        <v>0</v>
      </c>
      <c r="E203" s="18">
        <v>1</v>
      </c>
      <c r="F203" s="18">
        <v>15</v>
      </c>
      <c r="G203" s="18" t="b">
        <v>0</v>
      </c>
      <c r="H203" s="18">
        <v>0</v>
      </c>
      <c r="I203" s="18">
        <v>1</v>
      </c>
      <c r="J203" s="18">
        <v>0.22</v>
      </c>
      <c r="K203">
        <v>0.19700000000000001</v>
      </c>
      <c r="L203">
        <v>0.35</v>
      </c>
      <c r="M203" s="18">
        <v>0.35820000000000002</v>
      </c>
      <c r="N203" s="18">
        <v>5</v>
      </c>
      <c r="O203" s="18">
        <v>77</v>
      </c>
      <c r="P203">
        <v>82</v>
      </c>
      <c r="Q203" s="18" t="s">
        <v>34</v>
      </c>
      <c r="R203" s="18" t="s">
        <v>35</v>
      </c>
      <c r="S203" s="18" t="s">
        <v>36</v>
      </c>
      <c r="T203" s="18" t="s">
        <v>40</v>
      </c>
      <c r="U203" s="18">
        <v>2011</v>
      </c>
      <c r="V203" s="16">
        <f t="shared" si="6"/>
        <v>40587</v>
      </c>
      <c r="W203" s="18" t="str">
        <f t="shared" si="7"/>
        <v>Weedend</v>
      </c>
    </row>
    <row r="204" spans="1:23" x14ac:dyDescent="0.25">
      <c r="A204" s="19">
        <v>202</v>
      </c>
      <c r="B204" s="20">
        <v>40552</v>
      </c>
      <c r="C204" s="18">
        <v>1</v>
      </c>
      <c r="D204" s="18">
        <v>0</v>
      </c>
      <c r="E204" s="18">
        <v>1</v>
      </c>
      <c r="F204" s="18">
        <v>16</v>
      </c>
      <c r="G204" s="18" t="b">
        <v>0</v>
      </c>
      <c r="H204" s="18">
        <v>0</v>
      </c>
      <c r="I204" s="18">
        <v>1</v>
      </c>
      <c r="J204" s="18">
        <v>0.2</v>
      </c>
      <c r="K204">
        <v>0.16669999999999999</v>
      </c>
      <c r="L204">
        <v>0.34</v>
      </c>
      <c r="M204" s="18">
        <v>0.44779999999999998</v>
      </c>
      <c r="N204" s="18">
        <v>13</v>
      </c>
      <c r="O204" s="18">
        <v>79</v>
      </c>
      <c r="P204">
        <v>92</v>
      </c>
      <c r="Q204" s="18" t="s">
        <v>34</v>
      </c>
      <c r="R204" s="18" t="s">
        <v>35</v>
      </c>
      <c r="S204" s="18" t="s">
        <v>36</v>
      </c>
      <c r="T204" s="18" t="s">
        <v>40</v>
      </c>
      <c r="U204" s="18">
        <v>2011</v>
      </c>
      <c r="V204" s="16">
        <f t="shared" si="6"/>
        <v>40587</v>
      </c>
      <c r="W204" s="18" t="str">
        <f t="shared" si="7"/>
        <v>Weedend</v>
      </c>
    </row>
    <row r="205" spans="1:23" x14ac:dyDescent="0.25">
      <c r="A205" s="19">
        <v>203</v>
      </c>
      <c r="B205" s="20">
        <v>40552</v>
      </c>
      <c r="C205" s="18">
        <v>1</v>
      </c>
      <c r="D205" s="18">
        <v>0</v>
      </c>
      <c r="E205" s="18">
        <v>1</v>
      </c>
      <c r="F205" s="18">
        <v>17</v>
      </c>
      <c r="G205" s="18" t="b">
        <v>0</v>
      </c>
      <c r="H205" s="18">
        <v>0</v>
      </c>
      <c r="I205" s="18">
        <v>1</v>
      </c>
      <c r="J205" s="18">
        <v>0.18</v>
      </c>
      <c r="K205">
        <v>0.1515</v>
      </c>
      <c r="L205">
        <v>0.37</v>
      </c>
      <c r="M205" s="18">
        <v>0.3881</v>
      </c>
      <c r="N205" s="18">
        <v>3</v>
      </c>
      <c r="O205" s="18">
        <v>59</v>
      </c>
      <c r="P205">
        <v>62</v>
      </c>
      <c r="Q205" s="18" t="s">
        <v>34</v>
      </c>
      <c r="R205" s="18" t="s">
        <v>35</v>
      </c>
      <c r="S205" s="18" t="s">
        <v>36</v>
      </c>
      <c r="T205" s="18" t="s">
        <v>40</v>
      </c>
      <c r="U205" s="18">
        <v>2011</v>
      </c>
      <c r="V205" s="16">
        <f t="shared" si="6"/>
        <v>40587</v>
      </c>
      <c r="W205" s="18" t="str">
        <f t="shared" si="7"/>
        <v>Weedend</v>
      </c>
    </row>
    <row r="206" spans="1:23" x14ac:dyDescent="0.25">
      <c r="A206" s="19">
        <v>204</v>
      </c>
      <c r="B206" s="20">
        <v>40552</v>
      </c>
      <c r="C206" s="18">
        <v>1</v>
      </c>
      <c r="D206" s="18">
        <v>0</v>
      </c>
      <c r="E206" s="18">
        <v>1</v>
      </c>
      <c r="F206" s="18">
        <v>18</v>
      </c>
      <c r="G206" s="18" t="b">
        <v>0</v>
      </c>
      <c r="H206" s="18">
        <v>0</v>
      </c>
      <c r="I206" s="18">
        <v>1</v>
      </c>
      <c r="J206" s="18">
        <v>0.16</v>
      </c>
      <c r="K206">
        <v>0.13639999999999999</v>
      </c>
      <c r="L206">
        <v>0.4</v>
      </c>
      <c r="M206" s="18">
        <v>0.32840000000000003</v>
      </c>
      <c r="N206" s="18">
        <v>4</v>
      </c>
      <c r="O206" s="18">
        <v>44</v>
      </c>
      <c r="P206">
        <v>48</v>
      </c>
      <c r="Q206" s="18" t="s">
        <v>34</v>
      </c>
      <c r="R206" s="18" t="s">
        <v>35</v>
      </c>
      <c r="S206" s="18" t="s">
        <v>36</v>
      </c>
      <c r="T206" s="18" t="s">
        <v>40</v>
      </c>
      <c r="U206" s="18">
        <v>2011</v>
      </c>
      <c r="V206" s="16">
        <f t="shared" si="6"/>
        <v>40587</v>
      </c>
      <c r="W206" s="18" t="str">
        <f t="shared" si="7"/>
        <v>Weedend</v>
      </c>
    </row>
    <row r="207" spans="1:23" x14ac:dyDescent="0.25">
      <c r="A207" s="19">
        <v>205</v>
      </c>
      <c r="B207" s="20">
        <v>40552</v>
      </c>
      <c r="C207" s="18">
        <v>1</v>
      </c>
      <c r="D207" s="18">
        <v>0</v>
      </c>
      <c r="E207" s="18">
        <v>1</v>
      </c>
      <c r="F207" s="18">
        <v>19</v>
      </c>
      <c r="G207" s="18" t="b">
        <v>0</v>
      </c>
      <c r="H207" s="18">
        <v>0</v>
      </c>
      <c r="I207" s="18">
        <v>1</v>
      </c>
      <c r="J207" s="18">
        <v>0.16</v>
      </c>
      <c r="K207">
        <v>0.13639999999999999</v>
      </c>
      <c r="L207">
        <v>0.43</v>
      </c>
      <c r="M207" s="18">
        <v>0.32840000000000003</v>
      </c>
      <c r="N207" s="18">
        <v>1</v>
      </c>
      <c r="O207" s="18">
        <v>40</v>
      </c>
      <c r="P207">
        <v>41</v>
      </c>
      <c r="Q207" s="18" t="s">
        <v>34</v>
      </c>
      <c r="R207" s="18" t="s">
        <v>35</v>
      </c>
      <c r="S207" s="18" t="s">
        <v>36</v>
      </c>
      <c r="T207" s="18" t="s">
        <v>40</v>
      </c>
      <c r="U207" s="18">
        <v>2011</v>
      </c>
      <c r="V207" s="16">
        <f t="shared" si="6"/>
        <v>40587</v>
      </c>
      <c r="W207" s="18" t="str">
        <f t="shared" si="7"/>
        <v>Weedend</v>
      </c>
    </row>
    <row r="208" spans="1:23" x14ac:dyDescent="0.25">
      <c r="A208" s="19">
        <v>206</v>
      </c>
      <c r="B208" s="20">
        <v>40552</v>
      </c>
      <c r="C208" s="18">
        <v>1</v>
      </c>
      <c r="D208" s="18">
        <v>0</v>
      </c>
      <c r="E208" s="18">
        <v>1</v>
      </c>
      <c r="F208" s="18">
        <v>20</v>
      </c>
      <c r="G208" s="18" t="b">
        <v>0</v>
      </c>
      <c r="H208" s="18">
        <v>0</v>
      </c>
      <c r="I208" s="18">
        <v>1</v>
      </c>
      <c r="J208" s="18">
        <v>0.14000000000000001</v>
      </c>
      <c r="K208">
        <v>0.1212</v>
      </c>
      <c r="L208">
        <v>0.46</v>
      </c>
      <c r="M208" s="18">
        <v>0.25369999999999998</v>
      </c>
      <c r="N208" s="18">
        <v>0</v>
      </c>
      <c r="O208" s="18">
        <v>38</v>
      </c>
      <c r="P208">
        <v>38</v>
      </c>
      <c r="Q208" s="18" t="s">
        <v>34</v>
      </c>
      <c r="R208" s="18" t="s">
        <v>35</v>
      </c>
      <c r="S208" s="18" t="s">
        <v>36</v>
      </c>
      <c r="T208" s="18" t="s">
        <v>40</v>
      </c>
      <c r="U208" s="18">
        <v>2011</v>
      </c>
      <c r="V208" s="16">
        <f t="shared" si="6"/>
        <v>40587</v>
      </c>
      <c r="W208" s="18" t="str">
        <f t="shared" si="7"/>
        <v>Weedend</v>
      </c>
    </row>
    <row r="209" spans="1:23" x14ac:dyDescent="0.25">
      <c r="A209" s="19">
        <v>207</v>
      </c>
      <c r="B209" s="20">
        <v>40552</v>
      </c>
      <c r="C209" s="18">
        <v>1</v>
      </c>
      <c r="D209" s="18">
        <v>0</v>
      </c>
      <c r="E209" s="18">
        <v>1</v>
      </c>
      <c r="F209" s="18">
        <v>21</v>
      </c>
      <c r="G209" s="18" t="b">
        <v>0</v>
      </c>
      <c r="H209" s="18">
        <v>0</v>
      </c>
      <c r="I209" s="18">
        <v>1</v>
      </c>
      <c r="J209" s="18">
        <v>0.14000000000000001</v>
      </c>
      <c r="K209">
        <v>0.1061</v>
      </c>
      <c r="L209">
        <v>0.46</v>
      </c>
      <c r="M209" s="18">
        <v>0.41789999999999999</v>
      </c>
      <c r="N209" s="18">
        <v>1</v>
      </c>
      <c r="O209" s="18">
        <v>19</v>
      </c>
      <c r="P209">
        <v>20</v>
      </c>
      <c r="Q209" s="18" t="s">
        <v>34</v>
      </c>
      <c r="R209" s="18" t="s">
        <v>35</v>
      </c>
      <c r="S209" s="18" t="s">
        <v>36</v>
      </c>
      <c r="T209" s="18" t="s">
        <v>40</v>
      </c>
      <c r="U209" s="18">
        <v>2011</v>
      </c>
      <c r="V209" s="16">
        <f t="shared" si="6"/>
        <v>40587</v>
      </c>
      <c r="W209" s="18" t="str">
        <f t="shared" si="7"/>
        <v>Weedend</v>
      </c>
    </row>
    <row r="210" spans="1:23" x14ac:dyDescent="0.25">
      <c r="A210" s="19">
        <v>208</v>
      </c>
      <c r="B210" s="20">
        <v>40552</v>
      </c>
      <c r="C210" s="18">
        <v>1</v>
      </c>
      <c r="D210" s="18">
        <v>0</v>
      </c>
      <c r="E210" s="18">
        <v>1</v>
      </c>
      <c r="F210" s="18">
        <v>22</v>
      </c>
      <c r="G210" s="18" t="b">
        <v>0</v>
      </c>
      <c r="H210" s="18">
        <v>0</v>
      </c>
      <c r="I210" s="18">
        <v>1</v>
      </c>
      <c r="J210" s="18">
        <v>0.14000000000000001</v>
      </c>
      <c r="K210">
        <v>0.1212</v>
      </c>
      <c r="L210">
        <v>0.46</v>
      </c>
      <c r="M210" s="18">
        <v>0.29849999999999999</v>
      </c>
      <c r="N210" s="18">
        <v>5</v>
      </c>
      <c r="O210" s="18">
        <v>10</v>
      </c>
      <c r="P210">
        <v>15</v>
      </c>
      <c r="Q210" s="18" t="s">
        <v>34</v>
      </c>
      <c r="R210" s="18" t="s">
        <v>35</v>
      </c>
      <c r="S210" s="18" t="s">
        <v>36</v>
      </c>
      <c r="T210" s="18" t="s">
        <v>40</v>
      </c>
      <c r="U210" s="18">
        <v>2011</v>
      </c>
      <c r="V210" s="16">
        <f t="shared" si="6"/>
        <v>40587</v>
      </c>
      <c r="W210" s="18" t="str">
        <f t="shared" si="7"/>
        <v>Weedend</v>
      </c>
    </row>
    <row r="211" spans="1:23" x14ac:dyDescent="0.25">
      <c r="A211" s="19">
        <v>209</v>
      </c>
      <c r="B211" s="20">
        <v>40552</v>
      </c>
      <c r="C211" s="18">
        <v>1</v>
      </c>
      <c r="D211" s="18">
        <v>0</v>
      </c>
      <c r="E211" s="18">
        <v>1</v>
      </c>
      <c r="F211" s="18">
        <v>23</v>
      </c>
      <c r="G211" s="18" t="b">
        <v>0</v>
      </c>
      <c r="H211" s="18">
        <v>0</v>
      </c>
      <c r="I211" s="18">
        <v>1</v>
      </c>
      <c r="J211" s="18">
        <v>0.12</v>
      </c>
      <c r="K211">
        <v>0.13639999999999999</v>
      </c>
      <c r="L211">
        <v>0.5</v>
      </c>
      <c r="M211" s="18">
        <v>0.19400000000000001</v>
      </c>
      <c r="N211" s="18">
        <v>0</v>
      </c>
      <c r="O211" s="18">
        <v>6</v>
      </c>
      <c r="P211">
        <v>6</v>
      </c>
      <c r="Q211" s="18" t="s">
        <v>34</v>
      </c>
      <c r="R211" s="18" t="s">
        <v>35</v>
      </c>
      <c r="S211" s="18" t="s">
        <v>36</v>
      </c>
      <c r="T211" s="18" t="s">
        <v>40</v>
      </c>
      <c r="U211" s="18">
        <v>2011</v>
      </c>
      <c r="V211" s="16">
        <f t="shared" si="6"/>
        <v>40587</v>
      </c>
      <c r="W211" s="18" t="str">
        <f t="shared" si="7"/>
        <v>Weedend</v>
      </c>
    </row>
    <row r="212" spans="1:23" x14ac:dyDescent="0.25">
      <c r="A212" s="19">
        <v>210</v>
      </c>
      <c r="B212" s="20">
        <v>40553</v>
      </c>
      <c r="C212" s="18">
        <v>1</v>
      </c>
      <c r="D212" s="18">
        <v>0</v>
      </c>
      <c r="E212" s="18">
        <v>1</v>
      </c>
      <c r="F212" s="18">
        <v>0</v>
      </c>
      <c r="G212" s="18" t="b">
        <v>0</v>
      </c>
      <c r="H212" s="18">
        <v>1</v>
      </c>
      <c r="I212" s="18">
        <v>1</v>
      </c>
      <c r="J212" s="18">
        <v>0.12</v>
      </c>
      <c r="K212">
        <v>0.1212</v>
      </c>
      <c r="L212">
        <v>0.5</v>
      </c>
      <c r="M212" s="18">
        <v>0.28360000000000002</v>
      </c>
      <c r="N212" s="18">
        <v>2</v>
      </c>
      <c r="O212" s="18">
        <v>3</v>
      </c>
      <c r="P212">
        <v>5</v>
      </c>
      <c r="Q212" s="18" t="s">
        <v>34</v>
      </c>
      <c r="R212" s="18" t="s">
        <v>35</v>
      </c>
      <c r="S212" s="18" t="s">
        <v>36</v>
      </c>
      <c r="T212" s="18" t="s">
        <v>41</v>
      </c>
      <c r="U212" s="18">
        <v>2011</v>
      </c>
      <c r="V212" s="16">
        <f t="shared" si="6"/>
        <v>40587</v>
      </c>
      <c r="W212" s="18" t="str">
        <f t="shared" si="7"/>
        <v>Weekday</v>
      </c>
    </row>
    <row r="213" spans="1:23" x14ac:dyDescent="0.25">
      <c r="A213" s="19">
        <v>211</v>
      </c>
      <c r="B213" s="20">
        <v>40553</v>
      </c>
      <c r="C213" s="18">
        <v>1</v>
      </c>
      <c r="D213" s="18">
        <v>0</v>
      </c>
      <c r="E213" s="18">
        <v>1</v>
      </c>
      <c r="F213" s="18">
        <v>1</v>
      </c>
      <c r="G213" s="18" t="b">
        <v>0</v>
      </c>
      <c r="H213" s="18">
        <v>1</v>
      </c>
      <c r="I213" s="18">
        <v>1</v>
      </c>
      <c r="J213" s="18">
        <v>0.12</v>
      </c>
      <c r="K213">
        <v>0.1212</v>
      </c>
      <c r="L213">
        <v>0.5</v>
      </c>
      <c r="M213" s="18">
        <v>0.28360000000000002</v>
      </c>
      <c r="N213" s="18">
        <v>1</v>
      </c>
      <c r="O213" s="18">
        <v>0</v>
      </c>
      <c r="P213">
        <v>1</v>
      </c>
      <c r="Q213" s="18" t="s">
        <v>34</v>
      </c>
      <c r="R213" s="18" t="s">
        <v>35</v>
      </c>
      <c r="S213" s="18" t="s">
        <v>36</v>
      </c>
      <c r="T213" s="18" t="s">
        <v>41</v>
      </c>
      <c r="U213" s="18">
        <v>2011</v>
      </c>
      <c r="V213" s="16">
        <f t="shared" si="6"/>
        <v>40587</v>
      </c>
      <c r="W213" s="18" t="str">
        <f t="shared" si="7"/>
        <v>Weekday</v>
      </c>
    </row>
    <row r="214" spans="1:23" x14ac:dyDescent="0.25">
      <c r="A214" s="19">
        <v>212</v>
      </c>
      <c r="B214" s="20">
        <v>40553</v>
      </c>
      <c r="C214" s="18">
        <v>1</v>
      </c>
      <c r="D214" s="18">
        <v>0</v>
      </c>
      <c r="E214" s="18">
        <v>1</v>
      </c>
      <c r="F214" s="18">
        <v>2</v>
      </c>
      <c r="G214" s="18" t="b">
        <v>0</v>
      </c>
      <c r="H214" s="18">
        <v>1</v>
      </c>
      <c r="I214" s="18">
        <v>1</v>
      </c>
      <c r="J214" s="18">
        <v>0.12</v>
      </c>
      <c r="K214">
        <v>0.1212</v>
      </c>
      <c r="L214">
        <v>0.5</v>
      </c>
      <c r="M214" s="18">
        <v>0.22389999999999999</v>
      </c>
      <c r="N214" s="18">
        <v>0</v>
      </c>
      <c r="O214" s="18">
        <v>3</v>
      </c>
      <c r="P214">
        <v>3</v>
      </c>
      <c r="Q214" s="18" t="s">
        <v>34</v>
      </c>
      <c r="R214" s="18" t="s">
        <v>35</v>
      </c>
      <c r="S214" s="18" t="s">
        <v>36</v>
      </c>
      <c r="T214" s="18" t="s">
        <v>41</v>
      </c>
      <c r="U214" s="18">
        <v>2011</v>
      </c>
      <c r="V214" s="16">
        <f t="shared" si="6"/>
        <v>40587</v>
      </c>
      <c r="W214" s="18" t="str">
        <f t="shared" si="7"/>
        <v>Weekday</v>
      </c>
    </row>
    <row r="215" spans="1:23" x14ac:dyDescent="0.25">
      <c r="A215" s="19">
        <v>213</v>
      </c>
      <c r="B215" s="20">
        <v>40553</v>
      </c>
      <c r="C215" s="18">
        <v>1</v>
      </c>
      <c r="D215" s="18">
        <v>0</v>
      </c>
      <c r="E215" s="18">
        <v>1</v>
      </c>
      <c r="F215" s="18">
        <v>3</v>
      </c>
      <c r="G215" s="18" t="b">
        <v>0</v>
      </c>
      <c r="H215" s="18">
        <v>1</v>
      </c>
      <c r="I215" s="18">
        <v>1</v>
      </c>
      <c r="J215" s="18">
        <v>0.12</v>
      </c>
      <c r="K215">
        <v>0.1212</v>
      </c>
      <c r="L215">
        <v>0.5</v>
      </c>
      <c r="M215" s="18">
        <v>0.22389999999999999</v>
      </c>
      <c r="N215" s="18">
        <v>0</v>
      </c>
      <c r="O215" s="18">
        <v>1</v>
      </c>
      <c r="P215">
        <v>1</v>
      </c>
      <c r="Q215" s="18" t="s">
        <v>34</v>
      </c>
      <c r="R215" s="18" t="s">
        <v>35</v>
      </c>
      <c r="S215" s="18" t="s">
        <v>36</v>
      </c>
      <c r="T215" s="18" t="s">
        <v>41</v>
      </c>
      <c r="U215" s="18">
        <v>2011</v>
      </c>
      <c r="V215" s="16">
        <f t="shared" si="6"/>
        <v>40587</v>
      </c>
      <c r="W215" s="18" t="str">
        <f t="shared" si="7"/>
        <v>Weekday</v>
      </c>
    </row>
    <row r="216" spans="1:23" x14ac:dyDescent="0.25">
      <c r="A216" s="19">
        <v>214</v>
      </c>
      <c r="B216" s="20">
        <v>40553</v>
      </c>
      <c r="C216" s="18">
        <v>1</v>
      </c>
      <c r="D216" s="18">
        <v>0</v>
      </c>
      <c r="E216" s="18">
        <v>1</v>
      </c>
      <c r="F216" s="18">
        <v>4</v>
      </c>
      <c r="G216" s="18" t="b">
        <v>0</v>
      </c>
      <c r="H216" s="18">
        <v>1</v>
      </c>
      <c r="I216" s="18">
        <v>1</v>
      </c>
      <c r="J216" s="18">
        <v>0.1</v>
      </c>
      <c r="K216">
        <v>0.1212</v>
      </c>
      <c r="L216">
        <v>0.54</v>
      </c>
      <c r="M216" s="18">
        <v>0.1343</v>
      </c>
      <c r="N216" s="18">
        <v>1</v>
      </c>
      <c r="O216" s="18">
        <v>2</v>
      </c>
      <c r="P216">
        <v>3</v>
      </c>
      <c r="Q216" s="18" t="s">
        <v>34</v>
      </c>
      <c r="R216" s="18" t="s">
        <v>35</v>
      </c>
      <c r="S216" s="18" t="s">
        <v>36</v>
      </c>
      <c r="T216" s="18" t="s">
        <v>41</v>
      </c>
      <c r="U216" s="18">
        <v>2011</v>
      </c>
      <c r="V216" s="16">
        <f t="shared" si="6"/>
        <v>40587</v>
      </c>
      <c r="W216" s="18" t="str">
        <f t="shared" si="7"/>
        <v>Weekday</v>
      </c>
    </row>
    <row r="217" spans="1:23" x14ac:dyDescent="0.25">
      <c r="A217" s="19">
        <v>215</v>
      </c>
      <c r="B217" s="20">
        <v>40553</v>
      </c>
      <c r="C217" s="18">
        <v>1</v>
      </c>
      <c r="D217" s="18">
        <v>0</v>
      </c>
      <c r="E217" s="18">
        <v>1</v>
      </c>
      <c r="F217" s="18">
        <v>5</v>
      </c>
      <c r="G217" s="18" t="b">
        <v>0</v>
      </c>
      <c r="H217" s="18">
        <v>1</v>
      </c>
      <c r="I217" s="18">
        <v>1</v>
      </c>
      <c r="J217" s="18">
        <v>0.1</v>
      </c>
      <c r="K217">
        <v>0.1061</v>
      </c>
      <c r="L217">
        <v>0.54</v>
      </c>
      <c r="M217" s="18">
        <v>0.25369999999999998</v>
      </c>
      <c r="N217" s="18">
        <v>0</v>
      </c>
      <c r="O217" s="18">
        <v>3</v>
      </c>
      <c r="P217">
        <v>3</v>
      </c>
      <c r="Q217" s="18" t="s">
        <v>34</v>
      </c>
      <c r="R217" s="18" t="s">
        <v>35</v>
      </c>
      <c r="S217" s="18" t="s">
        <v>36</v>
      </c>
      <c r="T217" s="18" t="s">
        <v>41</v>
      </c>
      <c r="U217" s="18">
        <v>2011</v>
      </c>
      <c r="V217" s="16">
        <f t="shared" si="6"/>
        <v>40587</v>
      </c>
      <c r="W217" s="18" t="str">
        <f t="shared" si="7"/>
        <v>Weekday</v>
      </c>
    </row>
    <row r="218" spans="1:23" x14ac:dyDescent="0.25">
      <c r="A218" s="19">
        <v>216</v>
      </c>
      <c r="B218" s="20">
        <v>40553</v>
      </c>
      <c r="C218" s="18">
        <v>1</v>
      </c>
      <c r="D218" s="18">
        <v>0</v>
      </c>
      <c r="E218" s="18">
        <v>1</v>
      </c>
      <c r="F218" s="18">
        <v>6</v>
      </c>
      <c r="G218" s="18" t="b">
        <v>0</v>
      </c>
      <c r="H218" s="18">
        <v>1</v>
      </c>
      <c r="I218" s="18">
        <v>1</v>
      </c>
      <c r="J218" s="18">
        <v>0.12</v>
      </c>
      <c r="K218">
        <v>0.1212</v>
      </c>
      <c r="L218">
        <v>0.5</v>
      </c>
      <c r="M218" s="18">
        <v>0.28360000000000002</v>
      </c>
      <c r="N218" s="18">
        <v>0</v>
      </c>
      <c r="O218" s="18">
        <v>31</v>
      </c>
      <c r="P218">
        <v>31</v>
      </c>
      <c r="Q218" s="18" t="s">
        <v>34</v>
      </c>
      <c r="R218" s="18" t="s">
        <v>35</v>
      </c>
      <c r="S218" s="18" t="s">
        <v>36</v>
      </c>
      <c r="T218" s="18" t="s">
        <v>41</v>
      </c>
      <c r="U218" s="18">
        <v>2011</v>
      </c>
      <c r="V218" s="16">
        <f t="shared" si="6"/>
        <v>40587</v>
      </c>
      <c r="W218" s="18" t="str">
        <f t="shared" si="7"/>
        <v>Weekday</v>
      </c>
    </row>
    <row r="219" spans="1:23" x14ac:dyDescent="0.25">
      <c r="A219" s="19">
        <v>217</v>
      </c>
      <c r="B219" s="20">
        <v>40553</v>
      </c>
      <c r="C219" s="18">
        <v>1</v>
      </c>
      <c r="D219" s="18">
        <v>0</v>
      </c>
      <c r="E219" s="18">
        <v>1</v>
      </c>
      <c r="F219" s="18">
        <v>7</v>
      </c>
      <c r="G219" s="18" t="b">
        <v>0</v>
      </c>
      <c r="H219" s="18">
        <v>1</v>
      </c>
      <c r="I219" s="18">
        <v>1</v>
      </c>
      <c r="J219" s="18">
        <v>0.12</v>
      </c>
      <c r="K219">
        <v>0.1212</v>
      </c>
      <c r="L219">
        <v>0.5</v>
      </c>
      <c r="M219" s="18">
        <v>0.22389999999999999</v>
      </c>
      <c r="N219" s="18">
        <v>2</v>
      </c>
      <c r="O219" s="18">
        <v>75</v>
      </c>
      <c r="P219">
        <v>77</v>
      </c>
      <c r="Q219" s="18" t="s">
        <v>34</v>
      </c>
      <c r="R219" s="18" t="s">
        <v>35</v>
      </c>
      <c r="S219" s="18" t="s">
        <v>36</v>
      </c>
      <c r="T219" s="18" t="s">
        <v>41</v>
      </c>
      <c r="U219" s="18">
        <v>2011</v>
      </c>
      <c r="V219" s="16">
        <f t="shared" si="6"/>
        <v>40587</v>
      </c>
      <c r="W219" s="18" t="str">
        <f t="shared" si="7"/>
        <v>Weekday</v>
      </c>
    </row>
    <row r="220" spans="1:23" x14ac:dyDescent="0.25">
      <c r="A220" s="19">
        <v>218</v>
      </c>
      <c r="B220" s="20">
        <v>40553</v>
      </c>
      <c r="C220" s="18">
        <v>1</v>
      </c>
      <c r="D220" s="18">
        <v>0</v>
      </c>
      <c r="E220" s="18">
        <v>1</v>
      </c>
      <c r="F220" s="18">
        <v>8</v>
      </c>
      <c r="G220" s="18" t="b">
        <v>0</v>
      </c>
      <c r="H220" s="18">
        <v>1</v>
      </c>
      <c r="I220" s="18">
        <v>2</v>
      </c>
      <c r="J220" s="18">
        <v>0.12</v>
      </c>
      <c r="K220">
        <v>0.1212</v>
      </c>
      <c r="L220">
        <v>0.5</v>
      </c>
      <c r="M220" s="18">
        <v>0.28360000000000002</v>
      </c>
      <c r="N220" s="18">
        <v>4</v>
      </c>
      <c r="O220" s="18">
        <v>184</v>
      </c>
      <c r="P220">
        <v>188</v>
      </c>
      <c r="Q220" s="18" t="s">
        <v>34</v>
      </c>
      <c r="R220" s="18" t="s">
        <v>35</v>
      </c>
      <c r="S220" s="18" t="s">
        <v>38</v>
      </c>
      <c r="T220" s="18" t="s">
        <v>41</v>
      </c>
      <c r="U220" s="18">
        <v>2011</v>
      </c>
      <c r="V220" s="16">
        <f t="shared" si="6"/>
        <v>40587</v>
      </c>
      <c r="W220" s="18" t="str">
        <f t="shared" si="7"/>
        <v>Weekday</v>
      </c>
    </row>
    <row r="221" spans="1:23" x14ac:dyDescent="0.25">
      <c r="A221" s="19">
        <v>219</v>
      </c>
      <c r="B221" s="20">
        <v>40553</v>
      </c>
      <c r="C221" s="18">
        <v>1</v>
      </c>
      <c r="D221" s="18">
        <v>0</v>
      </c>
      <c r="E221" s="18">
        <v>1</v>
      </c>
      <c r="F221" s="18">
        <v>9</v>
      </c>
      <c r="G221" s="18" t="b">
        <v>0</v>
      </c>
      <c r="H221" s="18">
        <v>1</v>
      </c>
      <c r="I221" s="18">
        <v>2</v>
      </c>
      <c r="J221" s="18">
        <v>0.14000000000000001</v>
      </c>
      <c r="K221">
        <v>0.1212</v>
      </c>
      <c r="L221">
        <v>0.5</v>
      </c>
      <c r="M221" s="18">
        <v>0.25369999999999998</v>
      </c>
      <c r="N221" s="18">
        <v>2</v>
      </c>
      <c r="O221" s="18">
        <v>92</v>
      </c>
      <c r="P221">
        <v>94</v>
      </c>
      <c r="Q221" s="18" t="s">
        <v>34</v>
      </c>
      <c r="R221" s="18" t="s">
        <v>35</v>
      </c>
      <c r="S221" s="18" t="s">
        <v>38</v>
      </c>
      <c r="T221" s="18" t="s">
        <v>41</v>
      </c>
      <c r="U221" s="18">
        <v>2011</v>
      </c>
      <c r="V221" s="16">
        <f t="shared" si="6"/>
        <v>40587</v>
      </c>
      <c r="W221" s="18" t="str">
        <f t="shared" si="7"/>
        <v>Weekday</v>
      </c>
    </row>
    <row r="222" spans="1:23" x14ac:dyDescent="0.25">
      <c r="A222" s="19">
        <v>220</v>
      </c>
      <c r="B222" s="20">
        <v>40553</v>
      </c>
      <c r="C222" s="18">
        <v>1</v>
      </c>
      <c r="D222" s="18">
        <v>0</v>
      </c>
      <c r="E222" s="18">
        <v>1</v>
      </c>
      <c r="F222" s="18">
        <v>10</v>
      </c>
      <c r="G222" s="18" t="b">
        <v>0</v>
      </c>
      <c r="H222" s="18">
        <v>1</v>
      </c>
      <c r="I222" s="18">
        <v>2</v>
      </c>
      <c r="J222" s="18">
        <v>0.14000000000000001</v>
      </c>
      <c r="K222">
        <v>0.1212</v>
      </c>
      <c r="L222">
        <v>0.5</v>
      </c>
      <c r="M222" s="18">
        <v>0.29849999999999999</v>
      </c>
      <c r="N222" s="18">
        <v>0</v>
      </c>
      <c r="O222" s="18">
        <v>31</v>
      </c>
      <c r="P222">
        <v>31</v>
      </c>
      <c r="Q222" s="18" t="s">
        <v>34</v>
      </c>
      <c r="R222" s="18" t="s">
        <v>35</v>
      </c>
      <c r="S222" s="18" t="s">
        <v>38</v>
      </c>
      <c r="T222" s="18" t="s">
        <v>41</v>
      </c>
      <c r="U222" s="18">
        <v>2011</v>
      </c>
      <c r="V222" s="16">
        <f t="shared" si="6"/>
        <v>40587</v>
      </c>
      <c r="W222" s="18" t="str">
        <f t="shared" si="7"/>
        <v>Weekday</v>
      </c>
    </row>
    <row r="223" spans="1:23" x14ac:dyDescent="0.25">
      <c r="A223" s="19">
        <v>221</v>
      </c>
      <c r="B223" s="20">
        <v>40553</v>
      </c>
      <c r="C223" s="18">
        <v>1</v>
      </c>
      <c r="D223" s="18">
        <v>0</v>
      </c>
      <c r="E223" s="18">
        <v>1</v>
      </c>
      <c r="F223" s="18">
        <v>11</v>
      </c>
      <c r="G223" s="18" t="b">
        <v>0</v>
      </c>
      <c r="H223" s="18">
        <v>1</v>
      </c>
      <c r="I223" s="18">
        <v>2</v>
      </c>
      <c r="J223" s="18">
        <v>0.16</v>
      </c>
      <c r="K223">
        <v>0.13639999999999999</v>
      </c>
      <c r="L223">
        <v>0.47</v>
      </c>
      <c r="M223" s="18">
        <v>0.28360000000000002</v>
      </c>
      <c r="N223" s="18">
        <v>2</v>
      </c>
      <c r="O223" s="18">
        <v>28</v>
      </c>
      <c r="P223">
        <v>30</v>
      </c>
      <c r="Q223" s="18" t="s">
        <v>34</v>
      </c>
      <c r="R223" s="18" t="s">
        <v>35</v>
      </c>
      <c r="S223" s="18" t="s">
        <v>38</v>
      </c>
      <c r="T223" s="18" t="s">
        <v>41</v>
      </c>
      <c r="U223" s="18">
        <v>2011</v>
      </c>
      <c r="V223" s="16">
        <f t="shared" si="6"/>
        <v>40587</v>
      </c>
      <c r="W223" s="18" t="str">
        <f t="shared" si="7"/>
        <v>Weekday</v>
      </c>
    </row>
    <row r="224" spans="1:23" x14ac:dyDescent="0.25">
      <c r="A224" s="19">
        <v>222</v>
      </c>
      <c r="B224" s="20">
        <v>40553</v>
      </c>
      <c r="C224" s="18">
        <v>1</v>
      </c>
      <c r="D224" s="18">
        <v>0</v>
      </c>
      <c r="E224" s="18">
        <v>1</v>
      </c>
      <c r="F224" s="18">
        <v>12</v>
      </c>
      <c r="G224" s="18" t="b">
        <v>0</v>
      </c>
      <c r="H224" s="18">
        <v>1</v>
      </c>
      <c r="I224" s="18">
        <v>2</v>
      </c>
      <c r="J224" s="18">
        <v>0.2</v>
      </c>
      <c r="K224">
        <v>0.18179999999999999</v>
      </c>
      <c r="L224">
        <v>0.4</v>
      </c>
      <c r="M224" s="18">
        <v>0.28360000000000002</v>
      </c>
      <c r="N224" s="18">
        <v>5</v>
      </c>
      <c r="O224" s="18">
        <v>47</v>
      </c>
      <c r="P224">
        <v>52</v>
      </c>
      <c r="Q224" s="18" t="s">
        <v>34</v>
      </c>
      <c r="R224" s="18" t="s">
        <v>35</v>
      </c>
      <c r="S224" s="18" t="s">
        <v>38</v>
      </c>
      <c r="T224" s="18" t="s">
        <v>41</v>
      </c>
      <c r="U224" s="18">
        <v>2011</v>
      </c>
      <c r="V224" s="16">
        <f t="shared" si="6"/>
        <v>40587</v>
      </c>
      <c r="W224" s="18" t="str">
        <f t="shared" si="7"/>
        <v>Weekday</v>
      </c>
    </row>
    <row r="225" spans="1:23" x14ac:dyDescent="0.25">
      <c r="A225" s="19">
        <v>223</v>
      </c>
      <c r="B225" s="20">
        <v>40553</v>
      </c>
      <c r="C225" s="18">
        <v>1</v>
      </c>
      <c r="D225" s="18">
        <v>0</v>
      </c>
      <c r="E225" s="18">
        <v>1</v>
      </c>
      <c r="F225" s="18">
        <v>13</v>
      </c>
      <c r="G225" s="18" t="b">
        <v>0</v>
      </c>
      <c r="H225" s="18">
        <v>1</v>
      </c>
      <c r="I225" s="18">
        <v>2</v>
      </c>
      <c r="J225" s="18">
        <v>0.2</v>
      </c>
      <c r="K225">
        <v>0.18179999999999999</v>
      </c>
      <c r="L225">
        <v>0.4</v>
      </c>
      <c r="M225" s="18">
        <v>0.28360000000000002</v>
      </c>
      <c r="N225" s="18">
        <v>4</v>
      </c>
      <c r="O225" s="18">
        <v>50</v>
      </c>
      <c r="P225">
        <v>54</v>
      </c>
      <c r="Q225" s="18" t="s">
        <v>34</v>
      </c>
      <c r="R225" s="18" t="s">
        <v>35</v>
      </c>
      <c r="S225" s="18" t="s">
        <v>38</v>
      </c>
      <c r="T225" s="18" t="s">
        <v>41</v>
      </c>
      <c r="U225" s="18">
        <v>2011</v>
      </c>
      <c r="V225" s="16">
        <f t="shared" si="6"/>
        <v>40587</v>
      </c>
      <c r="W225" s="18" t="str">
        <f t="shared" si="7"/>
        <v>Weekday</v>
      </c>
    </row>
    <row r="226" spans="1:23" x14ac:dyDescent="0.25">
      <c r="A226" s="19">
        <v>224</v>
      </c>
      <c r="B226" s="20">
        <v>40553</v>
      </c>
      <c r="C226" s="18">
        <v>1</v>
      </c>
      <c r="D226" s="18">
        <v>0</v>
      </c>
      <c r="E226" s="18">
        <v>1</v>
      </c>
      <c r="F226" s="18">
        <v>14</v>
      </c>
      <c r="G226" s="18" t="b">
        <v>0</v>
      </c>
      <c r="H226" s="18">
        <v>1</v>
      </c>
      <c r="I226" s="18">
        <v>2</v>
      </c>
      <c r="J226" s="18">
        <v>0.2</v>
      </c>
      <c r="K226">
        <v>0.19700000000000001</v>
      </c>
      <c r="L226">
        <v>0.4</v>
      </c>
      <c r="M226" s="18">
        <v>0.22389999999999999</v>
      </c>
      <c r="N226" s="18">
        <v>0</v>
      </c>
      <c r="O226" s="18">
        <v>47</v>
      </c>
      <c r="P226">
        <v>47</v>
      </c>
      <c r="Q226" s="18" t="s">
        <v>34</v>
      </c>
      <c r="R226" s="18" t="s">
        <v>35</v>
      </c>
      <c r="S226" s="18" t="s">
        <v>38</v>
      </c>
      <c r="T226" s="18" t="s">
        <v>41</v>
      </c>
      <c r="U226" s="18">
        <v>2011</v>
      </c>
      <c r="V226" s="16">
        <f t="shared" si="6"/>
        <v>40587</v>
      </c>
      <c r="W226" s="18" t="str">
        <f t="shared" si="7"/>
        <v>Weekday</v>
      </c>
    </row>
    <row r="227" spans="1:23" x14ac:dyDescent="0.25">
      <c r="A227" s="19">
        <v>225</v>
      </c>
      <c r="B227" s="20">
        <v>40553</v>
      </c>
      <c r="C227" s="18">
        <v>1</v>
      </c>
      <c r="D227" s="18">
        <v>0</v>
      </c>
      <c r="E227" s="18">
        <v>1</v>
      </c>
      <c r="F227" s="18">
        <v>15</v>
      </c>
      <c r="G227" s="18" t="b">
        <v>0</v>
      </c>
      <c r="H227" s="18">
        <v>1</v>
      </c>
      <c r="I227" s="18">
        <v>2</v>
      </c>
      <c r="J227" s="18">
        <v>0.2</v>
      </c>
      <c r="K227">
        <v>0.19700000000000001</v>
      </c>
      <c r="L227">
        <v>0.4</v>
      </c>
      <c r="M227" s="18">
        <v>0.22389999999999999</v>
      </c>
      <c r="N227" s="18">
        <v>2</v>
      </c>
      <c r="O227" s="18">
        <v>43</v>
      </c>
      <c r="P227">
        <v>45</v>
      </c>
      <c r="Q227" s="18" t="s">
        <v>34</v>
      </c>
      <c r="R227" s="18" t="s">
        <v>35</v>
      </c>
      <c r="S227" s="18" t="s">
        <v>38</v>
      </c>
      <c r="T227" s="18" t="s">
        <v>41</v>
      </c>
      <c r="U227" s="18">
        <v>2011</v>
      </c>
      <c r="V227" s="16">
        <f t="shared" si="6"/>
        <v>40587</v>
      </c>
      <c r="W227" s="18" t="str">
        <f t="shared" si="7"/>
        <v>Weekday</v>
      </c>
    </row>
    <row r="228" spans="1:23" x14ac:dyDescent="0.25">
      <c r="A228" s="19">
        <v>226</v>
      </c>
      <c r="B228" s="20">
        <v>40553</v>
      </c>
      <c r="C228" s="18">
        <v>1</v>
      </c>
      <c r="D228" s="18">
        <v>0</v>
      </c>
      <c r="E228" s="18">
        <v>1</v>
      </c>
      <c r="F228" s="18">
        <v>16</v>
      </c>
      <c r="G228" s="18" t="b">
        <v>0</v>
      </c>
      <c r="H228" s="18">
        <v>1</v>
      </c>
      <c r="I228" s="18">
        <v>1</v>
      </c>
      <c r="J228" s="18">
        <v>0.2</v>
      </c>
      <c r="K228">
        <v>0.21210000000000001</v>
      </c>
      <c r="L228">
        <v>0.4</v>
      </c>
      <c r="M228" s="18">
        <v>0.1343</v>
      </c>
      <c r="N228" s="18">
        <v>4</v>
      </c>
      <c r="O228" s="18">
        <v>70</v>
      </c>
      <c r="P228">
        <v>74</v>
      </c>
      <c r="Q228" s="18" t="s">
        <v>34</v>
      </c>
      <c r="R228" s="18" t="s">
        <v>35</v>
      </c>
      <c r="S228" s="18" t="s">
        <v>36</v>
      </c>
      <c r="T228" s="18" t="s">
        <v>41</v>
      </c>
      <c r="U228" s="18">
        <v>2011</v>
      </c>
      <c r="V228" s="16">
        <f t="shared" si="6"/>
        <v>40587</v>
      </c>
      <c r="W228" s="18" t="str">
        <f t="shared" si="7"/>
        <v>Weekday</v>
      </c>
    </row>
    <row r="229" spans="1:23" x14ac:dyDescent="0.25">
      <c r="A229" s="19">
        <v>227</v>
      </c>
      <c r="B229" s="20">
        <v>40553</v>
      </c>
      <c r="C229" s="18">
        <v>1</v>
      </c>
      <c r="D229" s="18">
        <v>0</v>
      </c>
      <c r="E229" s="18">
        <v>1</v>
      </c>
      <c r="F229" s="18">
        <v>17</v>
      </c>
      <c r="G229" s="18" t="b">
        <v>0</v>
      </c>
      <c r="H229" s="18">
        <v>1</v>
      </c>
      <c r="I229" s="18">
        <v>1</v>
      </c>
      <c r="J229" s="18">
        <v>0.2</v>
      </c>
      <c r="K229">
        <v>0.2273</v>
      </c>
      <c r="L229">
        <v>0.4</v>
      </c>
      <c r="M229" s="18">
        <v>0.1045</v>
      </c>
      <c r="N229" s="18">
        <v>4</v>
      </c>
      <c r="O229" s="18">
        <v>174</v>
      </c>
      <c r="P229">
        <v>178</v>
      </c>
      <c r="Q229" s="18" t="s">
        <v>34</v>
      </c>
      <c r="R229" s="18" t="s">
        <v>35</v>
      </c>
      <c r="S229" s="18" t="s">
        <v>36</v>
      </c>
      <c r="T229" s="18" t="s">
        <v>41</v>
      </c>
      <c r="U229" s="18">
        <v>2011</v>
      </c>
      <c r="V229" s="16">
        <f t="shared" si="6"/>
        <v>40587</v>
      </c>
      <c r="W229" s="18" t="str">
        <f t="shared" si="7"/>
        <v>Weekday</v>
      </c>
    </row>
    <row r="230" spans="1:23" x14ac:dyDescent="0.25">
      <c r="A230" s="19">
        <v>228</v>
      </c>
      <c r="B230" s="20">
        <v>40553</v>
      </c>
      <c r="C230" s="18">
        <v>1</v>
      </c>
      <c r="D230" s="18">
        <v>0</v>
      </c>
      <c r="E230" s="18">
        <v>1</v>
      </c>
      <c r="F230" s="18">
        <v>18</v>
      </c>
      <c r="G230" s="18" t="b">
        <v>0</v>
      </c>
      <c r="H230" s="18">
        <v>1</v>
      </c>
      <c r="I230" s="18">
        <v>1</v>
      </c>
      <c r="J230" s="18">
        <v>0.2</v>
      </c>
      <c r="K230">
        <v>0.19700000000000001</v>
      </c>
      <c r="L230">
        <v>0.4</v>
      </c>
      <c r="M230" s="18">
        <v>0.22389999999999999</v>
      </c>
      <c r="N230" s="18">
        <v>1</v>
      </c>
      <c r="O230" s="18">
        <v>154</v>
      </c>
      <c r="P230">
        <v>155</v>
      </c>
      <c r="Q230" s="18" t="s">
        <v>34</v>
      </c>
      <c r="R230" s="18" t="s">
        <v>35</v>
      </c>
      <c r="S230" s="18" t="s">
        <v>36</v>
      </c>
      <c r="T230" s="18" t="s">
        <v>41</v>
      </c>
      <c r="U230" s="18">
        <v>2011</v>
      </c>
      <c r="V230" s="16">
        <f t="shared" si="6"/>
        <v>40587</v>
      </c>
      <c r="W230" s="18" t="str">
        <f t="shared" si="7"/>
        <v>Weekday</v>
      </c>
    </row>
    <row r="231" spans="1:23" x14ac:dyDescent="0.25">
      <c r="A231" s="19">
        <v>229</v>
      </c>
      <c r="B231" s="20">
        <v>40553</v>
      </c>
      <c r="C231" s="18">
        <v>1</v>
      </c>
      <c r="D231" s="18">
        <v>0</v>
      </c>
      <c r="E231" s="18">
        <v>1</v>
      </c>
      <c r="F231" s="18">
        <v>19</v>
      </c>
      <c r="G231" s="18" t="b">
        <v>0</v>
      </c>
      <c r="H231" s="18">
        <v>1</v>
      </c>
      <c r="I231" s="18">
        <v>1</v>
      </c>
      <c r="J231" s="18">
        <v>0.16</v>
      </c>
      <c r="K231">
        <v>0.16669999999999999</v>
      </c>
      <c r="L231">
        <v>0.47</v>
      </c>
      <c r="M231" s="18">
        <v>0.16420000000000001</v>
      </c>
      <c r="N231" s="18">
        <v>3</v>
      </c>
      <c r="O231" s="18">
        <v>92</v>
      </c>
      <c r="P231">
        <v>95</v>
      </c>
      <c r="Q231" s="18" t="s">
        <v>34</v>
      </c>
      <c r="R231" s="18" t="s">
        <v>35</v>
      </c>
      <c r="S231" s="18" t="s">
        <v>36</v>
      </c>
      <c r="T231" s="18" t="s">
        <v>41</v>
      </c>
      <c r="U231" s="18">
        <v>2011</v>
      </c>
      <c r="V231" s="16">
        <f t="shared" si="6"/>
        <v>40587</v>
      </c>
      <c r="W231" s="18" t="str">
        <f t="shared" si="7"/>
        <v>Weekday</v>
      </c>
    </row>
    <row r="232" spans="1:23" x14ac:dyDescent="0.25">
      <c r="A232" s="19">
        <v>230</v>
      </c>
      <c r="B232" s="20">
        <v>40553</v>
      </c>
      <c r="C232" s="18">
        <v>1</v>
      </c>
      <c r="D232" s="18">
        <v>0</v>
      </c>
      <c r="E232" s="18">
        <v>1</v>
      </c>
      <c r="F232" s="18">
        <v>20</v>
      </c>
      <c r="G232" s="18" t="b">
        <v>0</v>
      </c>
      <c r="H232" s="18">
        <v>1</v>
      </c>
      <c r="I232" s="18">
        <v>1</v>
      </c>
      <c r="J232" s="18">
        <v>0.16</v>
      </c>
      <c r="K232">
        <v>0.16669999999999999</v>
      </c>
      <c r="L232">
        <v>0.5</v>
      </c>
      <c r="M232" s="18">
        <v>0.16420000000000001</v>
      </c>
      <c r="N232" s="18">
        <v>1</v>
      </c>
      <c r="O232" s="18">
        <v>73</v>
      </c>
      <c r="P232">
        <v>74</v>
      </c>
      <c r="Q232" s="18" t="s">
        <v>34</v>
      </c>
      <c r="R232" s="18" t="s">
        <v>35</v>
      </c>
      <c r="S232" s="18" t="s">
        <v>36</v>
      </c>
      <c r="T232" s="18" t="s">
        <v>41</v>
      </c>
      <c r="U232" s="18">
        <v>2011</v>
      </c>
      <c r="V232" s="16">
        <f t="shared" si="6"/>
        <v>40587</v>
      </c>
      <c r="W232" s="18" t="str">
        <f t="shared" si="7"/>
        <v>Weekday</v>
      </c>
    </row>
    <row r="233" spans="1:23" x14ac:dyDescent="0.25">
      <c r="A233" s="19">
        <v>231</v>
      </c>
      <c r="B233" s="20">
        <v>40553</v>
      </c>
      <c r="C233" s="18">
        <v>1</v>
      </c>
      <c r="D233" s="18">
        <v>0</v>
      </c>
      <c r="E233" s="18">
        <v>1</v>
      </c>
      <c r="F233" s="18">
        <v>21</v>
      </c>
      <c r="G233" s="18" t="b">
        <v>0</v>
      </c>
      <c r="H233" s="18">
        <v>1</v>
      </c>
      <c r="I233" s="18">
        <v>1</v>
      </c>
      <c r="J233" s="18">
        <v>0.14000000000000001</v>
      </c>
      <c r="K233">
        <v>0.13639999999999999</v>
      </c>
      <c r="L233">
        <v>0.59</v>
      </c>
      <c r="M233" s="18">
        <v>0.19400000000000001</v>
      </c>
      <c r="N233" s="18">
        <v>1</v>
      </c>
      <c r="O233" s="18">
        <v>37</v>
      </c>
      <c r="P233">
        <v>38</v>
      </c>
      <c r="Q233" s="18" t="s">
        <v>34</v>
      </c>
      <c r="R233" s="18" t="s">
        <v>35</v>
      </c>
      <c r="S233" s="18" t="s">
        <v>36</v>
      </c>
      <c r="T233" s="18" t="s">
        <v>41</v>
      </c>
      <c r="U233" s="18">
        <v>2011</v>
      </c>
      <c r="V233" s="16">
        <f t="shared" si="6"/>
        <v>40587</v>
      </c>
      <c r="W233" s="18" t="str">
        <f t="shared" si="7"/>
        <v>Weekday</v>
      </c>
    </row>
    <row r="234" spans="1:23" x14ac:dyDescent="0.25">
      <c r="A234" s="19">
        <v>232</v>
      </c>
      <c r="B234" s="20">
        <v>40553</v>
      </c>
      <c r="C234" s="18">
        <v>1</v>
      </c>
      <c r="D234" s="18">
        <v>0</v>
      </c>
      <c r="E234" s="18">
        <v>1</v>
      </c>
      <c r="F234" s="18">
        <v>22</v>
      </c>
      <c r="G234" s="18" t="b">
        <v>0</v>
      </c>
      <c r="H234" s="18">
        <v>1</v>
      </c>
      <c r="I234" s="18">
        <v>1</v>
      </c>
      <c r="J234" s="18">
        <v>0.14000000000000001</v>
      </c>
      <c r="K234">
        <v>0.1515</v>
      </c>
      <c r="L234">
        <v>0.59</v>
      </c>
      <c r="M234" s="18">
        <v>0.16420000000000001</v>
      </c>
      <c r="N234" s="18">
        <v>2</v>
      </c>
      <c r="O234" s="18">
        <v>22</v>
      </c>
      <c r="P234">
        <v>24</v>
      </c>
      <c r="Q234" s="18" t="s">
        <v>34</v>
      </c>
      <c r="R234" s="18" t="s">
        <v>35</v>
      </c>
      <c r="S234" s="18" t="s">
        <v>36</v>
      </c>
      <c r="T234" s="18" t="s">
        <v>41</v>
      </c>
      <c r="U234" s="18">
        <v>2011</v>
      </c>
      <c r="V234" s="16">
        <f t="shared" si="6"/>
        <v>40587</v>
      </c>
      <c r="W234" s="18" t="str">
        <f t="shared" si="7"/>
        <v>Weekday</v>
      </c>
    </row>
    <row r="235" spans="1:23" x14ac:dyDescent="0.25">
      <c r="A235" s="19">
        <v>233</v>
      </c>
      <c r="B235" s="20">
        <v>40553</v>
      </c>
      <c r="C235" s="18">
        <v>1</v>
      </c>
      <c r="D235" s="18">
        <v>0</v>
      </c>
      <c r="E235" s="18">
        <v>1</v>
      </c>
      <c r="F235" s="18">
        <v>23</v>
      </c>
      <c r="G235" s="18" t="b">
        <v>0</v>
      </c>
      <c r="H235" s="18">
        <v>1</v>
      </c>
      <c r="I235" s="18">
        <v>1</v>
      </c>
      <c r="J235" s="18">
        <v>0.14000000000000001</v>
      </c>
      <c r="K235">
        <v>0.1515</v>
      </c>
      <c r="L235">
        <v>0.59</v>
      </c>
      <c r="M235" s="18">
        <v>0.16420000000000001</v>
      </c>
      <c r="N235" s="18">
        <v>0</v>
      </c>
      <c r="O235" s="18">
        <v>18</v>
      </c>
      <c r="P235">
        <v>18</v>
      </c>
      <c r="Q235" s="18" t="s">
        <v>34</v>
      </c>
      <c r="R235" s="18" t="s">
        <v>35</v>
      </c>
      <c r="S235" s="18" t="s">
        <v>36</v>
      </c>
      <c r="T235" s="18" t="s">
        <v>41</v>
      </c>
      <c r="U235" s="18">
        <v>2011</v>
      </c>
      <c r="V235" s="16">
        <f t="shared" si="6"/>
        <v>40587</v>
      </c>
      <c r="W235" s="18" t="str">
        <f t="shared" si="7"/>
        <v>Weekday</v>
      </c>
    </row>
    <row r="236" spans="1:23" x14ac:dyDescent="0.25">
      <c r="A236" s="19">
        <v>234</v>
      </c>
      <c r="B236" s="20">
        <v>40554</v>
      </c>
      <c r="C236" s="18">
        <v>1</v>
      </c>
      <c r="D236" s="18">
        <v>0</v>
      </c>
      <c r="E236" s="18">
        <v>1</v>
      </c>
      <c r="F236" s="18">
        <v>0</v>
      </c>
      <c r="G236" s="18" t="b">
        <v>0</v>
      </c>
      <c r="H236" s="18">
        <v>2</v>
      </c>
      <c r="I236" s="18">
        <v>1</v>
      </c>
      <c r="J236" s="18">
        <v>0.14000000000000001</v>
      </c>
      <c r="K236">
        <v>0.16669999999999999</v>
      </c>
      <c r="L236">
        <v>0.59</v>
      </c>
      <c r="M236" s="18">
        <v>0.1045</v>
      </c>
      <c r="N236" s="18">
        <v>2</v>
      </c>
      <c r="O236" s="18">
        <v>10</v>
      </c>
      <c r="P236">
        <v>12</v>
      </c>
      <c r="Q236" s="18" t="s">
        <v>34</v>
      </c>
      <c r="R236" s="18" t="s">
        <v>35</v>
      </c>
      <c r="S236" s="18" t="s">
        <v>36</v>
      </c>
      <c r="T236" s="18" t="s">
        <v>42</v>
      </c>
      <c r="U236" s="18">
        <v>2011</v>
      </c>
      <c r="V236" s="16">
        <f t="shared" si="6"/>
        <v>40587</v>
      </c>
      <c r="W236" s="18" t="str">
        <f t="shared" si="7"/>
        <v>Weekday</v>
      </c>
    </row>
    <row r="237" spans="1:23" x14ac:dyDescent="0.25">
      <c r="A237" s="19">
        <v>235</v>
      </c>
      <c r="B237" s="20">
        <v>40554</v>
      </c>
      <c r="C237" s="18">
        <v>1</v>
      </c>
      <c r="D237" s="18">
        <v>0</v>
      </c>
      <c r="E237" s="18">
        <v>1</v>
      </c>
      <c r="F237" s="18">
        <v>1</v>
      </c>
      <c r="G237" s="18" t="b">
        <v>0</v>
      </c>
      <c r="H237" s="18">
        <v>2</v>
      </c>
      <c r="I237" s="18">
        <v>1</v>
      </c>
      <c r="J237" s="18">
        <v>0.14000000000000001</v>
      </c>
      <c r="K237">
        <v>0.1515</v>
      </c>
      <c r="L237">
        <v>0.59</v>
      </c>
      <c r="M237" s="18">
        <v>0.16420000000000001</v>
      </c>
      <c r="N237" s="18">
        <v>0</v>
      </c>
      <c r="O237" s="18">
        <v>3</v>
      </c>
      <c r="P237">
        <v>3</v>
      </c>
      <c r="Q237" s="18" t="s">
        <v>34</v>
      </c>
      <c r="R237" s="18" t="s">
        <v>35</v>
      </c>
      <c r="S237" s="18" t="s">
        <v>36</v>
      </c>
      <c r="T237" s="18" t="s">
        <v>42</v>
      </c>
      <c r="U237" s="18">
        <v>2011</v>
      </c>
      <c r="V237" s="16">
        <f t="shared" si="6"/>
        <v>40587</v>
      </c>
      <c r="W237" s="18" t="str">
        <f t="shared" si="7"/>
        <v>Weekday</v>
      </c>
    </row>
    <row r="238" spans="1:23" x14ac:dyDescent="0.25">
      <c r="A238" s="19">
        <v>236</v>
      </c>
      <c r="B238" s="20">
        <v>40554</v>
      </c>
      <c r="C238" s="18">
        <v>1</v>
      </c>
      <c r="D238" s="18">
        <v>0</v>
      </c>
      <c r="E238" s="18">
        <v>1</v>
      </c>
      <c r="F238" s="18">
        <v>2</v>
      </c>
      <c r="G238" s="18" t="b">
        <v>0</v>
      </c>
      <c r="H238" s="18">
        <v>2</v>
      </c>
      <c r="I238" s="18">
        <v>2</v>
      </c>
      <c r="J238" s="18">
        <v>0.16</v>
      </c>
      <c r="K238">
        <v>0.1515</v>
      </c>
      <c r="L238">
        <v>0.55000000000000004</v>
      </c>
      <c r="M238" s="18">
        <v>0.19400000000000001</v>
      </c>
      <c r="N238" s="18">
        <v>0</v>
      </c>
      <c r="O238" s="18">
        <v>3</v>
      </c>
      <c r="P238">
        <v>3</v>
      </c>
      <c r="Q238" s="18" t="s">
        <v>34</v>
      </c>
      <c r="R238" s="18" t="s">
        <v>35</v>
      </c>
      <c r="S238" s="18" t="s">
        <v>38</v>
      </c>
      <c r="T238" s="18" t="s">
        <v>42</v>
      </c>
      <c r="U238" s="18">
        <v>2011</v>
      </c>
      <c r="V238" s="16">
        <f t="shared" si="6"/>
        <v>40587</v>
      </c>
      <c r="W238" s="18" t="str">
        <f t="shared" si="7"/>
        <v>Weekday</v>
      </c>
    </row>
    <row r="239" spans="1:23" x14ac:dyDescent="0.25">
      <c r="A239" s="19">
        <v>237</v>
      </c>
      <c r="B239" s="20">
        <v>40554</v>
      </c>
      <c r="C239" s="18">
        <v>1</v>
      </c>
      <c r="D239" s="18">
        <v>0</v>
      </c>
      <c r="E239" s="18">
        <v>1</v>
      </c>
      <c r="F239" s="18">
        <v>5</v>
      </c>
      <c r="G239" s="18" t="b">
        <v>0</v>
      </c>
      <c r="H239" s="18">
        <v>2</v>
      </c>
      <c r="I239" s="18">
        <v>2</v>
      </c>
      <c r="J239" s="18">
        <v>0.16</v>
      </c>
      <c r="K239">
        <v>0.18179999999999999</v>
      </c>
      <c r="L239">
        <v>0.55000000000000004</v>
      </c>
      <c r="M239" s="18">
        <v>0.1343</v>
      </c>
      <c r="N239" s="18">
        <v>0</v>
      </c>
      <c r="O239" s="18">
        <v>6</v>
      </c>
      <c r="P239">
        <v>6</v>
      </c>
      <c r="Q239" s="18" t="s">
        <v>34</v>
      </c>
      <c r="R239" s="18" t="s">
        <v>35</v>
      </c>
      <c r="S239" s="18" t="s">
        <v>38</v>
      </c>
      <c r="T239" s="18" t="s">
        <v>42</v>
      </c>
      <c r="U239" s="18">
        <v>2011</v>
      </c>
      <c r="V239" s="16">
        <f t="shared" si="6"/>
        <v>40587</v>
      </c>
      <c r="W239" s="18" t="str">
        <f t="shared" si="7"/>
        <v>Weekday</v>
      </c>
    </row>
    <row r="240" spans="1:23" x14ac:dyDescent="0.25">
      <c r="A240" s="19">
        <v>238</v>
      </c>
      <c r="B240" s="20">
        <v>40554</v>
      </c>
      <c r="C240" s="18">
        <v>1</v>
      </c>
      <c r="D240" s="18">
        <v>0</v>
      </c>
      <c r="E240" s="18">
        <v>1</v>
      </c>
      <c r="F240" s="18">
        <v>6</v>
      </c>
      <c r="G240" s="18" t="b">
        <v>0</v>
      </c>
      <c r="H240" s="18">
        <v>2</v>
      </c>
      <c r="I240" s="18">
        <v>2</v>
      </c>
      <c r="J240" s="18">
        <v>0.16</v>
      </c>
      <c r="K240">
        <v>0.18179999999999999</v>
      </c>
      <c r="L240">
        <v>0.55000000000000004</v>
      </c>
      <c r="M240" s="18">
        <v>0.1343</v>
      </c>
      <c r="N240" s="18">
        <v>0</v>
      </c>
      <c r="O240" s="18">
        <v>27</v>
      </c>
      <c r="P240">
        <v>27</v>
      </c>
      <c r="Q240" s="18" t="s">
        <v>34</v>
      </c>
      <c r="R240" s="18" t="s">
        <v>35</v>
      </c>
      <c r="S240" s="18" t="s">
        <v>38</v>
      </c>
      <c r="T240" s="18" t="s">
        <v>42</v>
      </c>
      <c r="U240" s="18">
        <v>2011</v>
      </c>
      <c r="V240" s="16">
        <f t="shared" si="6"/>
        <v>40587</v>
      </c>
      <c r="W240" s="18" t="str">
        <f t="shared" si="7"/>
        <v>Weekday</v>
      </c>
    </row>
    <row r="241" spans="1:23" x14ac:dyDescent="0.25">
      <c r="A241" s="19">
        <v>239</v>
      </c>
      <c r="B241" s="20">
        <v>40554</v>
      </c>
      <c r="C241" s="18">
        <v>1</v>
      </c>
      <c r="D241" s="18">
        <v>0</v>
      </c>
      <c r="E241" s="18">
        <v>1</v>
      </c>
      <c r="F241" s="18">
        <v>7</v>
      </c>
      <c r="G241" s="18" t="b">
        <v>0</v>
      </c>
      <c r="H241" s="18">
        <v>2</v>
      </c>
      <c r="I241" s="18">
        <v>2</v>
      </c>
      <c r="J241" s="18">
        <v>0.16</v>
      </c>
      <c r="K241">
        <v>0.2273</v>
      </c>
      <c r="L241">
        <v>0.55000000000000004</v>
      </c>
      <c r="M241" s="18">
        <v>0</v>
      </c>
      <c r="N241" s="18">
        <v>2</v>
      </c>
      <c r="O241" s="18">
        <v>97</v>
      </c>
      <c r="P241">
        <v>99</v>
      </c>
      <c r="Q241" s="18" t="s">
        <v>34</v>
      </c>
      <c r="R241" s="18" t="s">
        <v>35</v>
      </c>
      <c r="S241" s="18" t="s">
        <v>38</v>
      </c>
      <c r="T241" s="18" t="s">
        <v>42</v>
      </c>
      <c r="U241" s="18">
        <v>2011</v>
      </c>
      <c r="V241" s="16">
        <f t="shared" si="6"/>
        <v>40587</v>
      </c>
      <c r="W241" s="18" t="str">
        <f t="shared" si="7"/>
        <v>Weekday</v>
      </c>
    </row>
    <row r="242" spans="1:23" x14ac:dyDescent="0.25">
      <c r="A242" s="19">
        <v>240</v>
      </c>
      <c r="B242" s="20">
        <v>40554</v>
      </c>
      <c r="C242" s="18">
        <v>1</v>
      </c>
      <c r="D242" s="18">
        <v>0</v>
      </c>
      <c r="E242" s="18">
        <v>1</v>
      </c>
      <c r="F242" s="18">
        <v>8</v>
      </c>
      <c r="G242" s="18" t="b">
        <v>0</v>
      </c>
      <c r="H242" s="18">
        <v>2</v>
      </c>
      <c r="I242" s="18">
        <v>2</v>
      </c>
      <c r="J242" s="18">
        <v>0.18</v>
      </c>
      <c r="K242">
        <v>0.21210000000000001</v>
      </c>
      <c r="L242">
        <v>0.51</v>
      </c>
      <c r="M242" s="18">
        <v>8.9599999999999999E-2</v>
      </c>
      <c r="N242" s="18">
        <v>3</v>
      </c>
      <c r="O242" s="18">
        <v>214</v>
      </c>
      <c r="P242">
        <v>217</v>
      </c>
      <c r="Q242" s="18" t="s">
        <v>34</v>
      </c>
      <c r="R242" s="18" t="s">
        <v>35</v>
      </c>
      <c r="S242" s="18" t="s">
        <v>38</v>
      </c>
      <c r="T242" s="18" t="s">
        <v>42</v>
      </c>
      <c r="U242" s="18">
        <v>2011</v>
      </c>
      <c r="V242" s="16">
        <f t="shared" si="6"/>
        <v>40587</v>
      </c>
      <c r="W242" s="18" t="str">
        <f t="shared" si="7"/>
        <v>Weekday</v>
      </c>
    </row>
    <row r="243" spans="1:23" x14ac:dyDescent="0.25">
      <c r="A243" s="19">
        <v>241</v>
      </c>
      <c r="B243" s="20">
        <v>40554</v>
      </c>
      <c r="C243" s="18">
        <v>1</v>
      </c>
      <c r="D243" s="18">
        <v>0</v>
      </c>
      <c r="E243" s="18">
        <v>1</v>
      </c>
      <c r="F243" s="18">
        <v>9</v>
      </c>
      <c r="G243" s="18" t="b">
        <v>0</v>
      </c>
      <c r="H243" s="18">
        <v>2</v>
      </c>
      <c r="I243" s="18">
        <v>2</v>
      </c>
      <c r="J243" s="18">
        <v>0.18</v>
      </c>
      <c r="K243">
        <v>0.19700000000000001</v>
      </c>
      <c r="L243">
        <v>0.51</v>
      </c>
      <c r="M243" s="18">
        <v>0.16420000000000001</v>
      </c>
      <c r="N243" s="18">
        <v>3</v>
      </c>
      <c r="O243" s="18">
        <v>127</v>
      </c>
      <c r="P243">
        <v>130</v>
      </c>
      <c r="Q243" s="18" t="s">
        <v>34</v>
      </c>
      <c r="R243" s="18" t="s">
        <v>35</v>
      </c>
      <c r="S243" s="18" t="s">
        <v>38</v>
      </c>
      <c r="T243" s="18" t="s">
        <v>42</v>
      </c>
      <c r="U243" s="18">
        <v>2011</v>
      </c>
      <c r="V243" s="16">
        <f t="shared" si="6"/>
        <v>40587</v>
      </c>
      <c r="W243" s="18" t="str">
        <f t="shared" si="7"/>
        <v>Weekday</v>
      </c>
    </row>
    <row r="244" spans="1:23" x14ac:dyDescent="0.25">
      <c r="A244" s="19">
        <v>242</v>
      </c>
      <c r="B244" s="20">
        <v>40554</v>
      </c>
      <c r="C244" s="18">
        <v>1</v>
      </c>
      <c r="D244" s="18">
        <v>0</v>
      </c>
      <c r="E244" s="18">
        <v>1</v>
      </c>
      <c r="F244" s="18">
        <v>10</v>
      </c>
      <c r="G244" s="18" t="b">
        <v>0</v>
      </c>
      <c r="H244" s="18">
        <v>2</v>
      </c>
      <c r="I244" s="18">
        <v>2</v>
      </c>
      <c r="J244" s="18">
        <v>0.2</v>
      </c>
      <c r="K244">
        <v>0.21210000000000001</v>
      </c>
      <c r="L244">
        <v>0.51</v>
      </c>
      <c r="M244" s="18">
        <v>0.16420000000000001</v>
      </c>
      <c r="N244" s="18">
        <v>3</v>
      </c>
      <c r="O244" s="18">
        <v>51</v>
      </c>
      <c r="P244">
        <v>54</v>
      </c>
      <c r="Q244" s="18" t="s">
        <v>34</v>
      </c>
      <c r="R244" s="18" t="s">
        <v>35</v>
      </c>
      <c r="S244" s="18" t="s">
        <v>38</v>
      </c>
      <c r="T244" s="18" t="s">
        <v>42</v>
      </c>
      <c r="U244" s="18">
        <v>2011</v>
      </c>
      <c r="V244" s="16">
        <f t="shared" si="6"/>
        <v>40587</v>
      </c>
      <c r="W244" s="18" t="str">
        <f t="shared" si="7"/>
        <v>Weekday</v>
      </c>
    </row>
    <row r="245" spans="1:23" x14ac:dyDescent="0.25">
      <c r="A245" s="19">
        <v>243</v>
      </c>
      <c r="B245" s="20">
        <v>40554</v>
      </c>
      <c r="C245" s="18">
        <v>1</v>
      </c>
      <c r="D245" s="18">
        <v>0</v>
      </c>
      <c r="E245" s="18">
        <v>1</v>
      </c>
      <c r="F245" s="18">
        <v>11</v>
      </c>
      <c r="G245" s="18" t="b">
        <v>0</v>
      </c>
      <c r="H245" s="18">
        <v>2</v>
      </c>
      <c r="I245" s="18">
        <v>2</v>
      </c>
      <c r="J245" s="18">
        <v>0.2</v>
      </c>
      <c r="K245">
        <v>0.21210000000000001</v>
      </c>
      <c r="L245">
        <v>0.47</v>
      </c>
      <c r="M245" s="18">
        <v>0.1343</v>
      </c>
      <c r="N245" s="18">
        <v>4</v>
      </c>
      <c r="O245" s="18">
        <v>31</v>
      </c>
      <c r="P245">
        <v>35</v>
      </c>
      <c r="Q245" s="18" t="s">
        <v>34</v>
      </c>
      <c r="R245" s="18" t="s">
        <v>35</v>
      </c>
      <c r="S245" s="18" t="s">
        <v>38</v>
      </c>
      <c r="T245" s="18" t="s">
        <v>42</v>
      </c>
      <c r="U245" s="18">
        <v>2011</v>
      </c>
      <c r="V245" s="16">
        <f t="shared" si="6"/>
        <v>40587</v>
      </c>
      <c r="W245" s="18" t="str">
        <f t="shared" si="7"/>
        <v>Weekday</v>
      </c>
    </row>
    <row r="246" spans="1:23" x14ac:dyDescent="0.25">
      <c r="A246" s="19">
        <v>244</v>
      </c>
      <c r="B246" s="20">
        <v>40554</v>
      </c>
      <c r="C246" s="18">
        <v>1</v>
      </c>
      <c r="D246" s="18">
        <v>0</v>
      </c>
      <c r="E246" s="18">
        <v>1</v>
      </c>
      <c r="F246" s="18">
        <v>12</v>
      </c>
      <c r="G246" s="18" t="b">
        <v>0</v>
      </c>
      <c r="H246" s="18">
        <v>2</v>
      </c>
      <c r="I246" s="18">
        <v>2</v>
      </c>
      <c r="J246" s="18">
        <v>0.2</v>
      </c>
      <c r="K246">
        <v>0.2273</v>
      </c>
      <c r="L246">
        <v>0.51</v>
      </c>
      <c r="M246" s="18">
        <v>0.1045</v>
      </c>
      <c r="N246" s="18">
        <v>2</v>
      </c>
      <c r="O246" s="18">
        <v>55</v>
      </c>
      <c r="P246">
        <v>57</v>
      </c>
      <c r="Q246" s="18" t="s">
        <v>34</v>
      </c>
      <c r="R246" s="18" t="s">
        <v>35</v>
      </c>
      <c r="S246" s="18" t="s">
        <v>38</v>
      </c>
      <c r="T246" s="18" t="s">
        <v>42</v>
      </c>
      <c r="U246" s="18">
        <v>2011</v>
      </c>
      <c r="V246" s="16">
        <f t="shared" si="6"/>
        <v>40587</v>
      </c>
      <c r="W246" s="18" t="str">
        <f t="shared" si="7"/>
        <v>Weekday</v>
      </c>
    </row>
    <row r="247" spans="1:23" x14ac:dyDescent="0.25">
      <c r="A247" s="19">
        <v>245</v>
      </c>
      <c r="B247" s="20">
        <v>40554</v>
      </c>
      <c r="C247" s="18">
        <v>1</v>
      </c>
      <c r="D247" s="18">
        <v>0</v>
      </c>
      <c r="E247" s="18">
        <v>1</v>
      </c>
      <c r="F247" s="18">
        <v>13</v>
      </c>
      <c r="G247" s="18" t="b">
        <v>0</v>
      </c>
      <c r="H247" s="18">
        <v>2</v>
      </c>
      <c r="I247" s="18">
        <v>2</v>
      </c>
      <c r="J247" s="18">
        <v>0.2</v>
      </c>
      <c r="K247">
        <v>0.2273</v>
      </c>
      <c r="L247">
        <v>0.59</v>
      </c>
      <c r="M247" s="18">
        <v>8.9599999999999999E-2</v>
      </c>
      <c r="N247" s="18">
        <v>6</v>
      </c>
      <c r="O247" s="18">
        <v>46</v>
      </c>
      <c r="P247">
        <v>52</v>
      </c>
      <c r="Q247" s="18" t="s">
        <v>34</v>
      </c>
      <c r="R247" s="18" t="s">
        <v>35</v>
      </c>
      <c r="S247" s="18" t="s">
        <v>38</v>
      </c>
      <c r="T247" s="18" t="s">
        <v>42</v>
      </c>
      <c r="U247" s="18">
        <v>2011</v>
      </c>
      <c r="V247" s="16">
        <f t="shared" si="6"/>
        <v>40587</v>
      </c>
      <c r="W247" s="18" t="str">
        <f t="shared" si="7"/>
        <v>Weekday</v>
      </c>
    </row>
    <row r="248" spans="1:23" x14ac:dyDescent="0.25">
      <c r="A248" s="19">
        <v>246</v>
      </c>
      <c r="B248" s="20">
        <v>40554</v>
      </c>
      <c r="C248" s="18">
        <v>1</v>
      </c>
      <c r="D248" s="18">
        <v>0</v>
      </c>
      <c r="E248" s="18">
        <v>1</v>
      </c>
      <c r="F248" s="18">
        <v>14</v>
      </c>
      <c r="G248" s="18" t="b">
        <v>0</v>
      </c>
      <c r="H248" s="18">
        <v>2</v>
      </c>
      <c r="I248" s="18">
        <v>2</v>
      </c>
      <c r="J248" s="18">
        <v>0.2</v>
      </c>
      <c r="K248">
        <v>0.2273</v>
      </c>
      <c r="L248">
        <v>0.59</v>
      </c>
      <c r="M248" s="18">
        <v>8.9599999999999999E-2</v>
      </c>
      <c r="N248" s="18">
        <v>3</v>
      </c>
      <c r="O248" s="18">
        <v>60</v>
      </c>
      <c r="P248">
        <v>63</v>
      </c>
      <c r="Q248" s="18" t="s">
        <v>34</v>
      </c>
      <c r="R248" s="18" t="s">
        <v>35</v>
      </c>
      <c r="S248" s="18" t="s">
        <v>38</v>
      </c>
      <c r="T248" s="18" t="s">
        <v>42</v>
      </c>
      <c r="U248" s="18">
        <v>2011</v>
      </c>
      <c r="V248" s="16">
        <f t="shared" si="6"/>
        <v>40587</v>
      </c>
      <c r="W248" s="18" t="str">
        <f t="shared" si="7"/>
        <v>Weekday</v>
      </c>
    </row>
    <row r="249" spans="1:23" x14ac:dyDescent="0.25">
      <c r="A249" s="19">
        <v>247</v>
      </c>
      <c r="B249" s="20">
        <v>40554</v>
      </c>
      <c r="C249" s="18">
        <v>1</v>
      </c>
      <c r="D249" s="18">
        <v>0</v>
      </c>
      <c r="E249" s="18">
        <v>1</v>
      </c>
      <c r="F249" s="18">
        <v>15</v>
      </c>
      <c r="G249" s="18" t="b">
        <v>0</v>
      </c>
      <c r="H249" s="18">
        <v>2</v>
      </c>
      <c r="I249" s="18">
        <v>2</v>
      </c>
      <c r="J249" s="18">
        <v>0.16</v>
      </c>
      <c r="K249">
        <v>0.19700000000000001</v>
      </c>
      <c r="L249">
        <v>0.8</v>
      </c>
      <c r="M249" s="18">
        <v>8.9599999999999999E-2</v>
      </c>
      <c r="N249" s="18">
        <v>2</v>
      </c>
      <c r="O249" s="18">
        <v>45</v>
      </c>
      <c r="P249">
        <v>47</v>
      </c>
      <c r="Q249" s="18" t="s">
        <v>34</v>
      </c>
      <c r="R249" s="18" t="s">
        <v>35</v>
      </c>
      <c r="S249" s="18" t="s">
        <v>38</v>
      </c>
      <c r="T249" s="18" t="s">
        <v>42</v>
      </c>
      <c r="U249" s="18">
        <v>2011</v>
      </c>
      <c r="V249" s="16">
        <f t="shared" si="6"/>
        <v>40587</v>
      </c>
      <c r="W249" s="18" t="str">
        <f t="shared" si="7"/>
        <v>Weekday</v>
      </c>
    </row>
    <row r="250" spans="1:23" x14ac:dyDescent="0.25">
      <c r="A250" s="19">
        <v>248</v>
      </c>
      <c r="B250" s="20">
        <v>40554</v>
      </c>
      <c r="C250" s="18">
        <v>1</v>
      </c>
      <c r="D250" s="18">
        <v>0</v>
      </c>
      <c r="E250" s="18">
        <v>1</v>
      </c>
      <c r="F250" s="18">
        <v>16</v>
      </c>
      <c r="G250" s="18" t="b">
        <v>0</v>
      </c>
      <c r="H250" s="18">
        <v>2</v>
      </c>
      <c r="I250" s="18">
        <v>2</v>
      </c>
      <c r="J250" s="18">
        <v>0.16</v>
      </c>
      <c r="K250">
        <v>0.1515</v>
      </c>
      <c r="L250">
        <v>0.86</v>
      </c>
      <c r="M250" s="18">
        <v>0.22389999999999999</v>
      </c>
      <c r="N250" s="18">
        <v>4</v>
      </c>
      <c r="O250" s="18">
        <v>72</v>
      </c>
      <c r="P250">
        <v>76</v>
      </c>
      <c r="Q250" s="18" t="s">
        <v>34</v>
      </c>
      <c r="R250" s="18" t="s">
        <v>35</v>
      </c>
      <c r="S250" s="18" t="s">
        <v>38</v>
      </c>
      <c r="T250" s="18" t="s">
        <v>42</v>
      </c>
      <c r="U250" s="18">
        <v>2011</v>
      </c>
      <c r="V250" s="16">
        <f t="shared" si="6"/>
        <v>40587</v>
      </c>
      <c r="W250" s="18" t="str">
        <f t="shared" si="7"/>
        <v>Weekday</v>
      </c>
    </row>
    <row r="251" spans="1:23" x14ac:dyDescent="0.25">
      <c r="A251" s="19">
        <v>249</v>
      </c>
      <c r="B251" s="20">
        <v>40554</v>
      </c>
      <c r="C251" s="18">
        <v>1</v>
      </c>
      <c r="D251" s="18">
        <v>0</v>
      </c>
      <c r="E251" s="18">
        <v>1</v>
      </c>
      <c r="F251" s="18">
        <v>17</v>
      </c>
      <c r="G251" s="18" t="b">
        <v>0</v>
      </c>
      <c r="H251" s="18">
        <v>2</v>
      </c>
      <c r="I251" s="18">
        <v>2</v>
      </c>
      <c r="J251" s="18">
        <v>0.16</v>
      </c>
      <c r="K251">
        <v>0.1515</v>
      </c>
      <c r="L251">
        <v>0.86</v>
      </c>
      <c r="M251" s="18">
        <v>0.22389999999999999</v>
      </c>
      <c r="N251" s="18">
        <v>6</v>
      </c>
      <c r="O251" s="18">
        <v>130</v>
      </c>
      <c r="P251">
        <v>136</v>
      </c>
      <c r="Q251" s="18" t="s">
        <v>34</v>
      </c>
      <c r="R251" s="18" t="s">
        <v>35</v>
      </c>
      <c r="S251" s="18" t="s">
        <v>38</v>
      </c>
      <c r="T251" s="18" t="s">
        <v>42</v>
      </c>
      <c r="U251" s="18">
        <v>2011</v>
      </c>
      <c r="V251" s="16">
        <f t="shared" si="6"/>
        <v>40587</v>
      </c>
      <c r="W251" s="18" t="str">
        <f t="shared" si="7"/>
        <v>Weekday</v>
      </c>
    </row>
    <row r="252" spans="1:23" x14ac:dyDescent="0.25">
      <c r="A252" s="19">
        <v>250</v>
      </c>
      <c r="B252" s="20">
        <v>40554</v>
      </c>
      <c r="C252" s="18">
        <v>1</v>
      </c>
      <c r="D252" s="18">
        <v>0</v>
      </c>
      <c r="E252" s="18">
        <v>1</v>
      </c>
      <c r="F252" s="18">
        <v>18</v>
      </c>
      <c r="G252" s="18" t="b">
        <v>0</v>
      </c>
      <c r="H252" s="18">
        <v>2</v>
      </c>
      <c r="I252" s="18">
        <v>3</v>
      </c>
      <c r="J252" s="18">
        <v>0.16</v>
      </c>
      <c r="K252">
        <v>0.18179999999999999</v>
      </c>
      <c r="L252">
        <v>0.93</v>
      </c>
      <c r="M252" s="18">
        <v>0.1045</v>
      </c>
      <c r="N252" s="18">
        <v>1</v>
      </c>
      <c r="O252" s="18">
        <v>94</v>
      </c>
      <c r="P252">
        <v>95</v>
      </c>
      <c r="Q252" s="18" t="s">
        <v>34</v>
      </c>
      <c r="R252" s="18" t="s">
        <v>35</v>
      </c>
      <c r="S252" s="18" t="s">
        <v>39</v>
      </c>
      <c r="T252" s="18" t="s">
        <v>42</v>
      </c>
      <c r="U252" s="18">
        <v>2011</v>
      </c>
      <c r="V252" s="16">
        <f t="shared" si="6"/>
        <v>40587</v>
      </c>
      <c r="W252" s="18" t="str">
        <f t="shared" si="7"/>
        <v>Weekday</v>
      </c>
    </row>
    <row r="253" spans="1:23" x14ac:dyDescent="0.25">
      <c r="A253" s="19">
        <v>251</v>
      </c>
      <c r="B253" s="20">
        <v>40554</v>
      </c>
      <c r="C253" s="18">
        <v>1</v>
      </c>
      <c r="D253" s="18">
        <v>0</v>
      </c>
      <c r="E253" s="18">
        <v>1</v>
      </c>
      <c r="F253" s="18">
        <v>19</v>
      </c>
      <c r="G253" s="18" t="b">
        <v>0</v>
      </c>
      <c r="H253" s="18">
        <v>2</v>
      </c>
      <c r="I253" s="18">
        <v>3</v>
      </c>
      <c r="J253" s="18">
        <v>0.16</v>
      </c>
      <c r="K253">
        <v>0.2273</v>
      </c>
      <c r="L253">
        <v>0.93</v>
      </c>
      <c r="M253" s="18">
        <v>0</v>
      </c>
      <c r="N253" s="18">
        <v>0</v>
      </c>
      <c r="O253" s="18">
        <v>51</v>
      </c>
      <c r="P253">
        <v>51</v>
      </c>
      <c r="Q253" s="18" t="s">
        <v>34</v>
      </c>
      <c r="R253" s="18" t="s">
        <v>35</v>
      </c>
      <c r="S253" s="18" t="s">
        <v>39</v>
      </c>
      <c r="T253" s="18" t="s">
        <v>42</v>
      </c>
      <c r="U253" s="18">
        <v>2011</v>
      </c>
      <c r="V253" s="16">
        <f t="shared" si="6"/>
        <v>40587</v>
      </c>
      <c r="W253" s="18" t="str">
        <f t="shared" si="7"/>
        <v>Weekday</v>
      </c>
    </row>
    <row r="254" spans="1:23" x14ac:dyDescent="0.25">
      <c r="A254" s="19">
        <v>252</v>
      </c>
      <c r="B254" s="20">
        <v>40554</v>
      </c>
      <c r="C254" s="18">
        <v>1</v>
      </c>
      <c r="D254" s="18">
        <v>0</v>
      </c>
      <c r="E254" s="18">
        <v>1</v>
      </c>
      <c r="F254" s="18">
        <v>20</v>
      </c>
      <c r="G254" s="18" t="b">
        <v>0</v>
      </c>
      <c r="H254" s="18">
        <v>2</v>
      </c>
      <c r="I254" s="18">
        <v>3</v>
      </c>
      <c r="J254" s="18">
        <v>0.16</v>
      </c>
      <c r="K254">
        <v>0.1515</v>
      </c>
      <c r="L254">
        <v>0.93</v>
      </c>
      <c r="M254" s="18">
        <v>0.19400000000000001</v>
      </c>
      <c r="N254" s="18">
        <v>0</v>
      </c>
      <c r="O254" s="18">
        <v>32</v>
      </c>
      <c r="P254">
        <v>32</v>
      </c>
      <c r="Q254" s="18" t="s">
        <v>34</v>
      </c>
      <c r="R254" s="18" t="s">
        <v>35</v>
      </c>
      <c r="S254" s="18" t="s">
        <v>39</v>
      </c>
      <c r="T254" s="18" t="s">
        <v>42</v>
      </c>
      <c r="U254" s="18">
        <v>2011</v>
      </c>
      <c r="V254" s="16">
        <f t="shared" si="6"/>
        <v>40587</v>
      </c>
      <c r="W254" s="18" t="str">
        <f t="shared" si="7"/>
        <v>Weekday</v>
      </c>
    </row>
    <row r="255" spans="1:23" x14ac:dyDescent="0.25">
      <c r="A255" s="19">
        <v>253</v>
      </c>
      <c r="B255" s="20">
        <v>40554</v>
      </c>
      <c r="C255" s="18">
        <v>1</v>
      </c>
      <c r="D255" s="18">
        <v>0</v>
      </c>
      <c r="E255" s="18">
        <v>1</v>
      </c>
      <c r="F255" s="18">
        <v>21</v>
      </c>
      <c r="G255" s="18" t="b">
        <v>0</v>
      </c>
      <c r="H255" s="18">
        <v>2</v>
      </c>
      <c r="I255" s="18">
        <v>3</v>
      </c>
      <c r="J255" s="18">
        <v>0.16</v>
      </c>
      <c r="K255">
        <v>0.19700000000000001</v>
      </c>
      <c r="L255">
        <v>0.86</v>
      </c>
      <c r="M255" s="18">
        <v>8.9599999999999999E-2</v>
      </c>
      <c r="N255" s="18">
        <v>0</v>
      </c>
      <c r="O255" s="18">
        <v>20</v>
      </c>
      <c r="P255">
        <v>20</v>
      </c>
      <c r="Q255" s="18" t="s">
        <v>34</v>
      </c>
      <c r="R255" s="18" t="s">
        <v>35</v>
      </c>
      <c r="S255" s="18" t="s">
        <v>39</v>
      </c>
      <c r="T255" s="18" t="s">
        <v>42</v>
      </c>
      <c r="U255" s="18">
        <v>2011</v>
      </c>
      <c r="V255" s="16">
        <f t="shared" si="6"/>
        <v>40587</v>
      </c>
      <c r="W255" s="18" t="str">
        <f t="shared" si="7"/>
        <v>Weekday</v>
      </c>
    </row>
    <row r="256" spans="1:23" x14ac:dyDescent="0.25">
      <c r="A256" s="19">
        <v>254</v>
      </c>
      <c r="B256" s="20">
        <v>40554</v>
      </c>
      <c r="C256" s="18">
        <v>1</v>
      </c>
      <c r="D256" s="18">
        <v>0</v>
      </c>
      <c r="E256" s="18">
        <v>1</v>
      </c>
      <c r="F256" s="18">
        <v>22</v>
      </c>
      <c r="G256" s="18" t="b">
        <v>0</v>
      </c>
      <c r="H256" s="18">
        <v>2</v>
      </c>
      <c r="I256" s="18">
        <v>3</v>
      </c>
      <c r="J256" s="18">
        <v>0.16</v>
      </c>
      <c r="K256">
        <v>0.18179999999999999</v>
      </c>
      <c r="L256">
        <v>0.93</v>
      </c>
      <c r="M256" s="18">
        <v>0.1045</v>
      </c>
      <c r="N256" s="18">
        <v>1</v>
      </c>
      <c r="O256" s="18">
        <v>28</v>
      </c>
      <c r="P256">
        <v>29</v>
      </c>
      <c r="Q256" s="18" t="s">
        <v>34</v>
      </c>
      <c r="R256" s="18" t="s">
        <v>35</v>
      </c>
      <c r="S256" s="18" t="s">
        <v>39</v>
      </c>
      <c r="T256" s="18" t="s">
        <v>42</v>
      </c>
      <c r="U256" s="18">
        <v>2011</v>
      </c>
      <c r="V256" s="16">
        <f t="shared" si="6"/>
        <v>40587</v>
      </c>
      <c r="W256" s="18" t="str">
        <f t="shared" si="7"/>
        <v>Weekday</v>
      </c>
    </row>
    <row r="257" spans="1:23" x14ac:dyDescent="0.25">
      <c r="A257" s="19">
        <v>255</v>
      </c>
      <c r="B257" s="20">
        <v>40554</v>
      </c>
      <c r="C257" s="18">
        <v>1</v>
      </c>
      <c r="D257" s="18">
        <v>0</v>
      </c>
      <c r="E257" s="18">
        <v>1</v>
      </c>
      <c r="F257" s="18">
        <v>23</v>
      </c>
      <c r="G257" s="18" t="b">
        <v>0</v>
      </c>
      <c r="H257" s="18">
        <v>2</v>
      </c>
      <c r="I257" s="18">
        <v>3</v>
      </c>
      <c r="J257" s="18">
        <v>0.16</v>
      </c>
      <c r="K257">
        <v>0.19700000000000001</v>
      </c>
      <c r="L257">
        <v>0.93</v>
      </c>
      <c r="M257" s="18">
        <v>8.9599999999999999E-2</v>
      </c>
      <c r="N257" s="18">
        <v>1</v>
      </c>
      <c r="O257" s="18">
        <v>18</v>
      </c>
      <c r="P257">
        <v>19</v>
      </c>
      <c r="Q257" s="18" t="s">
        <v>34</v>
      </c>
      <c r="R257" s="18" t="s">
        <v>35</v>
      </c>
      <c r="S257" s="18" t="s">
        <v>39</v>
      </c>
      <c r="T257" s="18" t="s">
        <v>42</v>
      </c>
      <c r="U257" s="18">
        <v>2011</v>
      </c>
      <c r="V257" s="16">
        <f t="shared" si="6"/>
        <v>40587</v>
      </c>
      <c r="W257" s="18" t="str">
        <f t="shared" si="7"/>
        <v>Weekday</v>
      </c>
    </row>
    <row r="258" spans="1:23" x14ac:dyDescent="0.25">
      <c r="A258" s="19">
        <v>256</v>
      </c>
      <c r="B258" s="20">
        <v>40555</v>
      </c>
      <c r="C258" s="18">
        <v>1</v>
      </c>
      <c r="D258" s="18">
        <v>0</v>
      </c>
      <c r="E258" s="18">
        <v>1</v>
      </c>
      <c r="F258" s="18">
        <v>0</v>
      </c>
      <c r="G258" s="18" t="b">
        <v>0</v>
      </c>
      <c r="H258" s="18">
        <v>3</v>
      </c>
      <c r="I258" s="18">
        <v>2</v>
      </c>
      <c r="J258" s="18">
        <v>0.16</v>
      </c>
      <c r="K258">
        <v>0.19700000000000001</v>
      </c>
      <c r="L258">
        <v>0.86</v>
      </c>
      <c r="M258" s="18">
        <v>8.9599999999999999E-2</v>
      </c>
      <c r="N258" s="18">
        <v>0</v>
      </c>
      <c r="O258" s="18">
        <v>7</v>
      </c>
      <c r="P258">
        <v>7</v>
      </c>
      <c r="Q258" s="18" t="s">
        <v>34</v>
      </c>
      <c r="R258" s="18" t="s">
        <v>35</v>
      </c>
      <c r="S258" s="18" t="s">
        <v>38</v>
      </c>
      <c r="T258" s="18" t="s">
        <v>43</v>
      </c>
      <c r="U258" s="18">
        <v>2011</v>
      </c>
      <c r="V258" s="16">
        <f t="shared" si="6"/>
        <v>40587</v>
      </c>
      <c r="W258" s="18" t="str">
        <f t="shared" si="7"/>
        <v>Weekday</v>
      </c>
    </row>
    <row r="259" spans="1:23" x14ac:dyDescent="0.25">
      <c r="A259" s="19">
        <v>257</v>
      </c>
      <c r="B259" s="20">
        <v>40555</v>
      </c>
      <c r="C259" s="18">
        <v>1</v>
      </c>
      <c r="D259" s="18">
        <v>0</v>
      </c>
      <c r="E259" s="18">
        <v>1</v>
      </c>
      <c r="F259" s="18">
        <v>1</v>
      </c>
      <c r="G259" s="18" t="b">
        <v>0</v>
      </c>
      <c r="H259" s="18">
        <v>3</v>
      </c>
      <c r="I259" s="18">
        <v>2</v>
      </c>
      <c r="J259" s="18">
        <v>0.16</v>
      </c>
      <c r="K259">
        <v>0.18179999999999999</v>
      </c>
      <c r="L259">
        <v>0.86</v>
      </c>
      <c r="M259" s="18">
        <v>0.1045</v>
      </c>
      <c r="N259" s="18">
        <v>0</v>
      </c>
      <c r="O259" s="18">
        <v>6</v>
      </c>
      <c r="P259">
        <v>6</v>
      </c>
      <c r="Q259" s="18" t="s">
        <v>34</v>
      </c>
      <c r="R259" s="18" t="s">
        <v>35</v>
      </c>
      <c r="S259" s="18" t="s">
        <v>38</v>
      </c>
      <c r="T259" s="18" t="s">
        <v>43</v>
      </c>
      <c r="U259" s="18">
        <v>2011</v>
      </c>
      <c r="V259" s="16">
        <f t="shared" ref="V259:V322" si="8">INDEX(B259:B1257,MATCH(MAX(K259:K1257),K259:K1257,0))</f>
        <v>40587</v>
      </c>
      <c r="W259" s="18" t="str">
        <f t="shared" ref="W259:W322" si="9">IF(G259=TRUE,"Holiday",IF(OR(H259=0,H259=6),"Weedend","Weekday"))</f>
        <v>Weekday</v>
      </c>
    </row>
    <row r="260" spans="1:23" x14ac:dyDescent="0.25">
      <c r="A260" s="19">
        <v>258</v>
      </c>
      <c r="B260" s="20">
        <v>40555</v>
      </c>
      <c r="C260" s="18">
        <v>1</v>
      </c>
      <c r="D260" s="18">
        <v>0</v>
      </c>
      <c r="E260" s="18">
        <v>1</v>
      </c>
      <c r="F260" s="18">
        <v>2</v>
      </c>
      <c r="G260" s="18" t="b">
        <v>0</v>
      </c>
      <c r="H260" s="18">
        <v>3</v>
      </c>
      <c r="I260" s="18">
        <v>1</v>
      </c>
      <c r="J260" s="18">
        <v>0.14000000000000001</v>
      </c>
      <c r="K260">
        <v>0.1515</v>
      </c>
      <c r="L260">
        <v>0.86</v>
      </c>
      <c r="M260" s="18">
        <v>0.1343</v>
      </c>
      <c r="N260" s="18">
        <v>0</v>
      </c>
      <c r="O260" s="18">
        <v>1</v>
      </c>
      <c r="P260">
        <v>1</v>
      </c>
      <c r="Q260" s="18" t="s">
        <v>34</v>
      </c>
      <c r="R260" s="18" t="s">
        <v>35</v>
      </c>
      <c r="S260" s="18" t="s">
        <v>36</v>
      </c>
      <c r="T260" s="18" t="s">
        <v>43</v>
      </c>
      <c r="U260" s="18">
        <v>2011</v>
      </c>
      <c r="V260" s="16">
        <f t="shared" si="8"/>
        <v>40587</v>
      </c>
      <c r="W260" s="18" t="str">
        <f t="shared" si="9"/>
        <v>Weekday</v>
      </c>
    </row>
    <row r="261" spans="1:23" x14ac:dyDescent="0.25">
      <c r="A261" s="19">
        <v>259</v>
      </c>
      <c r="B261" s="20">
        <v>40555</v>
      </c>
      <c r="C261" s="18">
        <v>1</v>
      </c>
      <c r="D261" s="18">
        <v>0</v>
      </c>
      <c r="E261" s="18">
        <v>1</v>
      </c>
      <c r="F261" s="18">
        <v>5</v>
      </c>
      <c r="G261" s="18" t="b">
        <v>0</v>
      </c>
      <c r="H261" s="18">
        <v>3</v>
      </c>
      <c r="I261" s="18">
        <v>1</v>
      </c>
      <c r="J261" s="18">
        <v>0.14000000000000001</v>
      </c>
      <c r="K261">
        <v>0.1515</v>
      </c>
      <c r="L261">
        <v>0.86</v>
      </c>
      <c r="M261" s="18">
        <v>0.16420000000000001</v>
      </c>
      <c r="N261" s="18">
        <v>0</v>
      </c>
      <c r="O261" s="18">
        <v>5</v>
      </c>
      <c r="P261">
        <v>5</v>
      </c>
      <c r="Q261" s="18" t="s">
        <v>34</v>
      </c>
      <c r="R261" s="18" t="s">
        <v>35</v>
      </c>
      <c r="S261" s="18" t="s">
        <v>36</v>
      </c>
      <c r="T261" s="18" t="s">
        <v>43</v>
      </c>
      <c r="U261" s="18">
        <v>2011</v>
      </c>
      <c r="V261" s="16">
        <f t="shared" si="8"/>
        <v>40587</v>
      </c>
      <c r="W261" s="18" t="str">
        <f t="shared" si="9"/>
        <v>Weekday</v>
      </c>
    </row>
    <row r="262" spans="1:23" x14ac:dyDescent="0.25">
      <c r="A262" s="19">
        <v>260</v>
      </c>
      <c r="B262" s="20">
        <v>40555</v>
      </c>
      <c r="C262" s="18">
        <v>1</v>
      </c>
      <c r="D262" s="18">
        <v>0</v>
      </c>
      <c r="E262" s="18">
        <v>1</v>
      </c>
      <c r="F262" s="18">
        <v>6</v>
      </c>
      <c r="G262" s="18" t="b">
        <v>0</v>
      </c>
      <c r="H262" s="18">
        <v>3</v>
      </c>
      <c r="I262" s="18">
        <v>1</v>
      </c>
      <c r="J262" s="18">
        <v>0.12</v>
      </c>
      <c r="K262">
        <v>0.1515</v>
      </c>
      <c r="L262">
        <v>0.93</v>
      </c>
      <c r="M262" s="18">
        <v>0.1343</v>
      </c>
      <c r="N262" s="18">
        <v>0</v>
      </c>
      <c r="O262" s="18">
        <v>16</v>
      </c>
      <c r="P262">
        <v>16</v>
      </c>
      <c r="Q262" s="18" t="s">
        <v>34</v>
      </c>
      <c r="R262" s="18" t="s">
        <v>35</v>
      </c>
      <c r="S262" s="18" t="s">
        <v>36</v>
      </c>
      <c r="T262" s="18" t="s">
        <v>43</v>
      </c>
      <c r="U262" s="18">
        <v>2011</v>
      </c>
      <c r="V262" s="16">
        <f t="shared" si="8"/>
        <v>40587</v>
      </c>
      <c r="W262" s="18" t="str">
        <f t="shared" si="9"/>
        <v>Weekday</v>
      </c>
    </row>
    <row r="263" spans="1:23" x14ac:dyDescent="0.25">
      <c r="A263" s="19">
        <v>261</v>
      </c>
      <c r="B263" s="20">
        <v>40555</v>
      </c>
      <c r="C263" s="18">
        <v>1</v>
      </c>
      <c r="D263" s="18">
        <v>0</v>
      </c>
      <c r="E263" s="18">
        <v>1</v>
      </c>
      <c r="F263" s="18">
        <v>7</v>
      </c>
      <c r="G263" s="18" t="b">
        <v>0</v>
      </c>
      <c r="H263" s="18">
        <v>3</v>
      </c>
      <c r="I263" s="18">
        <v>1</v>
      </c>
      <c r="J263" s="18">
        <v>0.14000000000000001</v>
      </c>
      <c r="K263">
        <v>0.1515</v>
      </c>
      <c r="L263">
        <v>0.69</v>
      </c>
      <c r="M263" s="18">
        <v>0.1343</v>
      </c>
      <c r="N263" s="18">
        <v>0</v>
      </c>
      <c r="O263" s="18">
        <v>54</v>
      </c>
      <c r="P263">
        <v>54</v>
      </c>
      <c r="Q263" s="18" t="s">
        <v>34</v>
      </c>
      <c r="R263" s="18" t="s">
        <v>35</v>
      </c>
      <c r="S263" s="18" t="s">
        <v>36</v>
      </c>
      <c r="T263" s="18" t="s">
        <v>43</v>
      </c>
      <c r="U263" s="18">
        <v>2011</v>
      </c>
      <c r="V263" s="16">
        <f t="shared" si="8"/>
        <v>40587</v>
      </c>
      <c r="W263" s="18" t="str">
        <f t="shared" si="9"/>
        <v>Weekday</v>
      </c>
    </row>
    <row r="264" spans="1:23" x14ac:dyDescent="0.25">
      <c r="A264" s="19">
        <v>262</v>
      </c>
      <c r="B264" s="20">
        <v>40555</v>
      </c>
      <c r="C264" s="18">
        <v>1</v>
      </c>
      <c r="D264" s="18">
        <v>0</v>
      </c>
      <c r="E264" s="18">
        <v>1</v>
      </c>
      <c r="F264" s="18">
        <v>8</v>
      </c>
      <c r="G264" s="18" t="b">
        <v>0</v>
      </c>
      <c r="H264" s="18">
        <v>3</v>
      </c>
      <c r="I264" s="18">
        <v>1</v>
      </c>
      <c r="J264" s="18">
        <v>0.16</v>
      </c>
      <c r="K264">
        <v>0.16669999999999999</v>
      </c>
      <c r="L264">
        <v>0.59</v>
      </c>
      <c r="M264" s="18">
        <v>0.16420000000000001</v>
      </c>
      <c r="N264" s="18">
        <v>3</v>
      </c>
      <c r="O264" s="18">
        <v>125</v>
      </c>
      <c r="P264">
        <v>128</v>
      </c>
      <c r="Q264" s="18" t="s">
        <v>34</v>
      </c>
      <c r="R264" s="18" t="s">
        <v>35</v>
      </c>
      <c r="S264" s="18" t="s">
        <v>36</v>
      </c>
      <c r="T264" s="18" t="s">
        <v>43</v>
      </c>
      <c r="U264" s="18">
        <v>2011</v>
      </c>
      <c r="V264" s="16">
        <f t="shared" si="8"/>
        <v>40587</v>
      </c>
      <c r="W264" s="18" t="str">
        <f t="shared" si="9"/>
        <v>Weekday</v>
      </c>
    </row>
    <row r="265" spans="1:23" x14ac:dyDescent="0.25">
      <c r="A265" s="19">
        <v>263</v>
      </c>
      <c r="B265" s="20">
        <v>40555</v>
      </c>
      <c r="C265" s="18">
        <v>1</v>
      </c>
      <c r="D265" s="18">
        <v>0</v>
      </c>
      <c r="E265" s="18">
        <v>1</v>
      </c>
      <c r="F265" s="18">
        <v>9</v>
      </c>
      <c r="G265" s="18" t="b">
        <v>0</v>
      </c>
      <c r="H265" s="18">
        <v>3</v>
      </c>
      <c r="I265" s="18">
        <v>1</v>
      </c>
      <c r="J265" s="18">
        <v>0.16</v>
      </c>
      <c r="K265">
        <v>0.13639999999999999</v>
      </c>
      <c r="L265">
        <v>0.59</v>
      </c>
      <c r="M265" s="18">
        <v>0.32840000000000003</v>
      </c>
      <c r="N265" s="18">
        <v>3</v>
      </c>
      <c r="O265" s="18">
        <v>78</v>
      </c>
      <c r="P265">
        <v>81</v>
      </c>
      <c r="Q265" s="18" t="s">
        <v>34</v>
      </c>
      <c r="R265" s="18" t="s">
        <v>35</v>
      </c>
      <c r="S265" s="18" t="s">
        <v>36</v>
      </c>
      <c r="T265" s="18" t="s">
        <v>43</v>
      </c>
      <c r="U265" s="18">
        <v>2011</v>
      </c>
      <c r="V265" s="16">
        <f t="shared" si="8"/>
        <v>40587</v>
      </c>
      <c r="W265" s="18" t="str">
        <f t="shared" si="9"/>
        <v>Weekday</v>
      </c>
    </row>
    <row r="266" spans="1:23" x14ac:dyDescent="0.25">
      <c r="A266" s="19">
        <v>264</v>
      </c>
      <c r="B266" s="20">
        <v>40555</v>
      </c>
      <c r="C266" s="18">
        <v>1</v>
      </c>
      <c r="D266" s="18">
        <v>0</v>
      </c>
      <c r="E266" s="18">
        <v>1</v>
      </c>
      <c r="F266" s="18">
        <v>10</v>
      </c>
      <c r="G266" s="18" t="b">
        <v>0</v>
      </c>
      <c r="H266" s="18">
        <v>3</v>
      </c>
      <c r="I266" s="18">
        <v>1</v>
      </c>
      <c r="J266" s="18">
        <v>0.18</v>
      </c>
      <c r="K266">
        <v>0.18179999999999999</v>
      </c>
      <c r="L266">
        <v>0.55000000000000004</v>
      </c>
      <c r="M266" s="18">
        <v>0.22389999999999999</v>
      </c>
      <c r="N266" s="18">
        <v>0</v>
      </c>
      <c r="O266" s="18">
        <v>39</v>
      </c>
      <c r="P266">
        <v>39</v>
      </c>
      <c r="Q266" s="18" t="s">
        <v>34</v>
      </c>
      <c r="R266" s="18" t="s">
        <v>35</v>
      </c>
      <c r="S266" s="18" t="s">
        <v>36</v>
      </c>
      <c r="T266" s="18" t="s">
        <v>43</v>
      </c>
      <c r="U266" s="18">
        <v>2011</v>
      </c>
      <c r="V266" s="16">
        <f t="shared" si="8"/>
        <v>40587</v>
      </c>
      <c r="W266" s="18" t="str">
        <f t="shared" si="9"/>
        <v>Weekday</v>
      </c>
    </row>
    <row r="267" spans="1:23" x14ac:dyDescent="0.25">
      <c r="A267" s="19">
        <v>265</v>
      </c>
      <c r="B267" s="20">
        <v>40555</v>
      </c>
      <c r="C267" s="18">
        <v>1</v>
      </c>
      <c r="D267" s="18">
        <v>0</v>
      </c>
      <c r="E267" s="18">
        <v>1</v>
      </c>
      <c r="F267" s="18">
        <v>11</v>
      </c>
      <c r="G267" s="18" t="b">
        <v>0</v>
      </c>
      <c r="H267" s="18">
        <v>3</v>
      </c>
      <c r="I267" s="18">
        <v>1</v>
      </c>
      <c r="J267" s="18">
        <v>0.2</v>
      </c>
      <c r="K267">
        <v>0.18179999999999999</v>
      </c>
      <c r="L267">
        <v>0.51</v>
      </c>
      <c r="M267" s="18">
        <v>0.3881</v>
      </c>
      <c r="N267" s="18">
        <v>3</v>
      </c>
      <c r="O267" s="18">
        <v>32</v>
      </c>
      <c r="P267">
        <v>35</v>
      </c>
      <c r="Q267" s="18" t="s">
        <v>34</v>
      </c>
      <c r="R267" s="18" t="s">
        <v>35</v>
      </c>
      <c r="S267" s="18" t="s">
        <v>36</v>
      </c>
      <c r="T267" s="18" t="s">
        <v>43</v>
      </c>
      <c r="U267" s="18">
        <v>2011</v>
      </c>
      <c r="V267" s="16">
        <f t="shared" si="8"/>
        <v>40587</v>
      </c>
      <c r="W267" s="18" t="str">
        <f t="shared" si="9"/>
        <v>Weekday</v>
      </c>
    </row>
    <row r="268" spans="1:23" x14ac:dyDescent="0.25">
      <c r="A268" s="19">
        <v>266</v>
      </c>
      <c r="B268" s="20">
        <v>40555</v>
      </c>
      <c r="C268" s="18">
        <v>1</v>
      </c>
      <c r="D268" s="18">
        <v>0</v>
      </c>
      <c r="E268" s="18">
        <v>1</v>
      </c>
      <c r="F268" s="18">
        <v>12</v>
      </c>
      <c r="G268" s="18" t="b">
        <v>0</v>
      </c>
      <c r="H268" s="18">
        <v>3</v>
      </c>
      <c r="I268" s="18">
        <v>1</v>
      </c>
      <c r="J268" s="18">
        <v>0.2</v>
      </c>
      <c r="K268">
        <v>0.1515</v>
      </c>
      <c r="L268">
        <v>0.47</v>
      </c>
      <c r="M268" s="18">
        <v>0.58209999999999995</v>
      </c>
      <c r="N268" s="18">
        <v>3</v>
      </c>
      <c r="O268" s="18">
        <v>52</v>
      </c>
      <c r="P268">
        <v>55</v>
      </c>
      <c r="Q268" s="18" t="s">
        <v>34</v>
      </c>
      <c r="R268" s="18" t="s">
        <v>35</v>
      </c>
      <c r="S268" s="18" t="s">
        <v>36</v>
      </c>
      <c r="T268" s="18" t="s">
        <v>43</v>
      </c>
      <c r="U268" s="18">
        <v>2011</v>
      </c>
      <c r="V268" s="16">
        <f t="shared" si="8"/>
        <v>40587</v>
      </c>
      <c r="W268" s="18" t="str">
        <f t="shared" si="9"/>
        <v>Weekday</v>
      </c>
    </row>
    <row r="269" spans="1:23" x14ac:dyDescent="0.25">
      <c r="A269" s="19">
        <v>267</v>
      </c>
      <c r="B269" s="20">
        <v>40555</v>
      </c>
      <c r="C269" s="18">
        <v>1</v>
      </c>
      <c r="D269" s="18">
        <v>0</v>
      </c>
      <c r="E269" s="18">
        <v>1</v>
      </c>
      <c r="F269" s="18">
        <v>13</v>
      </c>
      <c r="G269" s="18" t="b">
        <v>0</v>
      </c>
      <c r="H269" s="18">
        <v>3</v>
      </c>
      <c r="I269" s="18">
        <v>1</v>
      </c>
      <c r="J269" s="18">
        <v>0.22</v>
      </c>
      <c r="K269">
        <v>0.19700000000000001</v>
      </c>
      <c r="L269">
        <v>0.44</v>
      </c>
      <c r="M269" s="18">
        <v>0.35820000000000002</v>
      </c>
      <c r="N269" s="18">
        <v>0</v>
      </c>
      <c r="O269" s="18">
        <v>49</v>
      </c>
      <c r="P269">
        <v>49</v>
      </c>
      <c r="Q269" s="18" t="s">
        <v>34</v>
      </c>
      <c r="R269" s="18" t="s">
        <v>35</v>
      </c>
      <c r="S269" s="18" t="s">
        <v>36</v>
      </c>
      <c r="T269" s="18" t="s">
        <v>43</v>
      </c>
      <c r="U269" s="18">
        <v>2011</v>
      </c>
      <c r="V269" s="16">
        <f t="shared" si="8"/>
        <v>40587</v>
      </c>
      <c r="W269" s="18" t="str">
        <f t="shared" si="9"/>
        <v>Weekday</v>
      </c>
    </row>
    <row r="270" spans="1:23" x14ac:dyDescent="0.25">
      <c r="A270" s="19">
        <v>268</v>
      </c>
      <c r="B270" s="20">
        <v>40555</v>
      </c>
      <c r="C270" s="18">
        <v>1</v>
      </c>
      <c r="D270" s="18">
        <v>0</v>
      </c>
      <c r="E270" s="18">
        <v>1</v>
      </c>
      <c r="F270" s="18">
        <v>14</v>
      </c>
      <c r="G270" s="18" t="b">
        <v>0</v>
      </c>
      <c r="H270" s="18">
        <v>3</v>
      </c>
      <c r="I270" s="18">
        <v>1</v>
      </c>
      <c r="J270" s="18">
        <v>0.2</v>
      </c>
      <c r="K270">
        <v>0.18179999999999999</v>
      </c>
      <c r="L270">
        <v>0.47</v>
      </c>
      <c r="M270" s="18">
        <v>0.32840000000000003</v>
      </c>
      <c r="N270" s="18">
        <v>0</v>
      </c>
      <c r="O270" s="18">
        <v>44</v>
      </c>
      <c r="P270">
        <v>44</v>
      </c>
      <c r="Q270" s="18" t="s">
        <v>34</v>
      </c>
      <c r="R270" s="18" t="s">
        <v>35</v>
      </c>
      <c r="S270" s="18" t="s">
        <v>36</v>
      </c>
      <c r="T270" s="18" t="s">
        <v>43</v>
      </c>
      <c r="U270" s="18">
        <v>2011</v>
      </c>
      <c r="V270" s="16">
        <f t="shared" si="8"/>
        <v>40587</v>
      </c>
      <c r="W270" s="18" t="str">
        <f t="shared" si="9"/>
        <v>Weekday</v>
      </c>
    </row>
    <row r="271" spans="1:23" x14ac:dyDescent="0.25">
      <c r="A271" s="19">
        <v>269</v>
      </c>
      <c r="B271" s="20">
        <v>40555</v>
      </c>
      <c r="C271" s="18">
        <v>1</v>
      </c>
      <c r="D271" s="18">
        <v>0</v>
      </c>
      <c r="E271" s="18">
        <v>1</v>
      </c>
      <c r="F271" s="18">
        <v>15</v>
      </c>
      <c r="G271" s="18" t="b">
        <v>0</v>
      </c>
      <c r="H271" s="18">
        <v>3</v>
      </c>
      <c r="I271" s="18">
        <v>1</v>
      </c>
      <c r="J271" s="18">
        <v>0.2</v>
      </c>
      <c r="K271">
        <v>0.16669999999999999</v>
      </c>
      <c r="L271">
        <v>0.47</v>
      </c>
      <c r="M271" s="18">
        <v>0.41789999999999999</v>
      </c>
      <c r="N271" s="18">
        <v>1</v>
      </c>
      <c r="O271" s="18">
        <v>48</v>
      </c>
      <c r="P271">
        <v>49</v>
      </c>
      <c r="Q271" s="18" t="s">
        <v>34</v>
      </c>
      <c r="R271" s="18" t="s">
        <v>35</v>
      </c>
      <c r="S271" s="18" t="s">
        <v>36</v>
      </c>
      <c r="T271" s="18" t="s">
        <v>43</v>
      </c>
      <c r="U271" s="18">
        <v>2011</v>
      </c>
      <c r="V271" s="16">
        <f t="shared" si="8"/>
        <v>40587</v>
      </c>
      <c r="W271" s="18" t="str">
        <f t="shared" si="9"/>
        <v>Weekday</v>
      </c>
    </row>
    <row r="272" spans="1:23" x14ac:dyDescent="0.25">
      <c r="A272" s="19">
        <v>270</v>
      </c>
      <c r="B272" s="20">
        <v>40555</v>
      </c>
      <c r="C272" s="18">
        <v>1</v>
      </c>
      <c r="D272" s="18">
        <v>0</v>
      </c>
      <c r="E272" s="18">
        <v>1</v>
      </c>
      <c r="F272" s="18">
        <v>16</v>
      </c>
      <c r="G272" s="18" t="b">
        <v>0</v>
      </c>
      <c r="H272" s="18">
        <v>3</v>
      </c>
      <c r="I272" s="18">
        <v>1</v>
      </c>
      <c r="J272" s="18">
        <v>0.22</v>
      </c>
      <c r="K272">
        <v>0.19700000000000001</v>
      </c>
      <c r="L272">
        <v>0.44</v>
      </c>
      <c r="M272" s="18">
        <v>0.32840000000000003</v>
      </c>
      <c r="N272" s="18">
        <v>5</v>
      </c>
      <c r="O272" s="18">
        <v>63</v>
      </c>
      <c r="P272">
        <v>68</v>
      </c>
      <c r="Q272" s="18" t="s">
        <v>34</v>
      </c>
      <c r="R272" s="18" t="s">
        <v>35</v>
      </c>
      <c r="S272" s="18" t="s">
        <v>36</v>
      </c>
      <c r="T272" s="18" t="s">
        <v>43</v>
      </c>
      <c r="U272" s="18">
        <v>2011</v>
      </c>
      <c r="V272" s="16">
        <f t="shared" si="8"/>
        <v>40587</v>
      </c>
      <c r="W272" s="18" t="str">
        <f t="shared" si="9"/>
        <v>Weekday</v>
      </c>
    </row>
    <row r="273" spans="1:23" x14ac:dyDescent="0.25">
      <c r="A273" s="19">
        <v>271</v>
      </c>
      <c r="B273" s="20">
        <v>40555</v>
      </c>
      <c r="C273" s="18">
        <v>1</v>
      </c>
      <c r="D273" s="18">
        <v>0</v>
      </c>
      <c r="E273" s="18">
        <v>1</v>
      </c>
      <c r="F273" s="18">
        <v>17</v>
      </c>
      <c r="G273" s="18" t="b">
        <v>0</v>
      </c>
      <c r="H273" s="18">
        <v>3</v>
      </c>
      <c r="I273" s="18">
        <v>1</v>
      </c>
      <c r="J273" s="18">
        <v>0.2</v>
      </c>
      <c r="K273">
        <v>0.18179999999999999</v>
      </c>
      <c r="L273">
        <v>0.47</v>
      </c>
      <c r="M273" s="18">
        <v>0.35820000000000002</v>
      </c>
      <c r="N273" s="18">
        <v>0</v>
      </c>
      <c r="O273" s="18">
        <v>139</v>
      </c>
      <c r="P273">
        <v>139</v>
      </c>
      <c r="Q273" s="18" t="s">
        <v>34</v>
      </c>
      <c r="R273" s="18" t="s">
        <v>35</v>
      </c>
      <c r="S273" s="18" t="s">
        <v>36</v>
      </c>
      <c r="T273" s="18" t="s">
        <v>43</v>
      </c>
      <c r="U273" s="18">
        <v>2011</v>
      </c>
      <c r="V273" s="16">
        <f t="shared" si="8"/>
        <v>40587</v>
      </c>
      <c r="W273" s="18" t="str">
        <f t="shared" si="9"/>
        <v>Weekday</v>
      </c>
    </row>
    <row r="274" spans="1:23" x14ac:dyDescent="0.25">
      <c r="A274" s="19">
        <v>272</v>
      </c>
      <c r="B274" s="20">
        <v>40555</v>
      </c>
      <c r="C274" s="18">
        <v>1</v>
      </c>
      <c r="D274" s="18">
        <v>0</v>
      </c>
      <c r="E274" s="18">
        <v>1</v>
      </c>
      <c r="F274" s="18">
        <v>18</v>
      </c>
      <c r="G274" s="18" t="b">
        <v>0</v>
      </c>
      <c r="H274" s="18">
        <v>3</v>
      </c>
      <c r="I274" s="18">
        <v>1</v>
      </c>
      <c r="J274" s="18">
        <v>0.2</v>
      </c>
      <c r="K274">
        <v>0.1515</v>
      </c>
      <c r="L274">
        <v>0.47</v>
      </c>
      <c r="M274" s="18">
        <v>0.52239999999999998</v>
      </c>
      <c r="N274" s="18">
        <v>2</v>
      </c>
      <c r="O274" s="18">
        <v>135</v>
      </c>
      <c r="P274">
        <v>137</v>
      </c>
      <c r="Q274" s="18" t="s">
        <v>34</v>
      </c>
      <c r="R274" s="18" t="s">
        <v>35</v>
      </c>
      <c r="S274" s="18" t="s">
        <v>36</v>
      </c>
      <c r="T274" s="18" t="s">
        <v>43</v>
      </c>
      <c r="U274" s="18">
        <v>2011</v>
      </c>
      <c r="V274" s="16">
        <f t="shared" si="8"/>
        <v>40587</v>
      </c>
      <c r="W274" s="18" t="str">
        <f t="shared" si="9"/>
        <v>Weekday</v>
      </c>
    </row>
    <row r="275" spans="1:23" x14ac:dyDescent="0.25">
      <c r="A275" s="19">
        <v>273</v>
      </c>
      <c r="B275" s="20">
        <v>40555</v>
      </c>
      <c r="C275" s="18">
        <v>1</v>
      </c>
      <c r="D275" s="18">
        <v>0</v>
      </c>
      <c r="E275" s="18">
        <v>1</v>
      </c>
      <c r="F275" s="18">
        <v>19</v>
      </c>
      <c r="G275" s="18" t="b">
        <v>0</v>
      </c>
      <c r="H275" s="18">
        <v>3</v>
      </c>
      <c r="I275" s="18">
        <v>1</v>
      </c>
      <c r="J275" s="18">
        <v>0.18</v>
      </c>
      <c r="K275">
        <v>0.1515</v>
      </c>
      <c r="L275">
        <v>0.47</v>
      </c>
      <c r="M275" s="18">
        <v>0.41789999999999999</v>
      </c>
      <c r="N275" s="18">
        <v>1</v>
      </c>
      <c r="O275" s="18">
        <v>82</v>
      </c>
      <c r="P275">
        <v>83</v>
      </c>
      <c r="Q275" s="18" t="s">
        <v>34</v>
      </c>
      <c r="R275" s="18" t="s">
        <v>35</v>
      </c>
      <c r="S275" s="18" t="s">
        <v>36</v>
      </c>
      <c r="T275" s="18" t="s">
        <v>43</v>
      </c>
      <c r="U275" s="18">
        <v>2011</v>
      </c>
      <c r="V275" s="16">
        <f t="shared" si="8"/>
        <v>40587</v>
      </c>
      <c r="W275" s="18" t="str">
        <f t="shared" si="9"/>
        <v>Weekday</v>
      </c>
    </row>
    <row r="276" spans="1:23" x14ac:dyDescent="0.25">
      <c r="A276" s="19">
        <v>274</v>
      </c>
      <c r="B276" s="20">
        <v>40555</v>
      </c>
      <c r="C276" s="18">
        <v>1</v>
      </c>
      <c r="D276" s="18">
        <v>0</v>
      </c>
      <c r="E276" s="18">
        <v>1</v>
      </c>
      <c r="F276" s="18">
        <v>20</v>
      </c>
      <c r="G276" s="18" t="b">
        <v>0</v>
      </c>
      <c r="H276" s="18">
        <v>3</v>
      </c>
      <c r="I276" s="18">
        <v>1</v>
      </c>
      <c r="J276" s="18">
        <v>0.16</v>
      </c>
      <c r="K276">
        <v>0.13639999999999999</v>
      </c>
      <c r="L276">
        <v>0.5</v>
      </c>
      <c r="M276" s="18">
        <v>0.32840000000000003</v>
      </c>
      <c r="N276" s="18">
        <v>2</v>
      </c>
      <c r="O276" s="18">
        <v>54</v>
      </c>
      <c r="P276">
        <v>56</v>
      </c>
      <c r="Q276" s="18" t="s">
        <v>34</v>
      </c>
      <c r="R276" s="18" t="s">
        <v>35</v>
      </c>
      <c r="S276" s="18" t="s">
        <v>36</v>
      </c>
      <c r="T276" s="18" t="s">
        <v>43</v>
      </c>
      <c r="U276" s="18">
        <v>2011</v>
      </c>
      <c r="V276" s="16">
        <f t="shared" si="8"/>
        <v>40587</v>
      </c>
      <c r="W276" s="18" t="str">
        <f t="shared" si="9"/>
        <v>Weekday</v>
      </c>
    </row>
    <row r="277" spans="1:23" x14ac:dyDescent="0.25">
      <c r="A277" s="19">
        <v>275</v>
      </c>
      <c r="B277" s="20">
        <v>40555</v>
      </c>
      <c r="C277" s="18">
        <v>1</v>
      </c>
      <c r="D277" s="18">
        <v>0</v>
      </c>
      <c r="E277" s="18">
        <v>1</v>
      </c>
      <c r="F277" s="18">
        <v>21</v>
      </c>
      <c r="G277" s="18" t="b">
        <v>0</v>
      </c>
      <c r="H277" s="18">
        <v>3</v>
      </c>
      <c r="I277" s="18">
        <v>1</v>
      </c>
      <c r="J277" s="18">
        <v>0.16</v>
      </c>
      <c r="K277">
        <v>0.13639999999999999</v>
      </c>
      <c r="L277">
        <v>0.55000000000000004</v>
      </c>
      <c r="M277" s="18">
        <v>0.32840000000000003</v>
      </c>
      <c r="N277" s="18">
        <v>0</v>
      </c>
      <c r="O277" s="18">
        <v>57</v>
      </c>
      <c r="P277">
        <v>57</v>
      </c>
      <c r="Q277" s="18" t="s">
        <v>34</v>
      </c>
      <c r="R277" s="18" t="s">
        <v>35</v>
      </c>
      <c r="S277" s="18" t="s">
        <v>36</v>
      </c>
      <c r="T277" s="18" t="s">
        <v>43</v>
      </c>
      <c r="U277" s="18">
        <v>2011</v>
      </c>
      <c r="V277" s="16">
        <f t="shared" si="8"/>
        <v>40587</v>
      </c>
      <c r="W277" s="18" t="str">
        <f t="shared" si="9"/>
        <v>Weekday</v>
      </c>
    </row>
    <row r="278" spans="1:23" x14ac:dyDescent="0.25">
      <c r="A278" s="19">
        <v>276</v>
      </c>
      <c r="B278" s="20">
        <v>40555</v>
      </c>
      <c r="C278" s="18">
        <v>1</v>
      </c>
      <c r="D278" s="18">
        <v>0</v>
      </c>
      <c r="E278" s="18">
        <v>1</v>
      </c>
      <c r="F278" s="18">
        <v>22</v>
      </c>
      <c r="G278" s="18" t="b">
        <v>0</v>
      </c>
      <c r="H278" s="18">
        <v>3</v>
      </c>
      <c r="I278" s="18">
        <v>1</v>
      </c>
      <c r="J278" s="18">
        <v>0.16</v>
      </c>
      <c r="K278">
        <v>0.1212</v>
      </c>
      <c r="L278">
        <v>0.55000000000000004</v>
      </c>
      <c r="M278" s="18">
        <v>0.44779999999999998</v>
      </c>
      <c r="N278" s="18">
        <v>1</v>
      </c>
      <c r="O278" s="18">
        <v>32</v>
      </c>
      <c r="P278">
        <v>33</v>
      </c>
      <c r="Q278" s="18" t="s">
        <v>34</v>
      </c>
      <c r="R278" s="18" t="s">
        <v>35</v>
      </c>
      <c r="S278" s="18" t="s">
        <v>36</v>
      </c>
      <c r="T278" s="18" t="s">
        <v>43</v>
      </c>
      <c r="U278" s="18">
        <v>2011</v>
      </c>
      <c r="V278" s="16">
        <f t="shared" si="8"/>
        <v>40587</v>
      </c>
      <c r="W278" s="18" t="str">
        <f t="shared" si="9"/>
        <v>Weekday</v>
      </c>
    </row>
    <row r="279" spans="1:23" x14ac:dyDescent="0.25">
      <c r="A279" s="19">
        <v>277</v>
      </c>
      <c r="B279" s="20">
        <v>40555</v>
      </c>
      <c r="C279" s="18">
        <v>1</v>
      </c>
      <c r="D279" s="18">
        <v>0</v>
      </c>
      <c r="E279" s="18">
        <v>1</v>
      </c>
      <c r="F279" s="18">
        <v>23</v>
      </c>
      <c r="G279" s="18" t="b">
        <v>0</v>
      </c>
      <c r="H279" s="18">
        <v>3</v>
      </c>
      <c r="I279" s="18">
        <v>1</v>
      </c>
      <c r="J279" s="18">
        <v>0.14000000000000001</v>
      </c>
      <c r="K279">
        <v>0.1061</v>
      </c>
      <c r="L279">
        <v>0.59</v>
      </c>
      <c r="M279" s="18">
        <v>0.41789999999999999</v>
      </c>
      <c r="N279" s="18">
        <v>1</v>
      </c>
      <c r="O279" s="18">
        <v>19</v>
      </c>
      <c r="P279">
        <v>20</v>
      </c>
      <c r="Q279" s="18" t="s">
        <v>34</v>
      </c>
      <c r="R279" s="18" t="s">
        <v>35</v>
      </c>
      <c r="S279" s="18" t="s">
        <v>36</v>
      </c>
      <c r="T279" s="18" t="s">
        <v>43</v>
      </c>
      <c r="U279" s="18">
        <v>2011</v>
      </c>
      <c r="V279" s="16">
        <f t="shared" si="8"/>
        <v>40587</v>
      </c>
      <c r="W279" s="18" t="str">
        <f t="shared" si="9"/>
        <v>Weekday</v>
      </c>
    </row>
    <row r="280" spans="1:23" x14ac:dyDescent="0.25">
      <c r="A280" s="19">
        <v>278</v>
      </c>
      <c r="B280" s="20">
        <v>40556</v>
      </c>
      <c r="C280" s="18">
        <v>1</v>
      </c>
      <c r="D280" s="18">
        <v>0</v>
      </c>
      <c r="E280" s="18">
        <v>1</v>
      </c>
      <c r="F280" s="18">
        <v>0</v>
      </c>
      <c r="G280" s="18" t="b">
        <v>0</v>
      </c>
      <c r="H280" s="18">
        <v>4</v>
      </c>
      <c r="I280" s="18">
        <v>1</v>
      </c>
      <c r="J280" s="18">
        <v>0.14000000000000001</v>
      </c>
      <c r="K280">
        <v>0.1212</v>
      </c>
      <c r="L280">
        <v>0.59</v>
      </c>
      <c r="M280" s="18">
        <v>0.28360000000000002</v>
      </c>
      <c r="N280" s="18">
        <v>1</v>
      </c>
      <c r="O280" s="18">
        <v>6</v>
      </c>
      <c r="P280">
        <v>7</v>
      </c>
      <c r="Q280" s="18" t="s">
        <v>34</v>
      </c>
      <c r="R280" s="18" t="s">
        <v>35</v>
      </c>
      <c r="S280" s="18" t="s">
        <v>36</v>
      </c>
      <c r="T280" s="18" t="s">
        <v>44</v>
      </c>
      <c r="U280" s="18">
        <v>2011</v>
      </c>
      <c r="V280" s="16">
        <f t="shared" si="8"/>
        <v>40587</v>
      </c>
      <c r="W280" s="18" t="str">
        <f t="shared" si="9"/>
        <v>Weekday</v>
      </c>
    </row>
    <row r="281" spans="1:23" x14ac:dyDescent="0.25">
      <c r="A281" s="19">
        <v>279</v>
      </c>
      <c r="B281" s="20">
        <v>40556</v>
      </c>
      <c r="C281" s="18">
        <v>1</v>
      </c>
      <c r="D281" s="18">
        <v>0</v>
      </c>
      <c r="E281" s="18">
        <v>1</v>
      </c>
      <c r="F281" s="18">
        <v>1</v>
      </c>
      <c r="G281" s="18" t="b">
        <v>0</v>
      </c>
      <c r="H281" s="18">
        <v>4</v>
      </c>
      <c r="I281" s="18">
        <v>1</v>
      </c>
      <c r="J281" s="18">
        <v>0.14000000000000001</v>
      </c>
      <c r="K281">
        <v>0.1212</v>
      </c>
      <c r="L281">
        <v>0.5</v>
      </c>
      <c r="M281" s="18">
        <v>0.28360000000000002</v>
      </c>
      <c r="N281" s="18">
        <v>0</v>
      </c>
      <c r="O281" s="18">
        <v>2</v>
      </c>
      <c r="P281">
        <v>2</v>
      </c>
      <c r="Q281" s="18" t="s">
        <v>34</v>
      </c>
      <c r="R281" s="18" t="s">
        <v>35</v>
      </c>
      <c r="S281" s="18" t="s">
        <v>36</v>
      </c>
      <c r="T281" s="18" t="s">
        <v>44</v>
      </c>
      <c r="U281" s="18">
        <v>2011</v>
      </c>
      <c r="V281" s="16">
        <f t="shared" si="8"/>
        <v>40587</v>
      </c>
      <c r="W281" s="18" t="str">
        <f t="shared" si="9"/>
        <v>Weekday</v>
      </c>
    </row>
    <row r="282" spans="1:23" x14ac:dyDescent="0.25">
      <c r="A282" s="19">
        <v>280</v>
      </c>
      <c r="B282" s="20">
        <v>40556</v>
      </c>
      <c r="C282" s="18">
        <v>1</v>
      </c>
      <c r="D282" s="18">
        <v>0</v>
      </c>
      <c r="E282" s="18">
        <v>1</v>
      </c>
      <c r="F282" s="18">
        <v>2</v>
      </c>
      <c r="G282" s="18" t="b">
        <v>0</v>
      </c>
      <c r="H282" s="18">
        <v>4</v>
      </c>
      <c r="I282" s="18">
        <v>1</v>
      </c>
      <c r="J282" s="18">
        <v>0.14000000000000001</v>
      </c>
      <c r="K282">
        <v>0.1212</v>
      </c>
      <c r="L282">
        <v>0.5</v>
      </c>
      <c r="M282" s="18">
        <v>0.35820000000000002</v>
      </c>
      <c r="N282" s="18">
        <v>0</v>
      </c>
      <c r="O282" s="18">
        <v>2</v>
      </c>
      <c r="P282">
        <v>2</v>
      </c>
      <c r="Q282" s="18" t="s">
        <v>34</v>
      </c>
      <c r="R282" s="18" t="s">
        <v>35</v>
      </c>
      <c r="S282" s="18" t="s">
        <v>36</v>
      </c>
      <c r="T282" s="18" t="s">
        <v>44</v>
      </c>
      <c r="U282" s="18">
        <v>2011</v>
      </c>
      <c r="V282" s="16">
        <f t="shared" si="8"/>
        <v>40587</v>
      </c>
      <c r="W282" s="18" t="str">
        <f t="shared" si="9"/>
        <v>Weekday</v>
      </c>
    </row>
    <row r="283" spans="1:23" x14ac:dyDescent="0.25">
      <c r="A283" s="19">
        <v>281</v>
      </c>
      <c r="B283" s="20">
        <v>40556</v>
      </c>
      <c r="C283" s="18">
        <v>1</v>
      </c>
      <c r="D283" s="18">
        <v>0</v>
      </c>
      <c r="E283" s="18">
        <v>1</v>
      </c>
      <c r="F283" s="18">
        <v>3</v>
      </c>
      <c r="G283" s="18" t="b">
        <v>0</v>
      </c>
      <c r="H283" s="18">
        <v>4</v>
      </c>
      <c r="I283" s="18">
        <v>1</v>
      </c>
      <c r="J283" s="18">
        <v>0.14000000000000001</v>
      </c>
      <c r="K283">
        <v>0.1212</v>
      </c>
      <c r="L283">
        <v>0.5</v>
      </c>
      <c r="M283" s="18">
        <v>0.32840000000000003</v>
      </c>
      <c r="N283" s="18">
        <v>0</v>
      </c>
      <c r="O283" s="18">
        <v>3</v>
      </c>
      <c r="P283">
        <v>3</v>
      </c>
      <c r="Q283" s="18" t="s">
        <v>34</v>
      </c>
      <c r="R283" s="18" t="s">
        <v>35</v>
      </c>
      <c r="S283" s="18" t="s">
        <v>36</v>
      </c>
      <c r="T283" s="18" t="s">
        <v>44</v>
      </c>
      <c r="U283" s="18">
        <v>2011</v>
      </c>
      <c r="V283" s="16">
        <f t="shared" si="8"/>
        <v>40587</v>
      </c>
      <c r="W283" s="18" t="str">
        <f t="shared" si="9"/>
        <v>Weekday</v>
      </c>
    </row>
    <row r="284" spans="1:23" x14ac:dyDescent="0.25">
      <c r="A284" s="19">
        <v>282</v>
      </c>
      <c r="B284" s="20">
        <v>40556</v>
      </c>
      <c r="C284" s="18">
        <v>1</v>
      </c>
      <c r="D284" s="18">
        <v>0</v>
      </c>
      <c r="E284" s="18">
        <v>1</v>
      </c>
      <c r="F284" s="18">
        <v>4</v>
      </c>
      <c r="G284" s="18" t="b">
        <v>0</v>
      </c>
      <c r="H284" s="18">
        <v>4</v>
      </c>
      <c r="I284" s="18">
        <v>1</v>
      </c>
      <c r="J284" s="18">
        <v>0.14000000000000001</v>
      </c>
      <c r="K284">
        <v>0.1212</v>
      </c>
      <c r="L284">
        <v>0.5</v>
      </c>
      <c r="M284" s="18">
        <v>0.25369999999999998</v>
      </c>
      <c r="N284" s="18">
        <v>0</v>
      </c>
      <c r="O284" s="18">
        <v>4</v>
      </c>
      <c r="P284">
        <v>4</v>
      </c>
      <c r="Q284" s="18" t="s">
        <v>34</v>
      </c>
      <c r="R284" s="18" t="s">
        <v>35</v>
      </c>
      <c r="S284" s="18" t="s">
        <v>36</v>
      </c>
      <c r="T284" s="18" t="s">
        <v>44</v>
      </c>
      <c r="U284" s="18">
        <v>2011</v>
      </c>
      <c r="V284" s="16">
        <f t="shared" si="8"/>
        <v>40587</v>
      </c>
      <c r="W284" s="18" t="str">
        <f t="shared" si="9"/>
        <v>Weekday</v>
      </c>
    </row>
    <row r="285" spans="1:23" x14ac:dyDescent="0.25">
      <c r="A285" s="19">
        <v>283</v>
      </c>
      <c r="B285" s="20">
        <v>40556</v>
      </c>
      <c r="C285" s="18">
        <v>1</v>
      </c>
      <c r="D285" s="18">
        <v>0</v>
      </c>
      <c r="E285" s="18">
        <v>1</v>
      </c>
      <c r="F285" s="18">
        <v>5</v>
      </c>
      <c r="G285" s="18" t="b">
        <v>0</v>
      </c>
      <c r="H285" s="18">
        <v>4</v>
      </c>
      <c r="I285" s="18">
        <v>1</v>
      </c>
      <c r="J285" s="18">
        <v>0.14000000000000001</v>
      </c>
      <c r="K285">
        <v>0.1212</v>
      </c>
      <c r="L285">
        <v>0.5</v>
      </c>
      <c r="M285" s="18">
        <v>0.29849999999999999</v>
      </c>
      <c r="N285" s="18">
        <v>0</v>
      </c>
      <c r="O285" s="18">
        <v>3</v>
      </c>
      <c r="P285">
        <v>3</v>
      </c>
      <c r="Q285" s="18" t="s">
        <v>34</v>
      </c>
      <c r="R285" s="18" t="s">
        <v>35</v>
      </c>
      <c r="S285" s="18" t="s">
        <v>36</v>
      </c>
      <c r="T285" s="18" t="s">
        <v>44</v>
      </c>
      <c r="U285" s="18">
        <v>2011</v>
      </c>
      <c r="V285" s="16">
        <f t="shared" si="8"/>
        <v>40587</v>
      </c>
      <c r="W285" s="18" t="str">
        <f t="shared" si="9"/>
        <v>Weekday</v>
      </c>
    </row>
    <row r="286" spans="1:23" x14ac:dyDescent="0.25">
      <c r="A286" s="19">
        <v>284</v>
      </c>
      <c r="B286" s="20">
        <v>40556</v>
      </c>
      <c r="C286" s="18">
        <v>1</v>
      </c>
      <c r="D286" s="18">
        <v>0</v>
      </c>
      <c r="E286" s="18">
        <v>1</v>
      </c>
      <c r="F286" s="18">
        <v>6</v>
      </c>
      <c r="G286" s="18" t="b">
        <v>0</v>
      </c>
      <c r="H286" s="18">
        <v>4</v>
      </c>
      <c r="I286" s="18">
        <v>1</v>
      </c>
      <c r="J286" s="18">
        <v>0.12</v>
      </c>
      <c r="K286">
        <v>0.1515</v>
      </c>
      <c r="L286">
        <v>0.54</v>
      </c>
      <c r="M286" s="18">
        <v>0.1343</v>
      </c>
      <c r="N286" s="18">
        <v>0</v>
      </c>
      <c r="O286" s="18">
        <v>28</v>
      </c>
      <c r="P286">
        <v>28</v>
      </c>
      <c r="Q286" s="18" t="s">
        <v>34</v>
      </c>
      <c r="R286" s="18" t="s">
        <v>35</v>
      </c>
      <c r="S286" s="18" t="s">
        <v>36</v>
      </c>
      <c r="T286" s="18" t="s">
        <v>44</v>
      </c>
      <c r="U286" s="18">
        <v>2011</v>
      </c>
      <c r="V286" s="16">
        <f t="shared" si="8"/>
        <v>40587</v>
      </c>
      <c r="W286" s="18" t="str">
        <f t="shared" si="9"/>
        <v>Weekday</v>
      </c>
    </row>
    <row r="287" spans="1:23" x14ac:dyDescent="0.25">
      <c r="A287" s="19">
        <v>285</v>
      </c>
      <c r="B287" s="20">
        <v>40556</v>
      </c>
      <c r="C287" s="18">
        <v>1</v>
      </c>
      <c r="D287" s="18">
        <v>0</v>
      </c>
      <c r="E287" s="18">
        <v>1</v>
      </c>
      <c r="F287" s="18">
        <v>7</v>
      </c>
      <c r="G287" s="18" t="b">
        <v>0</v>
      </c>
      <c r="H287" s="18">
        <v>4</v>
      </c>
      <c r="I287" s="18">
        <v>1</v>
      </c>
      <c r="J287" s="18">
        <v>0.12</v>
      </c>
      <c r="K287">
        <v>0.1515</v>
      </c>
      <c r="L287">
        <v>0.54</v>
      </c>
      <c r="M287" s="18">
        <v>0.1343</v>
      </c>
      <c r="N287" s="18">
        <v>0</v>
      </c>
      <c r="O287" s="18">
        <v>72</v>
      </c>
      <c r="P287">
        <v>72</v>
      </c>
      <c r="Q287" s="18" t="s">
        <v>34</v>
      </c>
      <c r="R287" s="18" t="s">
        <v>35</v>
      </c>
      <c r="S287" s="18" t="s">
        <v>36</v>
      </c>
      <c r="T287" s="18" t="s">
        <v>44</v>
      </c>
      <c r="U287" s="18">
        <v>2011</v>
      </c>
      <c r="V287" s="16">
        <f t="shared" si="8"/>
        <v>40587</v>
      </c>
      <c r="W287" s="18" t="str">
        <f t="shared" si="9"/>
        <v>Weekday</v>
      </c>
    </row>
    <row r="288" spans="1:23" x14ac:dyDescent="0.25">
      <c r="A288" s="19">
        <v>286</v>
      </c>
      <c r="B288" s="20">
        <v>40556</v>
      </c>
      <c r="C288" s="18">
        <v>1</v>
      </c>
      <c r="D288" s="18">
        <v>0</v>
      </c>
      <c r="E288" s="18">
        <v>1</v>
      </c>
      <c r="F288" s="18">
        <v>8</v>
      </c>
      <c r="G288" s="18" t="b">
        <v>0</v>
      </c>
      <c r="H288" s="18">
        <v>4</v>
      </c>
      <c r="I288" s="18">
        <v>1</v>
      </c>
      <c r="J288" s="18">
        <v>0.14000000000000001</v>
      </c>
      <c r="K288">
        <v>0.13639999999999999</v>
      </c>
      <c r="L288">
        <v>0.5</v>
      </c>
      <c r="M288" s="18">
        <v>0.19400000000000001</v>
      </c>
      <c r="N288" s="18">
        <v>5</v>
      </c>
      <c r="O288" s="18">
        <v>197</v>
      </c>
      <c r="P288">
        <v>202</v>
      </c>
      <c r="Q288" s="18" t="s">
        <v>34</v>
      </c>
      <c r="R288" s="18" t="s">
        <v>35</v>
      </c>
      <c r="S288" s="18" t="s">
        <v>36</v>
      </c>
      <c r="T288" s="18" t="s">
        <v>44</v>
      </c>
      <c r="U288" s="18">
        <v>2011</v>
      </c>
      <c r="V288" s="16">
        <f t="shared" si="8"/>
        <v>40587</v>
      </c>
      <c r="W288" s="18" t="str">
        <f t="shared" si="9"/>
        <v>Weekday</v>
      </c>
    </row>
    <row r="289" spans="1:23" x14ac:dyDescent="0.25">
      <c r="A289" s="19">
        <v>287</v>
      </c>
      <c r="B289" s="20">
        <v>40556</v>
      </c>
      <c r="C289" s="18">
        <v>1</v>
      </c>
      <c r="D289" s="18">
        <v>0</v>
      </c>
      <c r="E289" s="18">
        <v>1</v>
      </c>
      <c r="F289" s="18">
        <v>9</v>
      </c>
      <c r="G289" s="18" t="b">
        <v>0</v>
      </c>
      <c r="H289" s="18">
        <v>4</v>
      </c>
      <c r="I289" s="18">
        <v>1</v>
      </c>
      <c r="J289" s="18">
        <v>0.14000000000000001</v>
      </c>
      <c r="K289">
        <v>0.1212</v>
      </c>
      <c r="L289">
        <v>0.5</v>
      </c>
      <c r="M289" s="18">
        <v>0.32840000000000003</v>
      </c>
      <c r="N289" s="18">
        <v>2</v>
      </c>
      <c r="O289" s="18">
        <v>137</v>
      </c>
      <c r="P289">
        <v>139</v>
      </c>
      <c r="Q289" s="18" t="s">
        <v>34</v>
      </c>
      <c r="R289" s="18" t="s">
        <v>35</v>
      </c>
      <c r="S289" s="18" t="s">
        <v>36</v>
      </c>
      <c r="T289" s="18" t="s">
        <v>44</v>
      </c>
      <c r="U289" s="18">
        <v>2011</v>
      </c>
      <c r="V289" s="16">
        <f t="shared" si="8"/>
        <v>40587</v>
      </c>
      <c r="W289" s="18" t="str">
        <f t="shared" si="9"/>
        <v>Weekday</v>
      </c>
    </row>
    <row r="290" spans="1:23" x14ac:dyDescent="0.25">
      <c r="A290" s="19">
        <v>288</v>
      </c>
      <c r="B290" s="20">
        <v>40556</v>
      </c>
      <c r="C290" s="18">
        <v>1</v>
      </c>
      <c r="D290" s="18">
        <v>0</v>
      </c>
      <c r="E290" s="18">
        <v>1</v>
      </c>
      <c r="F290" s="18">
        <v>10</v>
      </c>
      <c r="G290" s="18" t="b">
        <v>0</v>
      </c>
      <c r="H290" s="18">
        <v>4</v>
      </c>
      <c r="I290" s="18">
        <v>2</v>
      </c>
      <c r="J290" s="18">
        <v>0.16</v>
      </c>
      <c r="K290">
        <v>0.13639999999999999</v>
      </c>
      <c r="L290">
        <v>0.5</v>
      </c>
      <c r="M290" s="18">
        <v>0.35820000000000002</v>
      </c>
      <c r="N290" s="18">
        <v>2</v>
      </c>
      <c r="O290" s="18">
        <v>36</v>
      </c>
      <c r="P290">
        <v>38</v>
      </c>
      <c r="Q290" s="18" t="s">
        <v>34</v>
      </c>
      <c r="R290" s="18" t="s">
        <v>35</v>
      </c>
      <c r="S290" s="18" t="s">
        <v>38</v>
      </c>
      <c r="T290" s="18" t="s">
        <v>44</v>
      </c>
      <c r="U290" s="18">
        <v>2011</v>
      </c>
      <c r="V290" s="16">
        <f t="shared" si="8"/>
        <v>40587</v>
      </c>
      <c r="W290" s="18" t="str">
        <f t="shared" si="9"/>
        <v>Weekday</v>
      </c>
    </row>
    <row r="291" spans="1:23" x14ac:dyDescent="0.25">
      <c r="A291" s="19">
        <v>289</v>
      </c>
      <c r="B291" s="20">
        <v>40556</v>
      </c>
      <c r="C291" s="18">
        <v>1</v>
      </c>
      <c r="D291" s="18">
        <v>0</v>
      </c>
      <c r="E291" s="18">
        <v>1</v>
      </c>
      <c r="F291" s="18">
        <v>11</v>
      </c>
      <c r="G291" s="18" t="b">
        <v>0</v>
      </c>
      <c r="H291" s="18">
        <v>4</v>
      </c>
      <c r="I291" s="18">
        <v>2</v>
      </c>
      <c r="J291" s="18">
        <v>0.2</v>
      </c>
      <c r="K291">
        <v>0.16669999999999999</v>
      </c>
      <c r="L291">
        <v>0.44</v>
      </c>
      <c r="M291" s="18">
        <v>0.44779999999999998</v>
      </c>
      <c r="N291" s="18">
        <v>4</v>
      </c>
      <c r="O291" s="18">
        <v>33</v>
      </c>
      <c r="P291">
        <v>37</v>
      </c>
      <c r="Q291" s="18" t="s">
        <v>34</v>
      </c>
      <c r="R291" s="18" t="s">
        <v>35</v>
      </c>
      <c r="S291" s="18" t="s">
        <v>38</v>
      </c>
      <c r="T291" s="18" t="s">
        <v>44</v>
      </c>
      <c r="U291" s="18">
        <v>2011</v>
      </c>
      <c r="V291" s="16">
        <f t="shared" si="8"/>
        <v>40587</v>
      </c>
      <c r="W291" s="18" t="str">
        <f t="shared" si="9"/>
        <v>Weekday</v>
      </c>
    </row>
    <row r="292" spans="1:23" x14ac:dyDescent="0.25">
      <c r="A292" s="19">
        <v>290</v>
      </c>
      <c r="B292" s="20">
        <v>40556</v>
      </c>
      <c r="C292" s="18">
        <v>1</v>
      </c>
      <c r="D292" s="18">
        <v>0</v>
      </c>
      <c r="E292" s="18">
        <v>1</v>
      </c>
      <c r="F292" s="18">
        <v>12</v>
      </c>
      <c r="G292" s="18" t="b">
        <v>0</v>
      </c>
      <c r="H292" s="18">
        <v>4</v>
      </c>
      <c r="I292" s="18">
        <v>1</v>
      </c>
      <c r="J292" s="18">
        <v>0.2</v>
      </c>
      <c r="K292">
        <v>0.16669999999999999</v>
      </c>
      <c r="L292">
        <v>0.44</v>
      </c>
      <c r="M292" s="18">
        <v>0.41789999999999999</v>
      </c>
      <c r="N292" s="18">
        <v>3</v>
      </c>
      <c r="O292" s="18">
        <v>49</v>
      </c>
      <c r="P292">
        <v>52</v>
      </c>
      <c r="Q292" s="18" t="s">
        <v>34</v>
      </c>
      <c r="R292" s="18" t="s">
        <v>35</v>
      </c>
      <c r="S292" s="18" t="s">
        <v>36</v>
      </c>
      <c r="T292" s="18" t="s">
        <v>44</v>
      </c>
      <c r="U292" s="18">
        <v>2011</v>
      </c>
      <c r="V292" s="16">
        <f t="shared" si="8"/>
        <v>40587</v>
      </c>
      <c r="W292" s="18" t="str">
        <f t="shared" si="9"/>
        <v>Weekday</v>
      </c>
    </row>
    <row r="293" spans="1:23" x14ac:dyDescent="0.25">
      <c r="A293" s="19">
        <v>291</v>
      </c>
      <c r="B293" s="20">
        <v>40556</v>
      </c>
      <c r="C293" s="18">
        <v>1</v>
      </c>
      <c r="D293" s="18">
        <v>0</v>
      </c>
      <c r="E293" s="18">
        <v>1</v>
      </c>
      <c r="F293" s="18">
        <v>13</v>
      </c>
      <c r="G293" s="18" t="b">
        <v>0</v>
      </c>
      <c r="H293" s="18">
        <v>4</v>
      </c>
      <c r="I293" s="18">
        <v>1</v>
      </c>
      <c r="J293" s="18">
        <v>0.22</v>
      </c>
      <c r="K293">
        <v>0.19700000000000001</v>
      </c>
      <c r="L293">
        <v>0.41</v>
      </c>
      <c r="M293" s="18">
        <v>0.44779999999999998</v>
      </c>
      <c r="N293" s="18">
        <v>2</v>
      </c>
      <c r="O293" s="18">
        <v>81</v>
      </c>
      <c r="P293">
        <v>83</v>
      </c>
      <c r="Q293" s="18" t="s">
        <v>34</v>
      </c>
      <c r="R293" s="18" t="s">
        <v>35</v>
      </c>
      <c r="S293" s="18" t="s">
        <v>36</v>
      </c>
      <c r="T293" s="18" t="s">
        <v>44</v>
      </c>
      <c r="U293" s="18">
        <v>2011</v>
      </c>
      <c r="V293" s="16">
        <f t="shared" si="8"/>
        <v>40587</v>
      </c>
      <c r="W293" s="18" t="str">
        <f t="shared" si="9"/>
        <v>Weekday</v>
      </c>
    </row>
    <row r="294" spans="1:23" x14ac:dyDescent="0.25">
      <c r="A294" s="19">
        <v>292</v>
      </c>
      <c r="B294" s="20">
        <v>40556</v>
      </c>
      <c r="C294" s="18">
        <v>1</v>
      </c>
      <c r="D294" s="18">
        <v>0</v>
      </c>
      <c r="E294" s="18">
        <v>1</v>
      </c>
      <c r="F294" s="18">
        <v>14</v>
      </c>
      <c r="G294" s="18" t="b">
        <v>0</v>
      </c>
      <c r="H294" s="18">
        <v>4</v>
      </c>
      <c r="I294" s="18">
        <v>1</v>
      </c>
      <c r="J294" s="18">
        <v>0.22</v>
      </c>
      <c r="K294">
        <v>0.19700000000000001</v>
      </c>
      <c r="L294">
        <v>0.41</v>
      </c>
      <c r="M294" s="18">
        <v>0.3881</v>
      </c>
      <c r="N294" s="18">
        <v>3</v>
      </c>
      <c r="O294" s="18">
        <v>39</v>
      </c>
      <c r="P294">
        <v>42</v>
      </c>
      <c r="Q294" s="18" t="s">
        <v>34</v>
      </c>
      <c r="R294" s="18" t="s">
        <v>35</v>
      </c>
      <c r="S294" s="18" t="s">
        <v>36</v>
      </c>
      <c r="T294" s="18" t="s">
        <v>44</v>
      </c>
      <c r="U294" s="18">
        <v>2011</v>
      </c>
      <c r="V294" s="16">
        <f t="shared" si="8"/>
        <v>40587</v>
      </c>
      <c r="W294" s="18" t="str">
        <f t="shared" si="9"/>
        <v>Weekday</v>
      </c>
    </row>
    <row r="295" spans="1:23" x14ac:dyDescent="0.25">
      <c r="A295" s="19">
        <v>293</v>
      </c>
      <c r="B295" s="20">
        <v>40556</v>
      </c>
      <c r="C295" s="18">
        <v>1</v>
      </c>
      <c r="D295" s="18">
        <v>0</v>
      </c>
      <c r="E295" s="18">
        <v>1</v>
      </c>
      <c r="F295" s="18">
        <v>15</v>
      </c>
      <c r="G295" s="18" t="b">
        <v>0</v>
      </c>
      <c r="H295" s="18">
        <v>4</v>
      </c>
      <c r="I295" s="18">
        <v>1</v>
      </c>
      <c r="J295" s="18">
        <v>0.24</v>
      </c>
      <c r="K295">
        <v>0.21210000000000001</v>
      </c>
      <c r="L295">
        <v>0.38</v>
      </c>
      <c r="M295" s="18">
        <v>0.29849999999999999</v>
      </c>
      <c r="N295" s="18">
        <v>5</v>
      </c>
      <c r="O295" s="18">
        <v>55</v>
      </c>
      <c r="P295">
        <v>60</v>
      </c>
      <c r="Q295" s="18" t="s">
        <v>34</v>
      </c>
      <c r="R295" s="18" t="s">
        <v>35</v>
      </c>
      <c r="S295" s="18" t="s">
        <v>36</v>
      </c>
      <c r="T295" s="18" t="s">
        <v>44</v>
      </c>
      <c r="U295" s="18">
        <v>2011</v>
      </c>
      <c r="V295" s="16">
        <f t="shared" si="8"/>
        <v>40587</v>
      </c>
      <c r="W295" s="18" t="str">
        <f t="shared" si="9"/>
        <v>Weekday</v>
      </c>
    </row>
    <row r="296" spans="1:23" x14ac:dyDescent="0.25">
      <c r="A296" s="19">
        <v>294</v>
      </c>
      <c r="B296" s="20">
        <v>40556</v>
      </c>
      <c r="C296" s="18">
        <v>1</v>
      </c>
      <c r="D296" s="18">
        <v>0</v>
      </c>
      <c r="E296" s="18">
        <v>1</v>
      </c>
      <c r="F296" s="18">
        <v>16</v>
      </c>
      <c r="G296" s="18" t="b">
        <v>0</v>
      </c>
      <c r="H296" s="18">
        <v>4</v>
      </c>
      <c r="I296" s="18">
        <v>1</v>
      </c>
      <c r="J296" s="18">
        <v>0.24</v>
      </c>
      <c r="K296">
        <v>0.21210000000000001</v>
      </c>
      <c r="L296">
        <v>0.38</v>
      </c>
      <c r="M296" s="18">
        <v>0.35820000000000002</v>
      </c>
      <c r="N296" s="18">
        <v>2</v>
      </c>
      <c r="O296" s="18">
        <v>76</v>
      </c>
      <c r="P296">
        <v>78</v>
      </c>
      <c r="Q296" s="18" t="s">
        <v>34</v>
      </c>
      <c r="R296" s="18" t="s">
        <v>35</v>
      </c>
      <c r="S296" s="18" t="s">
        <v>36</v>
      </c>
      <c r="T296" s="18" t="s">
        <v>44</v>
      </c>
      <c r="U296" s="18">
        <v>2011</v>
      </c>
      <c r="V296" s="16">
        <f t="shared" si="8"/>
        <v>40587</v>
      </c>
      <c r="W296" s="18" t="str">
        <f t="shared" si="9"/>
        <v>Weekday</v>
      </c>
    </row>
    <row r="297" spans="1:23" x14ac:dyDescent="0.25">
      <c r="A297" s="19">
        <v>295</v>
      </c>
      <c r="B297" s="20">
        <v>40556</v>
      </c>
      <c r="C297" s="18">
        <v>1</v>
      </c>
      <c r="D297" s="18">
        <v>0</v>
      </c>
      <c r="E297" s="18">
        <v>1</v>
      </c>
      <c r="F297" s="18">
        <v>17</v>
      </c>
      <c r="G297" s="18" t="b">
        <v>0</v>
      </c>
      <c r="H297" s="18">
        <v>4</v>
      </c>
      <c r="I297" s="18">
        <v>1</v>
      </c>
      <c r="J297" s="18">
        <v>0.2</v>
      </c>
      <c r="K297">
        <v>0.18179999999999999</v>
      </c>
      <c r="L297">
        <v>0.4</v>
      </c>
      <c r="M297" s="18">
        <v>0.28360000000000002</v>
      </c>
      <c r="N297" s="18">
        <v>4</v>
      </c>
      <c r="O297" s="18">
        <v>158</v>
      </c>
      <c r="P297">
        <v>162</v>
      </c>
      <c r="Q297" s="18" t="s">
        <v>34</v>
      </c>
      <c r="R297" s="18" t="s">
        <v>35</v>
      </c>
      <c r="S297" s="18" t="s">
        <v>36</v>
      </c>
      <c r="T297" s="18" t="s">
        <v>44</v>
      </c>
      <c r="U297" s="18">
        <v>2011</v>
      </c>
      <c r="V297" s="16">
        <f t="shared" si="8"/>
        <v>40587</v>
      </c>
      <c r="W297" s="18" t="str">
        <f t="shared" si="9"/>
        <v>Weekday</v>
      </c>
    </row>
    <row r="298" spans="1:23" x14ac:dyDescent="0.25">
      <c r="A298" s="19">
        <v>296</v>
      </c>
      <c r="B298" s="20">
        <v>40556</v>
      </c>
      <c r="C298" s="18">
        <v>1</v>
      </c>
      <c r="D298" s="18">
        <v>0</v>
      </c>
      <c r="E298" s="18">
        <v>1</v>
      </c>
      <c r="F298" s="18">
        <v>18</v>
      </c>
      <c r="G298" s="18" t="b">
        <v>0</v>
      </c>
      <c r="H298" s="18">
        <v>4</v>
      </c>
      <c r="I298" s="18">
        <v>1</v>
      </c>
      <c r="J298" s="18">
        <v>0.2</v>
      </c>
      <c r="K298">
        <v>0.18179999999999999</v>
      </c>
      <c r="L298">
        <v>0.4</v>
      </c>
      <c r="M298" s="18">
        <v>0.32840000000000003</v>
      </c>
      <c r="N298" s="18">
        <v>3</v>
      </c>
      <c r="O298" s="18">
        <v>141</v>
      </c>
      <c r="P298">
        <v>144</v>
      </c>
      <c r="Q298" s="18" t="s">
        <v>34</v>
      </c>
      <c r="R298" s="18" t="s">
        <v>35</v>
      </c>
      <c r="S298" s="18" t="s">
        <v>36</v>
      </c>
      <c r="T298" s="18" t="s">
        <v>44</v>
      </c>
      <c r="U298" s="18">
        <v>2011</v>
      </c>
      <c r="V298" s="16">
        <f t="shared" si="8"/>
        <v>40587</v>
      </c>
      <c r="W298" s="18" t="str">
        <f t="shared" si="9"/>
        <v>Weekday</v>
      </c>
    </row>
    <row r="299" spans="1:23" x14ac:dyDescent="0.25">
      <c r="A299" s="19">
        <v>297</v>
      </c>
      <c r="B299" s="20">
        <v>40556</v>
      </c>
      <c r="C299" s="18">
        <v>1</v>
      </c>
      <c r="D299" s="18">
        <v>0</v>
      </c>
      <c r="E299" s="18">
        <v>1</v>
      </c>
      <c r="F299" s="18">
        <v>19</v>
      </c>
      <c r="G299" s="18" t="b">
        <v>0</v>
      </c>
      <c r="H299" s="18">
        <v>4</v>
      </c>
      <c r="I299" s="18">
        <v>1</v>
      </c>
      <c r="J299" s="18">
        <v>0.16</v>
      </c>
      <c r="K299">
        <v>0.1515</v>
      </c>
      <c r="L299">
        <v>0.47</v>
      </c>
      <c r="M299" s="18">
        <v>0.25369999999999998</v>
      </c>
      <c r="N299" s="18">
        <v>1</v>
      </c>
      <c r="O299" s="18">
        <v>98</v>
      </c>
      <c r="P299">
        <v>99</v>
      </c>
      <c r="Q299" s="18" t="s">
        <v>34</v>
      </c>
      <c r="R299" s="18" t="s">
        <v>35</v>
      </c>
      <c r="S299" s="18" t="s">
        <v>36</v>
      </c>
      <c r="T299" s="18" t="s">
        <v>44</v>
      </c>
      <c r="U299" s="18">
        <v>2011</v>
      </c>
      <c r="V299" s="16">
        <f t="shared" si="8"/>
        <v>40587</v>
      </c>
      <c r="W299" s="18" t="str">
        <f t="shared" si="9"/>
        <v>Weekday</v>
      </c>
    </row>
    <row r="300" spans="1:23" x14ac:dyDescent="0.25">
      <c r="A300" s="19">
        <v>298</v>
      </c>
      <c r="B300" s="20">
        <v>40556</v>
      </c>
      <c r="C300" s="18">
        <v>1</v>
      </c>
      <c r="D300" s="18">
        <v>0</v>
      </c>
      <c r="E300" s="18">
        <v>1</v>
      </c>
      <c r="F300" s="18">
        <v>20</v>
      </c>
      <c r="G300" s="18" t="b">
        <v>0</v>
      </c>
      <c r="H300" s="18">
        <v>4</v>
      </c>
      <c r="I300" s="18">
        <v>1</v>
      </c>
      <c r="J300" s="18">
        <v>0.16</v>
      </c>
      <c r="K300">
        <v>0.1515</v>
      </c>
      <c r="L300">
        <v>0.47</v>
      </c>
      <c r="M300" s="18">
        <v>0.22389999999999999</v>
      </c>
      <c r="N300" s="18">
        <v>0</v>
      </c>
      <c r="O300" s="18">
        <v>64</v>
      </c>
      <c r="P300">
        <v>64</v>
      </c>
      <c r="Q300" s="18" t="s">
        <v>34</v>
      </c>
      <c r="R300" s="18" t="s">
        <v>35</v>
      </c>
      <c r="S300" s="18" t="s">
        <v>36</v>
      </c>
      <c r="T300" s="18" t="s">
        <v>44</v>
      </c>
      <c r="U300" s="18">
        <v>2011</v>
      </c>
      <c r="V300" s="16">
        <f t="shared" si="8"/>
        <v>40587</v>
      </c>
      <c r="W300" s="18" t="str">
        <f t="shared" si="9"/>
        <v>Weekday</v>
      </c>
    </row>
    <row r="301" spans="1:23" x14ac:dyDescent="0.25">
      <c r="A301" s="19">
        <v>299</v>
      </c>
      <c r="B301" s="20">
        <v>40556</v>
      </c>
      <c r="C301" s="18">
        <v>1</v>
      </c>
      <c r="D301" s="18">
        <v>0</v>
      </c>
      <c r="E301" s="18">
        <v>1</v>
      </c>
      <c r="F301" s="18">
        <v>21</v>
      </c>
      <c r="G301" s="18" t="b">
        <v>0</v>
      </c>
      <c r="H301" s="18">
        <v>4</v>
      </c>
      <c r="I301" s="18">
        <v>1</v>
      </c>
      <c r="J301" s="18">
        <v>0.14000000000000001</v>
      </c>
      <c r="K301">
        <v>0.1212</v>
      </c>
      <c r="L301">
        <v>0.46</v>
      </c>
      <c r="M301" s="18">
        <v>0.29849999999999999</v>
      </c>
      <c r="N301" s="18">
        <v>0</v>
      </c>
      <c r="O301" s="18">
        <v>40</v>
      </c>
      <c r="P301">
        <v>40</v>
      </c>
      <c r="Q301" s="18" t="s">
        <v>34</v>
      </c>
      <c r="R301" s="18" t="s">
        <v>35</v>
      </c>
      <c r="S301" s="18" t="s">
        <v>36</v>
      </c>
      <c r="T301" s="18" t="s">
        <v>44</v>
      </c>
      <c r="U301" s="18">
        <v>2011</v>
      </c>
      <c r="V301" s="16">
        <f t="shared" si="8"/>
        <v>40587</v>
      </c>
      <c r="W301" s="18" t="str">
        <f t="shared" si="9"/>
        <v>Weekday</v>
      </c>
    </row>
    <row r="302" spans="1:23" x14ac:dyDescent="0.25">
      <c r="A302" s="19">
        <v>300</v>
      </c>
      <c r="B302" s="20">
        <v>40556</v>
      </c>
      <c r="C302" s="18">
        <v>1</v>
      </c>
      <c r="D302" s="18">
        <v>0</v>
      </c>
      <c r="E302" s="18">
        <v>1</v>
      </c>
      <c r="F302" s="18">
        <v>22</v>
      </c>
      <c r="G302" s="18" t="b">
        <v>0</v>
      </c>
      <c r="H302" s="18">
        <v>4</v>
      </c>
      <c r="I302" s="18">
        <v>1</v>
      </c>
      <c r="J302" s="18">
        <v>0.14000000000000001</v>
      </c>
      <c r="K302">
        <v>0.1212</v>
      </c>
      <c r="L302">
        <v>0.46</v>
      </c>
      <c r="M302" s="18">
        <v>0.32840000000000003</v>
      </c>
      <c r="N302" s="18">
        <v>0</v>
      </c>
      <c r="O302" s="18">
        <v>30</v>
      </c>
      <c r="P302">
        <v>30</v>
      </c>
      <c r="Q302" s="18" t="s">
        <v>34</v>
      </c>
      <c r="R302" s="18" t="s">
        <v>35</v>
      </c>
      <c r="S302" s="18" t="s">
        <v>36</v>
      </c>
      <c r="T302" s="18" t="s">
        <v>44</v>
      </c>
      <c r="U302" s="18">
        <v>2011</v>
      </c>
      <c r="V302" s="16">
        <f t="shared" si="8"/>
        <v>40587</v>
      </c>
      <c r="W302" s="18" t="str">
        <f t="shared" si="9"/>
        <v>Weekday</v>
      </c>
    </row>
    <row r="303" spans="1:23" x14ac:dyDescent="0.25">
      <c r="A303" s="19">
        <v>301</v>
      </c>
      <c r="B303" s="20">
        <v>40556</v>
      </c>
      <c r="C303" s="18">
        <v>1</v>
      </c>
      <c r="D303" s="18">
        <v>0</v>
      </c>
      <c r="E303" s="18">
        <v>1</v>
      </c>
      <c r="F303" s="18">
        <v>23</v>
      </c>
      <c r="G303" s="18" t="b">
        <v>0</v>
      </c>
      <c r="H303" s="18">
        <v>4</v>
      </c>
      <c r="I303" s="18">
        <v>1</v>
      </c>
      <c r="J303" s="18">
        <v>0.12</v>
      </c>
      <c r="K303">
        <v>0.13639999999999999</v>
      </c>
      <c r="L303">
        <v>0.5</v>
      </c>
      <c r="M303" s="18">
        <v>0.19400000000000001</v>
      </c>
      <c r="N303" s="18">
        <v>1</v>
      </c>
      <c r="O303" s="18">
        <v>14</v>
      </c>
      <c r="P303">
        <v>15</v>
      </c>
      <c r="Q303" s="18" t="s">
        <v>34</v>
      </c>
      <c r="R303" s="18" t="s">
        <v>35</v>
      </c>
      <c r="S303" s="18" t="s">
        <v>36</v>
      </c>
      <c r="T303" s="18" t="s">
        <v>44</v>
      </c>
      <c r="U303" s="18">
        <v>2011</v>
      </c>
      <c r="V303" s="16">
        <f t="shared" si="8"/>
        <v>40587</v>
      </c>
      <c r="W303" s="18" t="str">
        <f t="shared" si="9"/>
        <v>Weekday</v>
      </c>
    </row>
    <row r="304" spans="1:23" x14ac:dyDescent="0.25">
      <c r="A304" s="19">
        <v>302</v>
      </c>
      <c r="B304" s="20">
        <v>40557</v>
      </c>
      <c r="C304" s="18">
        <v>1</v>
      </c>
      <c r="D304" s="18">
        <v>0</v>
      </c>
      <c r="E304" s="18">
        <v>1</v>
      </c>
      <c r="F304" s="18">
        <v>0</v>
      </c>
      <c r="G304" s="18" t="b">
        <v>0</v>
      </c>
      <c r="H304" s="18">
        <v>5</v>
      </c>
      <c r="I304" s="18">
        <v>1</v>
      </c>
      <c r="J304" s="18">
        <v>0.12</v>
      </c>
      <c r="K304">
        <v>0.13639999999999999</v>
      </c>
      <c r="L304">
        <v>0.5</v>
      </c>
      <c r="M304" s="18">
        <v>0.19400000000000001</v>
      </c>
      <c r="N304" s="18">
        <v>0</v>
      </c>
      <c r="O304" s="18">
        <v>14</v>
      </c>
      <c r="P304">
        <v>14</v>
      </c>
      <c r="Q304" s="18" t="s">
        <v>34</v>
      </c>
      <c r="R304" s="18" t="s">
        <v>35</v>
      </c>
      <c r="S304" s="18" t="s">
        <v>36</v>
      </c>
      <c r="T304" s="18" t="s">
        <v>45</v>
      </c>
      <c r="U304" s="18">
        <v>2011</v>
      </c>
      <c r="V304" s="16">
        <f t="shared" si="8"/>
        <v>40587</v>
      </c>
      <c r="W304" s="18" t="str">
        <f t="shared" si="9"/>
        <v>Weekday</v>
      </c>
    </row>
    <row r="305" spans="1:23" x14ac:dyDescent="0.25">
      <c r="A305" s="19">
        <v>303</v>
      </c>
      <c r="B305" s="20">
        <v>40557</v>
      </c>
      <c r="C305" s="18">
        <v>1</v>
      </c>
      <c r="D305" s="18">
        <v>0</v>
      </c>
      <c r="E305" s="18">
        <v>1</v>
      </c>
      <c r="F305" s="18">
        <v>1</v>
      </c>
      <c r="G305" s="18" t="b">
        <v>0</v>
      </c>
      <c r="H305" s="18">
        <v>5</v>
      </c>
      <c r="I305" s="18">
        <v>1</v>
      </c>
      <c r="J305" s="18">
        <v>0.1</v>
      </c>
      <c r="K305">
        <v>0.1212</v>
      </c>
      <c r="L305">
        <v>0.54</v>
      </c>
      <c r="M305" s="18">
        <v>0.16420000000000001</v>
      </c>
      <c r="N305" s="18">
        <v>0</v>
      </c>
      <c r="O305" s="18">
        <v>5</v>
      </c>
      <c r="P305">
        <v>5</v>
      </c>
      <c r="Q305" s="18" t="s">
        <v>34</v>
      </c>
      <c r="R305" s="18" t="s">
        <v>35</v>
      </c>
      <c r="S305" s="18" t="s">
        <v>36</v>
      </c>
      <c r="T305" s="18" t="s">
        <v>45</v>
      </c>
      <c r="U305" s="18">
        <v>2011</v>
      </c>
      <c r="V305" s="16">
        <f t="shared" si="8"/>
        <v>40587</v>
      </c>
      <c r="W305" s="18" t="str">
        <f t="shared" si="9"/>
        <v>Weekday</v>
      </c>
    </row>
    <row r="306" spans="1:23" x14ac:dyDescent="0.25">
      <c r="A306" s="19">
        <v>304</v>
      </c>
      <c r="B306" s="20">
        <v>40557</v>
      </c>
      <c r="C306" s="18">
        <v>1</v>
      </c>
      <c r="D306" s="18">
        <v>0</v>
      </c>
      <c r="E306" s="18">
        <v>1</v>
      </c>
      <c r="F306" s="18">
        <v>2</v>
      </c>
      <c r="G306" s="18" t="b">
        <v>0</v>
      </c>
      <c r="H306" s="18">
        <v>5</v>
      </c>
      <c r="I306" s="18">
        <v>1</v>
      </c>
      <c r="J306" s="18">
        <v>0.1</v>
      </c>
      <c r="K306">
        <v>0.1212</v>
      </c>
      <c r="L306">
        <v>0.54</v>
      </c>
      <c r="M306" s="18">
        <v>0.1343</v>
      </c>
      <c r="N306" s="18">
        <v>0</v>
      </c>
      <c r="O306" s="18">
        <v>1</v>
      </c>
      <c r="P306">
        <v>1</v>
      </c>
      <c r="Q306" s="18" t="s">
        <v>34</v>
      </c>
      <c r="R306" s="18" t="s">
        <v>35</v>
      </c>
      <c r="S306" s="18" t="s">
        <v>36</v>
      </c>
      <c r="T306" s="18" t="s">
        <v>45</v>
      </c>
      <c r="U306" s="18">
        <v>2011</v>
      </c>
      <c r="V306" s="16">
        <f t="shared" si="8"/>
        <v>40587</v>
      </c>
      <c r="W306" s="18" t="str">
        <f t="shared" si="9"/>
        <v>Weekday</v>
      </c>
    </row>
    <row r="307" spans="1:23" x14ac:dyDescent="0.25">
      <c r="A307" s="19">
        <v>305</v>
      </c>
      <c r="B307" s="20">
        <v>40557</v>
      </c>
      <c r="C307" s="18">
        <v>1</v>
      </c>
      <c r="D307" s="18">
        <v>0</v>
      </c>
      <c r="E307" s="18">
        <v>1</v>
      </c>
      <c r="F307" s="18">
        <v>3</v>
      </c>
      <c r="G307" s="18" t="b">
        <v>0</v>
      </c>
      <c r="H307" s="18">
        <v>5</v>
      </c>
      <c r="I307" s="18">
        <v>1</v>
      </c>
      <c r="J307" s="18">
        <v>0.1</v>
      </c>
      <c r="K307">
        <v>0.13639999999999999</v>
      </c>
      <c r="L307">
        <v>0.54</v>
      </c>
      <c r="M307" s="18">
        <v>0.1045</v>
      </c>
      <c r="N307" s="18">
        <v>0</v>
      </c>
      <c r="O307" s="18">
        <v>1</v>
      </c>
      <c r="P307">
        <v>1</v>
      </c>
      <c r="Q307" s="18" t="s">
        <v>34</v>
      </c>
      <c r="R307" s="18" t="s">
        <v>35</v>
      </c>
      <c r="S307" s="18" t="s">
        <v>36</v>
      </c>
      <c r="T307" s="18" t="s">
        <v>45</v>
      </c>
      <c r="U307" s="18">
        <v>2011</v>
      </c>
      <c r="V307" s="16">
        <f t="shared" si="8"/>
        <v>40587</v>
      </c>
      <c r="W307" s="18" t="str">
        <f t="shared" si="9"/>
        <v>Weekday</v>
      </c>
    </row>
    <row r="308" spans="1:23" x14ac:dyDescent="0.25">
      <c r="A308" s="19">
        <v>306</v>
      </c>
      <c r="B308" s="20">
        <v>40557</v>
      </c>
      <c r="C308" s="18">
        <v>1</v>
      </c>
      <c r="D308" s="18">
        <v>0</v>
      </c>
      <c r="E308" s="18">
        <v>1</v>
      </c>
      <c r="F308" s="18">
        <v>5</v>
      </c>
      <c r="G308" s="18" t="b">
        <v>0</v>
      </c>
      <c r="H308" s="18">
        <v>5</v>
      </c>
      <c r="I308" s="18">
        <v>1</v>
      </c>
      <c r="J308" s="18">
        <v>0.1</v>
      </c>
      <c r="K308">
        <v>0.13639999999999999</v>
      </c>
      <c r="L308">
        <v>0.54</v>
      </c>
      <c r="M308" s="18">
        <v>8.9599999999999999E-2</v>
      </c>
      <c r="N308" s="18">
        <v>0</v>
      </c>
      <c r="O308" s="18">
        <v>8</v>
      </c>
      <c r="P308">
        <v>8</v>
      </c>
      <c r="Q308" s="18" t="s">
        <v>34</v>
      </c>
      <c r="R308" s="18" t="s">
        <v>35</v>
      </c>
      <c r="S308" s="18" t="s">
        <v>36</v>
      </c>
      <c r="T308" s="18" t="s">
        <v>45</v>
      </c>
      <c r="U308" s="18">
        <v>2011</v>
      </c>
      <c r="V308" s="16">
        <f t="shared" si="8"/>
        <v>40587</v>
      </c>
      <c r="W308" s="18" t="str">
        <f t="shared" si="9"/>
        <v>Weekday</v>
      </c>
    </row>
    <row r="309" spans="1:23" x14ac:dyDescent="0.25">
      <c r="A309" s="19">
        <v>307</v>
      </c>
      <c r="B309" s="20">
        <v>40557</v>
      </c>
      <c r="C309" s="18">
        <v>1</v>
      </c>
      <c r="D309" s="18">
        <v>0</v>
      </c>
      <c r="E309" s="18">
        <v>1</v>
      </c>
      <c r="F309" s="18">
        <v>6</v>
      </c>
      <c r="G309" s="18" t="b">
        <v>0</v>
      </c>
      <c r="H309" s="18">
        <v>5</v>
      </c>
      <c r="I309" s="18">
        <v>1</v>
      </c>
      <c r="J309" s="18">
        <v>0.1</v>
      </c>
      <c r="K309">
        <v>0.18179999999999999</v>
      </c>
      <c r="L309">
        <v>0.54</v>
      </c>
      <c r="M309" s="18">
        <v>0</v>
      </c>
      <c r="N309" s="18">
        <v>0</v>
      </c>
      <c r="O309" s="18">
        <v>17</v>
      </c>
      <c r="P309">
        <v>17</v>
      </c>
      <c r="Q309" s="18" t="s">
        <v>34</v>
      </c>
      <c r="R309" s="18" t="s">
        <v>35</v>
      </c>
      <c r="S309" s="18" t="s">
        <v>36</v>
      </c>
      <c r="T309" s="18" t="s">
        <v>45</v>
      </c>
      <c r="U309" s="18">
        <v>2011</v>
      </c>
      <c r="V309" s="16">
        <f t="shared" si="8"/>
        <v>40587</v>
      </c>
      <c r="W309" s="18" t="str">
        <f t="shared" si="9"/>
        <v>Weekday</v>
      </c>
    </row>
    <row r="310" spans="1:23" x14ac:dyDescent="0.25">
      <c r="A310" s="19">
        <v>308</v>
      </c>
      <c r="B310" s="20">
        <v>40557</v>
      </c>
      <c r="C310" s="18">
        <v>1</v>
      </c>
      <c r="D310" s="18">
        <v>0</v>
      </c>
      <c r="E310" s="18">
        <v>1</v>
      </c>
      <c r="F310" s="18">
        <v>7</v>
      </c>
      <c r="G310" s="18" t="b">
        <v>0</v>
      </c>
      <c r="H310" s="18">
        <v>5</v>
      </c>
      <c r="I310" s="18">
        <v>1</v>
      </c>
      <c r="J310" s="18">
        <v>0.1</v>
      </c>
      <c r="K310">
        <v>0.1212</v>
      </c>
      <c r="L310">
        <v>0.74</v>
      </c>
      <c r="M310" s="18">
        <v>0.16420000000000001</v>
      </c>
      <c r="N310" s="18">
        <v>0</v>
      </c>
      <c r="O310" s="18">
        <v>70</v>
      </c>
      <c r="P310">
        <v>70</v>
      </c>
      <c r="Q310" s="18" t="s">
        <v>34</v>
      </c>
      <c r="R310" s="18" t="s">
        <v>35</v>
      </c>
      <c r="S310" s="18" t="s">
        <v>36</v>
      </c>
      <c r="T310" s="18" t="s">
        <v>45</v>
      </c>
      <c r="U310" s="18">
        <v>2011</v>
      </c>
      <c r="V310" s="16">
        <f t="shared" si="8"/>
        <v>40587</v>
      </c>
      <c r="W310" s="18" t="str">
        <f t="shared" si="9"/>
        <v>Weekday</v>
      </c>
    </row>
    <row r="311" spans="1:23" x14ac:dyDescent="0.25">
      <c r="A311" s="19">
        <v>309</v>
      </c>
      <c r="B311" s="20">
        <v>40557</v>
      </c>
      <c r="C311" s="18">
        <v>1</v>
      </c>
      <c r="D311" s="18">
        <v>0</v>
      </c>
      <c r="E311" s="18">
        <v>1</v>
      </c>
      <c r="F311" s="18">
        <v>8</v>
      </c>
      <c r="G311" s="18" t="b">
        <v>0</v>
      </c>
      <c r="H311" s="18">
        <v>5</v>
      </c>
      <c r="I311" s="18">
        <v>1</v>
      </c>
      <c r="J311" s="18">
        <v>0.12</v>
      </c>
      <c r="K311">
        <v>0.16669999999999999</v>
      </c>
      <c r="L311">
        <v>0.68</v>
      </c>
      <c r="M311" s="18">
        <v>0</v>
      </c>
      <c r="N311" s="18">
        <v>2</v>
      </c>
      <c r="O311" s="18">
        <v>156</v>
      </c>
      <c r="P311">
        <v>158</v>
      </c>
      <c r="Q311" s="18" t="s">
        <v>34</v>
      </c>
      <c r="R311" s="18" t="s">
        <v>35</v>
      </c>
      <c r="S311" s="18" t="s">
        <v>36</v>
      </c>
      <c r="T311" s="18" t="s">
        <v>45</v>
      </c>
      <c r="U311" s="18">
        <v>2011</v>
      </c>
      <c r="V311" s="16">
        <f t="shared" si="8"/>
        <v>40587</v>
      </c>
      <c r="W311" s="18" t="str">
        <f t="shared" si="9"/>
        <v>Weekday</v>
      </c>
    </row>
    <row r="312" spans="1:23" x14ac:dyDescent="0.25">
      <c r="A312" s="19">
        <v>310</v>
      </c>
      <c r="B312" s="20">
        <v>40557</v>
      </c>
      <c r="C312" s="18">
        <v>1</v>
      </c>
      <c r="D312" s="18">
        <v>0</v>
      </c>
      <c r="E312" s="18">
        <v>1</v>
      </c>
      <c r="F312" s="18">
        <v>9</v>
      </c>
      <c r="G312" s="18" t="b">
        <v>0</v>
      </c>
      <c r="H312" s="18">
        <v>5</v>
      </c>
      <c r="I312" s="18">
        <v>1</v>
      </c>
      <c r="J312" s="18">
        <v>0.14000000000000001</v>
      </c>
      <c r="K312">
        <v>0.1515</v>
      </c>
      <c r="L312">
        <v>0.69</v>
      </c>
      <c r="M312" s="18">
        <v>0.1343</v>
      </c>
      <c r="N312" s="18">
        <v>0</v>
      </c>
      <c r="O312" s="18">
        <v>117</v>
      </c>
      <c r="P312">
        <v>117</v>
      </c>
      <c r="Q312" s="18" t="s">
        <v>34</v>
      </c>
      <c r="R312" s="18" t="s">
        <v>35</v>
      </c>
      <c r="S312" s="18" t="s">
        <v>36</v>
      </c>
      <c r="T312" s="18" t="s">
        <v>45</v>
      </c>
      <c r="U312" s="18">
        <v>2011</v>
      </c>
      <c r="V312" s="16">
        <f t="shared" si="8"/>
        <v>40587</v>
      </c>
      <c r="W312" s="18" t="str">
        <f t="shared" si="9"/>
        <v>Weekday</v>
      </c>
    </row>
    <row r="313" spans="1:23" x14ac:dyDescent="0.25">
      <c r="A313" s="19">
        <v>311</v>
      </c>
      <c r="B313" s="20">
        <v>40557</v>
      </c>
      <c r="C313" s="18">
        <v>1</v>
      </c>
      <c r="D313" s="18">
        <v>0</v>
      </c>
      <c r="E313" s="18">
        <v>1</v>
      </c>
      <c r="F313" s="18">
        <v>10</v>
      </c>
      <c r="G313" s="18" t="b">
        <v>0</v>
      </c>
      <c r="H313" s="18">
        <v>5</v>
      </c>
      <c r="I313" s="18">
        <v>1</v>
      </c>
      <c r="J313" s="18">
        <v>0.18</v>
      </c>
      <c r="K313">
        <v>0.18179999999999999</v>
      </c>
      <c r="L313">
        <v>0.55000000000000004</v>
      </c>
      <c r="M313" s="18">
        <v>0.19400000000000001</v>
      </c>
      <c r="N313" s="18">
        <v>4</v>
      </c>
      <c r="O313" s="18">
        <v>40</v>
      </c>
      <c r="P313">
        <v>44</v>
      </c>
      <c r="Q313" s="18" t="s">
        <v>34</v>
      </c>
      <c r="R313" s="18" t="s">
        <v>35</v>
      </c>
      <c r="S313" s="18" t="s">
        <v>36</v>
      </c>
      <c r="T313" s="18" t="s">
        <v>45</v>
      </c>
      <c r="U313" s="18">
        <v>2011</v>
      </c>
      <c r="V313" s="16">
        <f t="shared" si="8"/>
        <v>40587</v>
      </c>
      <c r="W313" s="18" t="str">
        <f t="shared" si="9"/>
        <v>Weekday</v>
      </c>
    </row>
    <row r="314" spans="1:23" x14ac:dyDescent="0.25">
      <c r="A314" s="19">
        <v>312</v>
      </c>
      <c r="B314" s="20">
        <v>40557</v>
      </c>
      <c r="C314" s="18">
        <v>1</v>
      </c>
      <c r="D314" s="18">
        <v>0</v>
      </c>
      <c r="E314" s="18">
        <v>1</v>
      </c>
      <c r="F314" s="18">
        <v>11</v>
      </c>
      <c r="G314" s="18" t="b">
        <v>0</v>
      </c>
      <c r="H314" s="18">
        <v>5</v>
      </c>
      <c r="I314" s="18">
        <v>1</v>
      </c>
      <c r="J314" s="18">
        <v>0.18</v>
      </c>
      <c r="K314">
        <v>0.16669999999999999</v>
      </c>
      <c r="L314">
        <v>0.51</v>
      </c>
      <c r="M314" s="18">
        <v>0.28360000000000002</v>
      </c>
      <c r="N314" s="18">
        <v>6</v>
      </c>
      <c r="O314" s="18">
        <v>47</v>
      </c>
      <c r="P314">
        <v>53</v>
      </c>
      <c r="Q314" s="18" t="s">
        <v>34</v>
      </c>
      <c r="R314" s="18" t="s">
        <v>35</v>
      </c>
      <c r="S314" s="18" t="s">
        <v>36</v>
      </c>
      <c r="T314" s="18" t="s">
        <v>45</v>
      </c>
      <c r="U314" s="18">
        <v>2011</v>
      </c>
      <c r="V314" s="16">
        <f t="shared" si="8"/>
        <v>40587</v>
      </c>
      <c r="W314" s="18" t="str">
        <f t="shared" si="9"/>
        <v>Weekday</v>
      </c>
    </row>
    <row r="315" spans="1:23" x14ac:dyDescent="0.25">
      <c r="A315" s="19">
        <v>313</v>
      </c>
      <c r="B315" s="20">
        <v>40557</v>
      </c>
      <c r="C315" s="18">
        <v>1</v>
      </c>
      <c r="D315" s="18">
        <v>0</v>
      </c>
      <c r="E315" s="18">
        <v>1</v>
      </c>
      <c r="F315" s="18">
        <v>12</v>
      </c>
      <c r="G315" s="18" t="b">
        <v>0</v>
      </c>
      <c r="H315" s="18">
        <v>5</v>
      </c>
      <c r="I315" s="18">
        <v>1</v>
      </c>
      <c r="J315" s="18">
        <v>0.2</v>
      </c>
      <c r="K315">
        <v>0.19700000000000001</v>
      </c>
      <c r="L315">
        <v>0.44</v>
      </c>
      <c r="M315" s="18">
        <v>0.25369999999999998</v>
      </c>
      <c r="N315" s="18">
        <v>2</v>
      </c>
      <c r="O315" s="18">
        <v>59</v>
      </c>
      <c r="P315">
        <v>61</v>
      </c>
      <c r="Q315" s="18" t="s">
        <v>34</v>
      </c>
      <c r="R315" s="18" t="s">
        <v>35</v>
      </c>
      <c r="S315" s="18" t="s">
        <v>36</v>
      </c>
      <c r="T315" s="18" t="s">
        <v>45</v>
      </c>
      <c r="U315" s="18">
        <v>2011</v>
      </c>
      <c r="V315" s="16">
        <f t="shared" si="8"/>
        <v>40587</v>
      </c>
      <c r="W315" s="18" t="str">
        <f t="shared" si="9"/>
        <v>Weekday</v>
      </c>
    </row>
    <row r="316" spans="1:23" x14ac:dyDescent="0.25">
      <c r="A316" s="19">
        <v>314</v>
      </c>
      <c r="B316" s="20">
        <v>40557</v>
      </c>
      <c r="C316" s="18">
        <v>1</v>
      </c>
      <c r="D316" s="18">
        <v>0</v>
      </c>
      <c r="E316" s="18">
        <v>1</v>
      </c>
      <c r="F316" s="18">
        <v>13</v>
      </c>
      <c r="G316" s="18" t="b">
        <v>0</v>
      </c>
      <c r="H316" s="18">
        <v>5</v>
      </c>
      <c r="I316" s="18">
        <v>1</v>
      </c>
      <c r="J316" s="18">
        <v>0.22</v>
      </c>
      <c r="K316">
        <v>0.19700000000000001</v>
      </c>
      <c r="L316">
        <v>0.37</v>
      </c>
      <c r="M316" s="18">
        <v>0.3881</v>
      </c>
      <c r="N316" s="18">
        <v>4</v>
      </c>
      <c r="O316" s="18">
        <v>73</v>
      </c>
      <c r="P316">
        <v>77</v>
      </c>
      <c r="Q316" s="18" t="s">
        <v>34</v>
      </c>
      <c r="R316" s="18" t="s">
        <v>35</v>
      </c>
      <c r="S316" s="18" t="s">
        <v>36</v>
      </c>
      <c r="T316" s="18" t="s">
        <v>45</v>
      </c>
      <c r="U316" s="18">
        <v>2011</v>
      </c>
      <c r="V316" s="16">
        <f t="shared" si="8"/>
        <v>40587</v>
      </c>
      <c r="W316" s="18" t="str">
        <f t="shared" si="9"/>
        <v>Weekday</v>
      </c>
    </row>
    <row r="317" spans="1:23" x14ac:dyDescent="0.25">
      <c r="A317" s="19">
        <v>315</v>
      </c>
      <c r="B317" s="20">
        <v>40557</v>
      </c>
      <c r="C317" s="18">
        <v>1</v>
      </c>
      <c r="D317" s="18">
        <v>0</v>
      </c>
      <c r="E317" s="18">
        <v>1</v>
      </c>
      <c r="F317" s="18">
        <v>14</v>
      </c>
      <c r="G317" s="18" t="b">
        <v>0</v>
      </c>
      <c r="H317" s="18">
        <v>5</v>
      </c>
      <c r="I317" s="18">
        <v>1</v>
      </c>
      <c r="J317" s="18">
        <v>0.22</v>
      </c>
      <c r="K317">
        <v>0.21210000000000001</v>
      </c>
      <c r="L317">
        <v>0.41</v>
      </c>
      <c r="M317" s="18">
        <v>0.28360000000000002</v>
      </c>
      <c r="N317" s="18">
        <v>5</v>
      </c>
      <c r="O317" s="18">
        <v>59</v>
      </c>
      <c r="P317">
        <v>64</v>
      </c>
      <c r="Q317" s="18" t="s">
        <v>34</v>
      </c>
      <c r="R317" s="18" t="s">
        <v>35</v>
      </c>
      <c r="S317" s="18" t="s">
        <v>36</v>
      </c>
      <c r="T317" s="18" t="s">
        <v>45</v>
      </c>
      <c r="U317" s="18">
        <v>2011</v>
      </c>
      <c r="V317" s="16">
        <f t="shared" si="8"/>
        <v>40587</v>
      </c>
      <c r="W317" s="18" t="str">
        <f t="shared" si="9"/>
        <v>Weekday</v>
      </c>
    </row>
    <row r="318" spans="1:23" x14ac:dyDescent="0.25">
      <c r="A318" s="19">
        <v>316</v>
      </c>
      <c r="B318" s="20">
        <v>40557</v>
      </c>
      <c r="C318" s="18">
        <v>1</v>
      </c>
      <c r="D318" s="18">
        <v>0</v>
      </c>
      <c r="E318" s="18">
        <v>1</v>
      </c>
      <c r="F318" s="18">
        <v>15</v>
      </c>
      <c r="G318" s="18" t="b">
        <v>0</v>
      </c>
      <c r="H318" s="18">
        <v>5</v>
      </c>
      <c r="I318" s="18">
        <v>1</v>
      </c>
      <c r="J318" s="18">
        <v>0.24</v>
      </c>
      <c r="K318">
        <v>0.2424</v>
      </c>
      <c r="L318">
        <v>0.38</v>
      </c>
      <c r="M318" s="18">
        <v>0.16420000000000001</v>
      </c>
      <c r="N318" s="18">
        <v>9</v>
      </c>
      <c r="O318" s="18">
        <v>59</v>
      </c>
      <c r="P318">
        <v>68</v>
      </c>
      <c r="Q318" s="18" t="s">
        <v>34</v>
      </c>
      <c r="R318" s="18" t="s">
        <v>35</v>
      </c>
      <c r="S318" s="18" t="s">
        <v>36</v>
      </c>
      <c r="T318" s="18" t="s">
        <v>45</v>
      </c>
      <c r="U318" s="18">
        <v>2011</v>
      </c>
      <c r="V318" s="16">
        <f t="shared" si="8"/>
        <v>40587</v>
      </c>
      <c r="W318" s="18" t="str">
        <f t="shared" si="9"/>
        <v>Weekday</v>
      </c>
    </row>
    <row r="319" spans="1:23" x14ac:dyDescent="0.25">
      <c r="A319" s="19">
        <v>317</v>
      </c>
      <c r="B319" s="20">
        <v>40557</v>
      </c>
      <c r="C319" s="18">
        <v>1</v>
      </c>
      <c r="D319" s="18">
        <v>0</v>
      </c>
      <c r="E319" s="18">
        <v>1</v>
      </c>
      <c r="F319" s="18">
        <v>16</v>
      </c>
      <c r="G319" s="18" t="b">
        <v>0</v>
      </c>
      <c r="H319" s="18">
        <v>5</v>
      </c>
      <c r="I319" s="18">
        <v>1</v>
      </c>
      <c r="J319" s="18">
        <v>0.22</v>
      </c>
      <c r="K319">
        <v>0.2424</v>
      </c>
      <c r="L319">
        <v>0.41</v>
      </c>
      <c r="M319" s="18">
        <v>0.1045</v>
      </c>
      <c r="N319" s="18">
        <v>3</v>
      </c>
      <c r="O319" s="18">
        <v>87</v>
      </c>
      <c r="P319">
        <v>90</v>
      </c>
      <c r="Q319" s="18" t="s">
        <v>34</v>
      </c>
      <c r="R319" s="18" t="s">
        <v>35</v>
      </c>
      <c r="S319" s="18" t="s">
        <v>36</v>
      </c>
      <c r="T319" s="18" t="s">
        <v>45</v>
      </c>
      <c r="U319" s="18">
        <v>2011</v>
      </c>
      <c r="V319" s="16">
        <f t="shared" si="8"/>
        <v>40587</v>
      </c>
      <c r="W319" s="18" t="str">
        <f t="shared" si="9"/>
        <v>Weekday</v>
      </c>
    </row>
    <row r="320" spans="1:23" x14ac:dyDescent="0.25">
      <c r="A320" s="19">
        <v>318</v>
      </c>
      <c r="B320" s="20">
        <v>40557</v>
      </c>
      <c r="C320" s="18">
        <v>1</v>
      </c>
      <c r="D320" s="18">
        <v>0</v>
      </c>
      <c r="E320" s="18">
        <v>1</v>
      </c>
      <c r="F320" s="18">
        <v>17</v>
      </c>
      <c r="G320" s="18" t="b">
        <v>0</v>
      </c>
      <c r="H320" s="18">
        <v>5</v>
      </c>
      <c r="I320" s="18">
        <v>1</v>
      </c>
      <c r="J320" s="18">
        <v>0.22</v>
      </c>
      <c r="K320">
        <v>0.2273</v>
      </c>
      <c r="L320">
        <v>0.41</v>
      </c>
      <c r="M320" s="18">
        <v>0.16420000000000001</v>
      </c>
      <c r="N320" s="18">
        <v>4</v>
      </c>
      <c r="O320" s="18">
        <v>155</v>
      </c>
      <c r="P320">
        <v>159</v>
      </c>
      <c r="Q320" s="18" t="s">
        <v>34</v>
      </c>
      <c r="R320" s="18" t="s">
        <v>35</v>
      </c>
      <c r="S320" s="18" t="s">
        <v>36</v>
      </c>
      <c r="T320" s="18" t="s">
        <v>45</v>
      </c>
      <c r="U320" s="18">
        <v>2011</v>
      </c>
      <c r="V320" s="16">
        <f t="shared" si="8"/>
        <v>40587</v>
      </c>
      <c r="W320" s="18" t="str">
        <f t="shared" si="9"/>
        <v>Weekday</v>
      </c>
    </row>
    <row r="321" spans="1:23" x14ac:dyDescent="0.25">
      <c r="A321" s="19">
        <v>319</v>
      </c>
      <c r="B321" s="20">
        <v>40557</v>
      </c>
      <c r="C321" s="18">
        <v>1</v>
      </c>
      <c r="D321" s="18">
        <v>0</v>
      </c>
      <c r="E321" s="18">
        <v>1</v>
      </c>
      <c r="F321" s="18">
        <v>18</v>
      </c>
      <c r="G321" s="18" t="b">
        <v>0</v>
      </c>
      <c r="H321" s="18">
        <v>5</v>
      </c>
      <c r="I321" s="18">
        <v>1</v>
      </c>
      <c r="J321" s="18">
        <v>0.2</v>
      </c>
      <c r="K321">
        <v>0.2576</v>
      </c>
      <c r="L321">
        <v>0.47</v>
      </c>
      <c r="M321" s="18">
        <v>0</v>
      </c>
      <c r="N321" s="18">
        <v>5</v>
      </c>
      <c r="O321" s="18">
        <v>134</v>
      </c>
      <c r="P321">
        <v>139</v>
      </c>
      <c r="Q321" s="18" t="s">
        <v>34</v>
      </c>
      <c r="R321" s="18" t="s">
        <v>35</v>
      </c>
      <c r="S321" s="18" t="s">
        <v>36</v>
      </c>
      <c r="T321" s="18" t="s">
        <v>45</v>
      </c>
      <c r="U321" s="18">
        <v>2011</v>
      </c>
      <c r="V321" s="16">
        <f t="shared" si="8"/>
        <v>40587</v>
      </c>
      <c r="W321" s="18" t="str">
        <f t="shared" si="9"/>
        <v>Weekday</v>
      </c>
    </row>
    <row r="322" spans="1:23" x14ac:dyDescent="0.25">
      <c r="A322" s="19">
        <v>320</v>
      </c>
      <c r="B322" s="20">
        <v>40557</v>
      </c>
      <c r="C322" s="18">
        <v>1</v>
      </c>
      <c r="D322" s="18">
        <v>0</v>
      </c>
      <c r="E322" s="18">
        <v>1</v>
      </c>
      <c r="F322" s="18">
        <v>19</v>
      </c>
      <c r="G322" s="18" t="b">
        <v>0</v>
      </c>
      <c r="H322" s="18">
        <v>5</v>
      </c>
      <c r="I322" s="18">
        <v>1</v>
      </c>
      <c r="J322" s="18">
        <v>0.16</v>
      </c>
      <c r="K322">
        <v>0.19700000000000001</v>
      </c>
      <c r="L322">
        <v>0.59</v>
      </c>
      <c r="M322" s="18">
        <v>8.9599999999999999E-2</v>
      </c>
      <c r="N322" s="18">
        <v>3</v>
      </c>
      <c r="O322" s="18">
        <v>89</v>
      </c>
      <c r="P322">
        <v>92</v>
      </c>
      <c r="Q322" s="18" t="s">
        <v>34</v>
      </c>
      <c r="R322" s="18" t="s">
        <v>35</v>
      </c>
      <c r="S322" s="18" t="s">
        <v>36</v>
      </c>
      <c r="T322" s="18" t="s">
        <v>45</v>
      </c>
      <c r="U322" s="18">
        <v>2011</v>
      </c>
      <c r="V322" s="16">
        <f t="shared" si="8"/>
        <v>40587</v>
      </c>
      <c r="W322" s="18" t="str">
        <f t="shared" si="9"/>
        <v>Weekday</v>
      </c>
    </row>
    <row r="323" spans="1:23" x14ac:dyDescent="0.25">
      <c r="A323" s="19">
        <v>321</v>
      </c>
      <c r="B323" s="20">
        <v>40557</v>
      </c>
      <c r="C323" s="18">
        <v>1</v>
      </c>
      <c r="D323" s="18">
        <v>0</v>
      </c>
      <c r="E323" s="18">
        <v>1</v>
      </c>
      <c r="F323" s="18">
        <v>20</v>
      </c>
      <c r="G323" s="18" t="b">
        <v>0</v>
      </c>
      <c r="H323" s="18">
        <v>5</v>
      </c>
      <c r="I323" s="18">
        <v>1</v>
      </c>
      <c r="J323" s="18">
        <v>0.18</v>
      </c>
      <c r="K323">
        <v>0.2424</v>
      </c>
      <c r="L323">
        <v>0.59</v>
      </c>
      <c r="M323" s="18">
        <v>0</v>
      </c>
      <c r="N323" s="18">
        <v>0</v>
      </c>
      <c r="O323" s="18">
        <v>68</v>
      </c>
      <c r="P323">
        <v>68</v>
      </c>
      <c r="Q323" s="18" t="s">
        <v>34</v>
      </c>
      <c r="R323" s="18" t="s">
        <v>35</v>
      </c>
      <c r="S323" s="18" t="s">
        <v>36</v>
      </c>
      <c r="T323" s="18" t="s">
        <v>45</v>
      </c>
      <c r="U323" s="18">
        <v>2011</v>
      </c>
      <c r="V323" s="16">
        <f t="shared" ref="V323:V386" si="10">INDEX(B323:B1321,MATCH(MAX(K323:K1321),K323:K1321,0))</f>
        <v>40587</v>
      </c>
      <c r="W323" s="18" t="str">
        <f t="shared" ref="W323:W386" si="11">IF(G323=TRUE,"Holiday",IF(OR(H323=0,H323=6),"Weedend","Weekday"))</f>
        <v>Weekday</v>
      </c>
    </row>
    <row r="324" spans="1:23" x14ac:dyDescent="0.25">
      <c r="A324" s="19">
        <v>322</v>
      </c>
      <c r="B324" s="20">
        <v>40557</v>
      </c>
      <c r="C324" s="18">
        <v>1</v>
      </c>
      <c r="D324" s="18">
        <v>0</v>
      </c>
      <c r="E324" s="18">
        <v>1</v>
      </c>
      <c r="F324" s="18">
        <v>21</v>
      </c>
      <c r="G324" s="18" t="b">
        <v>0</v>
      </c>
      <c r="H324" s="18">
        <v>5</v>
      </c>
      <c r="I324" s="18">
        <v>1</v>
      </c>
      <c r="J324" s="18">
        <v>0.16</v>
      </c>
      <c r="K324">
        <v>0.2273</v>
      </c>
      <c r="L324">
        <v>0.69</v>
      </c>
      <c r="M324" s="18">
        <v>0</v>
      </c>
      <c r="N324" s="18">
        <v>4</v>
      </c>
      <c r="O324" s="18">
        <v>48</v>
      </c>
      <c r="P324">
        <v>52</v>
      </c>
      <c r="Q324" s="18" t="s">
        <v>34</v>
      </c>
      <c r="R324" s="18" t="s">
        <v>35</v>
      </c>
      <c r="S324" s="18" t="s">
        <v>36</v>
      </c>
      <c r="T324" s="18" t="s">
        <v>45</v>
      </c>
      <c r="U324" s="18">
        <v>2011</v>
      </c>
      <c r="V324" s="16">
        <f t="shared" si="10"/>
        <v>40587</v>
      </c>
      <c r="W324" s="18" t="str">
        <f t="shared" si="11"/>
        <v>Weekday</v>
      </c>
    </row>
    <row r="325" spans="1:23" x14ac:dyDescent="0.25">
      <c r="A325" s="19">
        <v>323</v>
      </c>
      <c r="B325" s="20">
        <v>40557</v>
      </c>
      <c r="C325" s="18">
        <v>1</v>
      </c>
      <c r="D325" s="18">
        <v>0</v>
      </c>
      <c r="E325" s="18">
        <v>1</v>
      </c>
      <c r="F325" s="18">
        <v>22</v>
      </c>
      <c r="G325" s="18" t="b">
        <v>0</v>
      </c>
      <c r="H325" s="18">
        <v>5</v>
      </c>
      <c r="I325" s="18">
        <v>2</v>
      </c>
      <c r="J325" s="18">
        <v>0.16</v>
      </c>
      <c r="K325">
        <v>0.2273</v>
      </c>
      <c r="L325">
        <v>0.69</v>
      </c>
      <c r="M325" s="18">
        <v>0</v>
      </c>
      <c r="N325" s="18">
        <v>2</v>
      </c>
      <c r="O325" s="18">
        <v>34</v>
      </c>
      <c r="P325">
        <v>36</v>
      </c>
      <c r="Q325" s="18" t="s">
        <v>34</v>
      </c>
      <c r="R325" s="18" t="s">
        <v>35</v>
      </c>
      <c r="S325" s="18" t="s">
        <v>38</v>
      </c>
      <c r="T325" s="18" t="s">
        <v>45</v>
      </c>
      <c r="U325" s="18">
        <v>2011</v>
      </c>
      <c r="V325" s="16">
        <f t="shared" si="10"/>
        <v>40587</v>
      </c>
      <c r="W325" s="18" t="str">
        <f t="shared" si="11"/>
        <v>Weekday</v>
      </c>
    </row>
    <row r="326" spans="1:23" x14ac:dyDescent="0.25">
      <c r="A326" s="19">
        <v>324</v>
      </c>
      <c r="B326" s="20">
        <v>40557</v>
      </c>
      <c r="C326" s="18">
        <v>1</v>
      </c>
      <c r="D326" s="18">
        <v>0</v>
      </c>
      <c r="E326" s="18">
        <v>1</v>
      </c>
      <c r="F326" s="18">
        <v>23</v>
      </c>
      <c r="G326" s="18" t="b">
        <v>0</v>
      </c>
      <c r="H326" s="18">
        <v>5</v>
      </c>
      <c r="I326" s="18">
        <v>2</v>
      </c>
      <c r="J326" s="18">
        <v>0.18</v>
      </c>
      <c r="K326">
        <v>0.2424</v>
      </c>
      <c r="L326">
        <v>0.55000000000000004</v>
      </c>
      <c r="M326" s="18">
        <v>0</v>
      </c>
      <c r="N326" s="18">
        <v>1</v>
      </c>
      <c r="O326" s="18">
        <v>26</v>
      </c>
      <c r="P326">
        <v>27</v>
      </c>
      <c r="Q326" s="18" t="s">
        <v>34</v>
      </c>
      <c r="R326" s="18" t="s">
        <v>35</v>
      </c>
      <c r="S326" s="18" t="s">
        <v>38</v>
      </c>
      <c r="T326" s="18" t="s">
        <v>45</v>
      </c>
      <c r="U326" s="18">
        <v>2011</v>
      </c>
      <c r="V326" s="16">
        <f t="shared" si="10"/>
        <v>40587</v>
      </c>
      <c r="W326" s="18" t="str">
        <f t="shared" si="11"/>
        <v>Weekday</v>
      </c>
    </row>
    <row r="327" spans="1:23" x14ac:dyDescent="0.25">
      <c r="A327" s="19">
        <v>325</v>
      </c>
      <c r="B327" s="20">
        <v>40558</v>
      </c>
      <c r="C327" s="18">
        <v>1</v>
      </c>
      <c r="D327" s="18">
        <v>0</v>
      </c>
      <c r="E327" s="18">
        <v>1</v>
      </c>
      <c r="F327" s="18">
        <v>0</v>
      </c>
      <c r="G327" s="18" t="b">
        <v>0</v>
      </c>
      <c r="H327" s="18">
        <v>6</v>
      </c>
      <c r="I327" s="18">
        <v>1</v>
      </c>
      <c r="J327" s="18">
        <v>0.18</v>
      </c>
      <c r="K327">
        <v>0.2424</v>
      </c>
      <c r="L327">
        <v>0.55000000000000004</v>
      </c>
      <c r="M327" s="18">
        <v>0</v>
      </c>
      <c r="N327" s="18">
        <v>3</v>
      </c>
      <c r="O327" s="18">
        <v>25</v>
      </c>
      <c r="P327">
        <v>28</v>
      </c>
      <c r="Q327" s="18" t="s">
        <v>34</v>
      </c>
      <c r="R327" s="18" t="s">
        <v>35</v>
      </c>
      <c r="S327" s="18" t="s">
        <v>36</v>
      </c>
      <c r="T327" s="18" t="s">
        <v>37</v>
      </c>
      <c r="U327" s="18">
        <v>2011</v>
      </c>
      <c r="V327" s="16">
        <f t="shared" si="10"/>
        <v>40587</v>
      </c>
      <c r="W327" s="18" t="str">
        <f t="shared" si="11"/>
        <v>Weedend</v>
      </c>
    </row>
    <row r="328" spans="1:23" x14ac:dyDescent="0.25">
      <c r="A328" s="19">
        <v>326</v>
      </c>
      <c r="B328" s="20">
        <v>40558</v>
      </c>
      <c r="C328" s="18">
        <v>1</v>
      </c>
      <c r="D328" s="18">
        <v>0</v>
      </c>
      <c r="E328" s="18">
        <v>1</v>
      </c>
      <c r="F328" s="18">
        <v>1</v>
      </c>
      <c r="G328" s="18" t="b">
        <v>0</v>
      </c>
      <c r="H328" s="18">
        <v>6</v>
      </c>
      <c r="I328" s="18">
        <v>2</v>
      </c>
      <c r="J328" s="18">
        <v>0.16</v>
      </c>
      <c r="K328">
        <v>0.19700000000000001</v>
      </c>
      <c r="L328">
        <v>0.59</v>
      </c>
      <c r="M328" s="18">
        <v>8.9599999999999999E-2</v>
      </c>
      <c r="N328" s="18">
        <v>2</v>
      </c>
      <c r="O328" s="18">
        <v>18</v>
      </c>
      <c r="P328">
        <v>20</v>
      </c>
      <c r="Q328" s="18" t="s">
        <v>34</v>
      </c>
      <c r="R328" s="18" t="s">
        <v>35</v>
      </c>
      <c r="S328" s="18" t="s">
        <v>38</v>
      </c>
      <c r="T328" s="18" t="s">
        <v>37</v>
      </c>
      <c r="U328" s="18">
        <v>2011</v>
      </c>
      <c r="V328" s="16">
        <f t="shared" si="10"/>
        <v>40587</v>
      </c>
      <c r="W328" s="18" t="str">
        <f t="shared" si="11"/>
        <v>Weedend</v>
      </c>
    </row>
    <row r="329" spans="1:23" x14ac:dyDescent="0.25">
      <c r="A329" s="19">
        <v>327</v>
      </c>
      <c r="B329" s="20">
        <v>40558</v>
      </c>
      <c r="C329" s="18">
        <v>1</v>
      </c>
      <c r="D329" s="18">
        <v>0</v>
      </c>
      <c r="E329" s="18">
        <v>1</v>
      </c>
      <c r="F329" s="18">
        <v>2</v>
      </c>
      <c r="G329" s="18" t="b">
        <v>0</v>
      </c>
      <c r="H329" s="18">
        <v>6</v>
      </c>
      <c r="I329" s="18">
        <v>2</v>
      </c>
      <c r="J329" s="18">
        <v>0.16</v>
      </c>
      <c r="K329">
        <v>0.19700000000000001</v>
      </c>
      <c r="L329">
        <v>0.59</v>
      </c>
      <c r="M329" s="18">
        <v>8.9599999999999999E-2</v>
      </c>
      <c r="N329" s="18">
        <v>0</v>
      </c>
      <c r="O329" s="18">
        <v>12</v>
      </c>
      <c r="P329">
        <v>12</v>
      </c>
      <c r="Q329" s="18" t="s">
        <v>34</v>
      </c>
      <c r="R329" s="18" t="s">
        <v>35</v>
      </c>
      <c r="S329" s="18" t="s">
        <v>38</v>
      </c>
      <c r="T329" s="18" t="s">
        <v>37</v>
      </c>
      <c r="U329" s="18">
        <v>2011</v>
      </c>
      <c r="V329" s="16">
        <f t="shared" si="10"/>
        <v>40587</v>
      </c>
      <c r="W329" s="18" t="str">
        <f t="shared" si="11"/>
        <v>Weedend</v>
      </c>
    </row>
    <row r="330" spans="1:23" x14ac:dyDescent="0.25">
      <c r="A330" s="19">
        <v>328</v>
      </c>
      <c r="B330" s="20">
        <v>40558</v>
      </c>
      <c r="C330" s="18">
        <v>1</v>
      </c>
      <c r="D330" s="18">
        <v>0</v>
      </c>
      <c r="E330" s="18">
        <v>1</v>
      </c>
      <c r="F330" s="18">
        <v>3</v>
      </c>
      <c r="G330" s="18" t="b">
        <v>0</v>
      </c>
      <c r="H330" s="18">
        <v>6</v>
      </c>
      <c r="I330" s="18">
        <v>2</v>
      </c>
      <c r="J330" s="18">
        <v>0.16</v>
      </c>
      <c r="K330">
        <v>0.2273</v>
      </c>
      <c r="L330">
        <v>0.59</v>
      </c>
      <c r="M330" s="18">
        <v>0</v>
      </c>
      <c r="N330" s="18">
        <v>1</v>
      </c>
      <c r="O330" s="18">
        <v>7</v>
      </c>
      <c r="P330">
        <v>8</v>
      </c>
      <c r="Q330" s="18" t="s">
        <v>34</v>
      </c>
      <c r="R330" s="18" t="s">
        <v>35</v>
      </c>
      <c r="S330" s="18" t="s">
        <v>38</v>
      </c>
      <c r="T330" s="18" t="s">
        <v>37</v>
      </c>
      <c r="U330" s="18">
        <v>2011</v>
      </c>
      <c r="V330" s="16">
        <f t="shared" si="10"/>
        <v>40587</v>
      </c>
      <c r="W330" s="18" t="str">
        <f t="shared" si="11"/>
        <v>Weedend</v>
      </c>
    </row>
    <row r="331" spans="1:23" x14ac:dyDescent="0.25">
      <c r="A331" s="19">
        <v>329</v>
      </c>
      <c r="B331" s="20">
        <v>40558</v>
      </c>
      <c r="C331" s="18">
        <v>1</v>
      </c>
      <c r="D331" s="18">
        <v>0</v>
      </c>
      <c r="E331" s="18">
        <v>1</v>
      </c>
      <c r="F331" s="18">
        <v>4</v>
      </c>
      <c r="G331" s="18" t="b">
        <v>0</v>
      </c>
      <c r="H331" s="18">
        <v>6</v>
      </c>
      <c r="I331" s="18">
        <v>2</v>
      </c>
      <c r="J331" s="18">
        <v>0.16</v>
      </c>
      <c r="K331">
        <v>0.2273</v>
      </c>
      <c r="L331">
        <v>0.59</v>
      </c>
      <c r="M331" s="18">
        <v>0</v>
      </c>
      <c r="N331" s="18">
        <v>0</v>
      </c>
      <c r="O331" s="18">
        <v>5</v>
      </c>
      <c r="P331">
        <v>5</v>
      </c>
      <c r="Q331" s="18" t="s">
        <v>34</v>
      </c>
      <c r="R331" s="18" t="s">
        <v>35</v>
      </c>
      <c r="S331" s="18" t="s">
        <v>38</v>
      </c>
      <c r="T331" s="18" t="s">
        <v>37</v>
      </c>
      <c r="U331" s="18">
        <v>2011</v>
      </c>
      <c r="V331" s="16">
        <f t="shared" si="10"/>
        <v>40587</v>
      </c>
      <c r="W331" s="18" t="str">
        <f t="shared" si="11"/>
        <v>Weedend</v>
      </c>
    </row>
    <row r="332" spans="1:23" x14ac:dyDescent="0.25">
      <c r="A332" s="19">
        <v>330</v>
      </c>
      <c r="B332" s="20">
        <v>40558</v>
      </c>
      <c r="C332" s="18">
        <v>1</v>
      </c>
      <c r="D332" s="18">
        <v>0</v>
      </c>
      <c r="E332" s="18">
        <v>1</v>
      </c>
      <c r="F332" s="18">
        <v>5</v>
      </c>
      <c r="G332" s="18" t="b">
        <v>0</v>
      </c>
      <c r="H332" s="18">
        <v>6</v>
      </c>
      <c r="I332" s="18">
        <v>1</v>
      </c>
      <c r="J332" s="18">
        <v>0.16</v>
      </c>
      <c r="K332">
        <v>0.2273</v>
      </c>
      <c r="L332">
        <v>0.59</v>
      </c>
      <c r="M332" s="18">
        <v>0</v>
      </c>
      <c r="N332" s="18">
        <v>0</v>
      </c>
      <c r="O332" s="18">
        <v>1</v>
      </c>
      <c r="P332">
        <v>1</v>
      </c>
      <c r="Q332" s="18" t="s">
        <v>34</v>
      </c>
      <c r="R332" s="18" t="s">
        <v>35</v>
      </c>
      <c r="S332" s="18" t="s">
        <v>36</v>
      </c>
      <c r="T332" s="18" t="s">
        <v>37</v>
      </c>
      <c r="U332" s="18">
        <v>2011</v>
      </c>
      <c r="V332" s="16">
        <f t="shared" si="10"/>
        <v>40587</v>
      </c>
      <c r="W332" s="18" t="str">
        <f t="shared" si="11"/>
        <v>Weedend</v>
      </c>
    </row>
    <row r="333" spans="1:23" x14ac:dyDescent="0.25">
      <c r="A333" s="19">
        <v>331</v>
      </c>
      <c r="B333" s="20">
        <v>40558</v>
      </c>
      <c r="C333" s="18">
        <v>1</v>
      </c>
      <c r="D333" s="18">
        <v>0</v>
      </c>
      <c r="E333" s="18">
        <v>1</v>
      </c>
      <c r="F333" s="18">
        <v>6</v>
      </c>
      <c r="G333" s="18" t="b">
        <v>0</v>
      </c>
      <c r="H333" s="18">
        <v>6</v>
      </c>
      <c r="I333" s="18">
        <v>1</v>
      </c>
      <c r="J333" s="18">
        <v>0.14000000000000001</v>
      </c>
      <c r="K333">
        <v>0.16669999999999999</v>
      </c>
      <c r="L333">
        <v>0.63</v>
      </c>
      <c r="M333" s="18">
        <v>0.1045</v>
      </c>
      <c r="N333" s="18">
        <v>1</v>
      </c>
      <c r="O333" s="18">
        <v>2</v>
      </c>
      <c r="P333">
        <v>3</v>
      </c>
      <c r="Q333" s="18" t="s">
        <v>34</v>
      </c>
      <c r="R333" s="18" t="s">
        <v>35</v>
      </c>
      <c r="S333" s="18" t="s">
        <v>36</v>
      </c>
      <c r="T333" s="18" t="s">
        <v>37</v>
      </c>
      <c r="U333" s="18">
        <v>2011</v>
      </c>
      <c r="V333" s="16">
        <f t="shared" si="10"/>
        <v>40587</v>
      </c>
      <c r="W333" s="18" t="str">
        <f t="shared" si="11"/>
        <v>Weedend</v>
      </c>
    </row>
    <row r="334" spans="1:23" x14ac:dyDescent="0.25">
      <c r="A334" s="19">
        <v>332</v>
      </c>
      <c r="B334" s="20">
        <v>40558</v>
      </c>
      <c r="C334" s="18">
        <v>1</v>
      </c>
      <c r="D334" s="18">
        <v>0</v>
      </c>
      <c r="E334" s="18">
        <v>1</v>
      </c>
      <c r="F334" s="18">
        <v>7</v>
      </c>
      <c r="G334" s="18" t="b">
        <v>0</v>
      </c>
      <c r="H334" s="18">
        <v>6</v>
      </c>
      <c r="I334" s="18">
        <v>1</v>
      </c>
      <c r="J334" s="18">
        <v>0.14000000000000001</v>
      </c>
      <c r="K334">
        <v>0.21210000000000001</v>
      </c>
      <c r="L334">
        <v>0.63</v>
      </c>
      <c r="M334" s="18">
        <v>0</v>
      </c>
      <c r="N334" s="18">
        <v>1</v>
      </c>
      <c r="O334" s="18">
        <v>9</v>
      </c>
      <c r="P334">
        <v>10</v>
      </c>
      <c r="Q334" s="18" t="s">
        <v>34</v>
      </c>
      <c r="R334" s="18" t="s">
        <v>35</v>
      </c>
      <c r="S334" s="18" t="s">
        <v>36</v>
      </c>
      <c r="T334" s="18" t="s">
        <v>37</v>
      </c>
      <c r="U334" s="18">
        <v>2011</v>
      </c>
      <c r="V334" s="16">
        <f t="shared" si="10"/>
        <v>40587</v>
      </c>
      <c r="W334" s="18" t="str">
        <f t="shared" si="11"/>
        <v>Weedend</v>
      </c>
    </row>
    <row r="335" spans="1:23" x14ac:dyDescent="0.25">
      <c r="A335" s="19">
        <v>333</v>
      </c>
      <c r="B335" s="20">
        <v>40558</v>
      </c>
      <c r="C335" s="18">
        <v>1</v>
      </c>
      <c r="D335" s="18">
        <v>0</v>
      </c>
      <c r="E335" s="18">
        <v>1</v>
      </c>
      <c r="F335" s="18">
        <v>8</v>
      </c>
      <c r="G335" s="18" t="b">
        <v>0</v>
      </c>
      <c r="H335" s="18">
        <v>6</v>
      </c>
      <c r="I335" s="18">
        <v>1</v>
      </c>
      <c r="J335" s="18">
        <v>0.14000000000000001</v>
      </c>
      <c r="K335">
        <v>0.1515</v>
      </c>
      <c r="L335">
        <v>0.63</v>
      </c>
      <c r="M335" s="18">
        <v>0.1343</v>
      </c>
      <c r="N335" s="18">
        <v>1</v>
      </c>
      <c r="O335" s="18">
        <v>22</v>
      </c>
      <c r="P335">
        <v>23</v>
      </c>
      <c r="Q335" s="18" t="s">
        <v>34</v>
      </c>
      <c r="R335" s="18" t="s">
        <v>35</v>
      </c>
      <c r="S335" s="18" t="s">
        <v>36</v>
      </c>
      <c r="T335" s="18" t="s">
        <v>37</v>
      </c>
      <c r="U335" s="18">
        <v>2011</v>
      </c>
      <c r="V335" s="16">
        <f t="shared" si="10"/>
        <v>40587</v>
      </c>
      <c r="W335" s="18" t="str">
        <f t="shared" si="11"/>
        <v>Weedend</v>
      </c>
    </row>
    <row r="336" spans="1:23" x14ac:dyDescent="0.25">
      <c r="A336" s="19">
        <v>334</v>
      </c>
      <c r="B336" s="20">
        <v>40558</v>
      </c>
      <c r="C336" s="18">
        <v>1</v>
      </c>
      <c r="D336" s="18">
        <v>0</v>
      </c>
      <c r="E336" s="18">
        <v>1</v>
      </c>
      <c r="F336" s="18">
        <v>9</v>
      </c>
      <c r="G336" s="18" t="b">
        <v>0</v>
      </c>
      <c r="H336" s="18">
        <v>6</v>
      </c>
      <c r="I336" s="18">
        <v>1</v>
      </c>
      <c r="J336" s="18">
        <v>0.16</v>
      </c>
      <c r="K336">
        <v>0.18179999999999999</v>
      </c>
      <c r="L336">
        <v>0.64</v>
      </c>
      <c r="M336" s="18">
        <v>0.1343</v>
      </c>
      <c r="N336" s="18">
        <v>2</v>
      </c>
      <c r="O336" s="18">
        <v>31</v>
      </c>
      <c r="P336">
        <v>33</v>
      </c>
      <c r="Q336" s="18" t="s">
        <v>34</v>
      </c>
      <c r="R336" s="18" t="s">
        <v>35</v>
      </c>
      <c r="S336" s="18" t="s">
        <v>36</v>
      </c>
      <c r="T336" s="18" t="s">
        <v>37</v>
      </c>
      <c r="U336" s="18">
        <v>2011</v>
      </c>
      <c r="V336" s="16">
        <f t="shared" si="10"/>
        <v>40587</v>
      </c>
      <c r="W336" s="18" t="str">
        <f t="shared" si="11"/>
        <v>Weedend</v>
      </c>
    </row>
    <row r="337" spans="1:23" x14ac:dyDescent="0.25">
      <c r="A337" s="19">
        <v>335</v>
      </c>
      <c r="B337" s="20">
        <v>40558</v>
      </c>
      <c r="C337" s="18">
        <v>1</v>
      </c>
      <c r="D337" s="18">
        <v>0</v>
      </c>
      <c r="E337" s="18">
        <v>1</v>
      </c>
      <c r="F337" s="18">
        <v>10</v>
      </c>
      <c r="G337" s="18" t="b">
        <v>0</v>
      </c>
      <c r="H337" s="18">
        <v>6</v>
      </c>
      <c r="I337" s="18">
        <v>1</v>
      </c>
      <c r="J337" s="18">
        <v>0.18</v>
      </c>
      <c r="K337">
        <v>0.19700000000000001</v>
      </c>
      <c r="L337">
        <v>0.59</v>
      </c>
      <c r="M337" s="18">
        <v>0.16420000000000001</v>
      </c>
      <c r="N337" s="18">
        <v>2</v>
      </c>
      <c r="O337" s="18">
        <v>57</v>
      </c>
      <c r="P337">
        <v>59</v>
      </c>
      <c r="Q337" s="18" t="s">
        <v>34</v>
      </c>
      <c r="R337" s="18" t="s">
        <v>35</v>
      </c>
      <c r="S337" s="18" t="s">
        <v>36</v>
      </c>
      <c r="T337" s="18" t="s">
        <v>37</v>
      </c>
      <c r="U337" s="18">
        <v>2011</v>
      </c>
      <c r="V337" s="16">
        <f t="shared" si="10"/>
        <v>40587</v>
      </c>
      <c r="W337" s="18" t="str">
        <f t="shared" si="11"/>
        <v>Weedend</v>
      </c>
    </row>
    <row r="338" spans="1:23" x14ac:dyDescent="0.25">
      <c r="A338" s="19">
        <v>336</v>
      </c>
      <c r="B338" s="20">
        <v>40558</v>
      </c>
      <c r="C338" s="18">
        <v>1</v>
      </c>
      <c r="D338" s="18">
        <v>0</v>
      </c>
      <c r="E338" s="18">
        <v>1</v>
      </c>
      <c r="F338" s="18">
        <v>11</v>
      </c>
      <c r="G338" s="18" t="b">
        <v>0</v>
      </c>
      <c r="H338" s="18">
        <v>6</v>
      </c>
      <c r="I338" s="18">
        <v>1</v>
      </c>
      <c r="J338" s="18">
        <v>0.2</v>
      </c>
      <c r="K338">
        <v>0.19700000000000001</v>
      </c>
      <c r="L338">
        <v>0.55000000000000004</v>
      </c>
      <c r="M338" s="18">
        <v>0.22389999999999999</v>
      </c>
      <c r="N338" s="18">
        <v>18</v>
      </c>
      <c r="O338" s="18">
        <v>54</v>
      </c>
      <c r="P338">
        <v>72</v>
      </c>
      <c r="Q338" s="18" t="s">
        <v>34</v>
      </c>
      <c r="R338" s="18" t="s">
        <v>35</v>
      </c>
      <c r="S338" s="18" t="s">
        <v>36</v>
      </c>
      <c r="T338" s="18" t="s">
        <v>37</v>
      </c>
      <c r="U338" s="18">
        <v>2011</v>
      </c>
      <c r="V338" s="16">
        <f t="shared" si="10"/>
        <v>40587</v>
      </c>
      <c r="W338" s="18" t="str">
        <f t="shared" si="11"/>
        <v>Weedend</v>
      </c>
    </row>
    <row r="339" spans="1:23" x14ac:dyDescent="0.25">
      <c r="A339" s="19">
        <v>337</v>
      </c>
      <c r="B339" s="20">
        <v>40558</v>
      </c>
      <c r="C339" s="18">
        <v>1</v>
      </c>
      <c r="D339" s="18">
        <v>0</v>
      </c>
      <c r="E339" s="18">
        <v>1</v>
      </c>
      <c r="F339" s="18">
        <v>12</v>
      </c>
      <c r="G339" s="18" t="b">
        <v>0</v>
      </c>
      <c r="H339" s="18">
        <v>6</v>
      </c>
      <c r="I339" s="18">
        <v>1</v>
      </c>
      <c r="J339" s="18">
        <v>0.24</v>
      </c>
      <c r="K339">
        <v>0.2273</v>
      </c>
      <c r="L339">
        <v>0.48</v>
      </c>
      <c r="M339" s="18">
        <v>0.22389999999999999</v>
      </c>
      <c r="N339" s="18">
        <v>15</v>
      </c>
      <c r="O339" s="18">
        <v>74</v>
      </c>
      <c r="P339">
        <v>89</v>
      </c>
      <c r="Q339" s="18" t="s">
        <v>34</v>
      </c>
      <c r="R339" s="18" t="s">
        <v>35</v>
      </c>
      <c r="S339" s="18" t="s">
        <v>36</v>
      </c>
      <c r="T339" s="18" t="s">
        <v>37</v>
      </c>
      <c r="U339" s="18">
        <v>2011</v>
      </c>
      <c r="V339" s="16">
        <f t="shared" si="10"/>
        <v>40587</v>
      </c>
      <c r="W339" s="18" t="str">
        <f t="shared" si="11"/>
        <v>Weedend</v>
      </c>
    </row>
    <row r="340" spans="1:23" x14ac:dyDescent="0.25">
      <c r="A340" s="19">
        <v>338</v>
      </c>
      <c r="B340" s="20">
        <v>40558</v>
      </c>
      <c r="C340" s="18">
        <v>1</v>
      </c>
      <c r="D340" s="18">
        <v>0</v>
      </c>
      <c r="E340" s="18">
        <v>1</v>
      </c>
      <c r="F340" s="18">
        <v>13</v>
      </c>
      <c r="G340" s="18" t="b">
        <v>0</v>
      </c>
      <c r="H340" s="18">
        <v>6</v>
      </c>
      <c r="I340" s="18">
        <v>1</v>
      </c>
      <c r="J340" s="18">
        <v>0.28000000000000003</v>
      </c>
      <c r="K340">
        <v>0.2576</v>
      </c>
      <c r="L340">
        <v>0.38</v>
      </c>
      <c r="M340" s="18">
        <v>0.29849999999999999</v>
      </c>
      <c r="N340" s="18">
        <v>21</v>
      </c>
      <c r="O340" s="18">
        <v>80</v>
      </c>
      <c r="P340">
        <v>101</v>
      </c>
      <c r="Q340" s="18" t="s">
        <v>34</v>
      </c>
      <c r="R340" s="18" t="s">
        <v>35</v>
      </c>
      <c r="S340" s="18" t="s">
        <v>36</v>
      </c>
      <c r="T340" s="18" t="s">
        <v>37</v>
      </c>
      <c r="U340" s="18">
        <v>2011</v>
      </c>
      <c r="V340" s="16">
        <f t="shared" si="10"/>
        <v>40587</v>
      </c>
      <c r="W340" s="18" t="str">
        <f t="shared" si="11"/>
        <v>Weedend</v>
      </c>
    </row>
    <row r="341" spans="1:23" x14ac:dyDescent="0.25">
      <c r="A341" s="19">
        <v>339</v>
      </c>
      <c r="B341" s="20">
        <v>40558</v>
      </c>
      <c r="C341" s="18">
        <v>1</v>
      </c>
      <c r="D341" s="18">
        <v>0</v>
      </c>
      <c r="E341" s="18">
        <v>1</v>
      </c>
      <c r="F341" s="18">
        <v>14</v>
      </c>
      <c r="G341" s="18" t="b">
        <v>0</v>
      </c>
      <c r="H341" s="18">
        <v>6</v>
      </c>
      <c r="I341" s="18">
        <v>1</v>
      </c>
      <c r="J341" s="18">
        <v>0.3</v>
      </c>
      <c r="K341">
        <v>0.28789999999999999</v>
      </c>
      <c r="L341">
        <v>0.39</v>
      </c>
      <c r="M341" s="18">
        <v>0.28360000000000002</v>
      </c>
      <c r="N341" s="18">
        <v>26</v>
      </c>
      <c r="O341" s="18">
        <v>92</v>
      </c>
      <c r="P341">
        <v>118</v>
      </c>
      <c r="Q341" s="18" t="s">
        <v>34</v>
      </c>
      <c r="R341" s="18" t="s">
        <v>35</v>
      </c>
      <c r="S341" s="18" t="s">
        <v>36</v>
      </c>
      <c r="T341" s="18" t="s">
        <v>37</v>
      </c>
      <c r="U341" s="18">
        <v>2011</v>
      </c>
      <c r="V341" s="16">
        <f t="shared" si="10"/>
        <v>40587</v>
      </c>
      <c r="W341" s="18" t="str">
        <f t="shared" si="11"/>
        <v>Weedend</v>
      </c>
    </row>
    <row r="342" spans="1:23" x14ac:dyDescent="0.25">
      <c r="A342" s="19">
        <v>340</v>
      </c>
      <c r="B342" s="20">
        <v>40558</v>
      </c>
      <c r="C342" s="18">
        <v>1</v>
      </c>
      <c r="D342" s="18">
        <v>0</v>
      </c>
      <c r="E342" s="18">
        <v>1</v>
      </c>
      <c r="F342" s="18">
        <v>15</v>
      </c>
      <c r="G342" s="18" t="b">
        <v>0</v>
      </c>
      <c r="H342" s="18">
        <v>6</v>
      </c>
      <c r="I342" s="18">
        <v>2</v>
      </c>
      <c r="J342" s="18">
        <v>0.32</v>
      </c>
      <c r="K342">
        <v>0.31819999999999998</v>
      </c>
      <c r="L342">
        <v>0.36</v>
      </c>
      <c r="M342" s="18">
        <v>0.19400000000000001</v>
      </c>
      <c r="N342" s="18">
        <v>21</v>
      </c>
      <c r="O342" s="18">
        <v>108</v>
      </c>
      <c r="P342">
        <v>129</v>
      </c>
      <c r="Q342" s="18" t="s">
        <v>34</v>
      </c>
      <c r="R342" s="18" t="s">
        <v>35</v>
      </c>
      <c r="S342" s="18" t="s">
        <v>38</v>
      </c>
      <c r="T342" s="18" t="s">
        <v>37</v>
      </c>
      <c r="U342" s="18">
        <v>2011</v>
      </c>
      <c r="V342" s="16">
        <f t="shared" si="10"/>
        <v>40587</v>
      </c>
      <c r="W342" s="18" t="str">
        <f t="shared" si="11"/>
        <v>Weedend</v>
      </c>
    </row>
    <row r="343" spans="1:23" x14ac:dyDescent="0.25">
      <c r="A343" s="19">
        <v>341</v>
      </c>
      <c r="B343" s="20">
        <v>40558</v>
      </c>
      <c r="C343" s="18">
        <v>1</v>
      </c>
      <c r="D343" s="18">
        <v>0</v>
      </c>
      <c r="E343" s="18">
        <v>1</v>
      </c>
      <c r="F343" s="18">
        <v>16</v>
      </c>
      <c r="G343" s="18" t="b">
        <v>0</v>
      </c>
      <c r="H343" s="18">
        <v>6</v>
      </c>
      <c r="I343" s="18">
        <v>2</v>
      </c>
      <c r="J343" s="18">
        <v>0.34</v>
      </c>
      <c r="K343">
        <v>0.33329999999999999</v>
      </c>
      <c r="L343">
        <v>0.34</v>
      </c>
      <c r="M343" s="18">
        <v>0.19400000000000001</v>
      </c>
      <c r="N343" s="18">
        <v>33</v>
      </c>
      <c r="O343" s="18">
        <v>95</v>
      </c>
      <c r="P343">
        <v>128</v>
      </c>
      <c r="Q343" s="18" t="s">
        <v>34</v>
      </c>
      <c r="R343" s="18" t="s">
        <v>35</v>
      </c>
      <c r="S343" s="18" t="s">
        <v>38</v>
      </c>
      <c r="T343" s="18" t="s">
        <v>37</v>
      </c>
      <c r="U343" s="18">
        <v>2011</v>
      </c>
      <c r="V343" s="16">
        <f t="shared" si="10"/>
        <v>40587</v>
      </c>
      <c r="W343" s="18" t="str">
        <f t="shared" si="11"/>
        <v>Weedend</v>
      </c>
    </row>
    <row r="344" spans="1:23" x14ac:dyDescent="0.25">
      <c r="A344" s="19">
        <v>342</v>
      </c>
      <c r="B344" s="20">
        <v>40558</v>
      </c>
      <c r="C344" s="18">
        <v>1</v>
      </c>
      <c r="D344" s="18">
        <v>0</v>
      </c>
      <c r="E344" s="18">
        <v>1</v>
      </c>
      <c r="F344" s="18">
        <v>17</v>
      </c>
      <c r="G344" s="18" t="b">
        <v>0</v>
      </c>
      <c r="H344" s="18">
        <v>6</v>
      </c>
      <c r="I344" s="18">
        <v>2</v>
      </c>
      <c r="J344" s="18">
        <v>0.32</v>
      </c>
      <c r="K344">
        <v>0.30299999999999999</v>
      </c>
      <c r="L344">
        <v>0.36</v>
      </c>
      <c r="M344" s="18">
        <v>0.28360000000000002</v>
      </c>
      <c r="N344" s="18">
        <v>29</v>
      </c>
      <c r="O344" s="18">
        <v>54</v>
      </c>
      <c r="P344">
        <v>83</v>
      </c>
      <c r="Q344" s="18" t="s">
        <v>34</v>
      </c>
      <c r="R344" s="18" t="s">
        <v>35</v>
      </c>
      <c r="S344" s="18" t="s">
        <v>38</v>
      </c>
      <c r="T344" s="18" t="s">
        <v>37</v>
      </c>
      <c r="U344" s="18">
        <v>2011</v>
      </c>
      <c r="V344" s="16">
        <f t="shared" si="10"/>
        <v>40587</v>
      </c>
      <c r="W344" s="18" t="str">
        <f t="shared" si="11"/>
        <v>Weedend</v>
      </c>
    </row>
    <row r="345" spans="1:23" x14ac:dyDescent="0.25">
      <c r="A345" s="19">
        <v>343</v>
      </c>
      <c r="B345" s="20">
        <v>40558</v>
      </c>
      <c r="C345" s="18">
        <v>1</v>
      </c>
      <c r="D345" s="18">
        <v>0</v>
      </c>
      <c r="E345" s="18">
        <v>1</v>
      </c>
      <c r="F345" s="18">
        <v>18</v>
      </c>
      <c r="G345" s="18" t="b">
        <v>0</v>
      </c>
      <c r="H345" s="18">
        <v>6</v>
      </c>
      <c r="I345" s="18">
        <v>2</v>
      </c>
      <c r="J345" s="18">
        <v>0.3</v>
      </c>
      <c r="K345">
        <v>0.28789999999999999</v>
      </c>
      <c r="L345">
        <v>0.45</v>
      </c>
      <c r="M345" s="18">
        <v>0.25369999999999998</v>
      </c>
      <c r="N345" s="18">
        <v>15</v>
      </c>
      <c r="O345" s="18">
        <v>69</v>
      </c>
      <c r="P345">
        <v>84</v>
      </c>
      <c r="Q345" s="18" t="s">
        <v>34</v>
      </c>
      <c r="R345" s="18" t="s">
        <v>35</v>
      </c>
      <c r="S345" s="18" t="s">
        <v>38</v>
      </c>
      <c r="T345" s="18" t="s">
        <v>37</v>
      </c>
      <c r="U345" s="18">
        <v>2011</v>
      </c>
      <c r="V345" s="16">
        <f t="shared" si="10"/>
        <v>40587</v>
      </c>
      <c r="W345" s="18" t="str">
        <f t="shared" si="11"/>
        <v>Weedend</v>
      </c>
    </row>
    <row r="346" spans="1:23" x14ac:dyDescent="0.25">
      <c r="A346" s="19">
        <v>344</v>
      </c>
      <c r="B346" s="20">
        <v>40558</v>
      </c>
      <c r="C346" s="18">
        <v>1</v>
      </c>
      <c r="D346" s="18">
        <v>0</v>
      </c>
      <c r="E346" s="18">
        <v>1</v>
      </c>
      <c r="F346" s="18">
        <v>19</v>
      </c>
      <c r="G346" s="18" t="b">
        <v>0</v>
      </c>
      <c r="H346" s="18">
        <v>6</v>
      </c>
      <c r="I346" s="18">
        <v>2</v>
      </c>
      <c r="J346" s="18">
        <v>0.32</v>
      </c>
      <c r="K346">
        <v>0.30299999999999999</v>
      </c>
      <c r="L346">
        <v>0.39</v>
      </c>
      <c r="M346" s="18">
        <v>0.25369999999999998</v>
      </c>
      <c r="N346" s="18">
        <v>14</v>
      </c>
      <c r="O346" s="18">
        <v>60</v>
      </c>
      <c r="P346">
        <v>74</v>
      </c>
      <c r="Q346" s="18" t="s">
        <v>34</v>
      </c>
      <c r="R346" s="18" t="s">
        <v>35</v>
      </c>
      <c r="S346" s="18" t="s">
        <v>38</v>
      </c>
      <c r="T346" s="18" t="s">
        <v>37</v>
      </c>
      <c r="U346" s="18">
        <v>2011</v>
      </c>
      <c r="V346" s="16">
        <f t="shared" si="10"/>
        <v>40587</v>
      </c>
      <c r="W346" s="18" t="str">
        <f t="shared" si="11"/>
        <v>Weedend</v>
      </c>
    </row>
    <row r="347" spans="1:23" x14ac:dyDescent="0.25">
      <c r="A347" s="19">
        <v>345</v>
      </c>
      <c r="B347" s="20">
        <v>40558</v>
      </c>
      <c r="C347" s="18">
        <v>1</v>
      </c>
      <c r="D347" s="18">
        <v>0</v>
      </c>
      <c r="E347" s="18">
        <v>1</v>
      </c>
      <c r="F347" s="18">
        <v>20</v>
      </c>
      <c r="G347" s="18" t="b">
        <v>0</v>
      </c>
      <c r="H347" s="18">
        <v>6</v>
      </c>
      <c r="I347" s="18">
        <v>2</v>
      </c>
      <c r="J347" s="18">
        <v>0.32</v>
      </c>
      <c r="K347">
        <v>0.30299999999999999</v>
      </c>
      <c r="L347">
        <v>0.39</v>
      </c>
      <c r="M347" s="18">
        <v>0.25369999999999998</v>
      </c>
      <c r="N347" s="18">
        <v>6</v>
      </c>
      <c r="O347" s="18">
        <v>35</v>
      </c>
      <c r="P347">
        <v>41</v>
      </c>
      <c r="Q347" s="18" t="s">
        <v>34</v>
      </c>
      <c r="R347" s="18" t="s">
        <v>35</v>
      </c>
      <c r="S347" s="18" t="s">
        <v>38</v>
      </c>
      <c r="T347" s="18" t="s">
        <v>37</v>
      </c>
      <c r="U347" s="18">
        <v>2011</v>
      </c>
      <c r="V347" s="16">
        <f t="shared" si="10"/>
        <v>40587</v>
      </c>
      <c r="W347" s="18" t="str">
        <f t="shared" si="11"/>
        <v>Weedend</v>
      </c>
    </row>
    <row r="348" spans="1:23" x14ac:dyDescent="0.25">
      <c r="A348" s="19">
        <v>346</v>
      </c>
      <c r="B348" s="20">
        <v>40558</v>
      </c>
      <c r="C348" s="18">
        <v>1</v>
      </c>
      <c r="D348" s="18">
        <v>0</v>
      </c>
      <c r="E348" s="18">
        <v>1</v>
      </c>
      <c r="F348" s="18">
        <v>21</v>
      </c>
      <c r="G348" s="18" t="b">
        <v>0</v>
      </c>
      <c r="H348" s="18">
        <v>6</v>
      </c>
      <c r="I348" s="18">
        <v>2</v>
      </c>
      <c r="J348" s="18">
        <v>0.32</v>
      </c>
      <c r="K348">
        <v>0.30299999999999999</v>
      </c>
      <c r="L348">
        <v>0.39</v>
      </c>
      <c r="M348" s="18">
        <v>0.22389999999999999</v>
      </c>
      <c r="N348" s="18">
        <v>6</v>
      </c>
      <c r="O348" s="18">
        <v>51</v>
      </c>
      <c r="P348">
        <v>57</v>
      </c>
      <c r="Q348" s="18" t="s">
        <v>34</v>
      </c>
      <c r="R348" s="18" t="s">
        <v>35</v>
      </c>
      <c r="S348" s="18" t="s">
        <v>38</v>
      </c>
      <c r="T348" s="18" t="s">
        <v>37</v>
      </c>
      <c r="U348" s="18">
        <v>2011</v>
      </c>
      <c r="V348" s="16">
        <f t="shared" si="10"/>
        <v>40587</v>
      </c>
      <c r="W348" s="18" t="str">
        <f t="shared" si="11"/>
        <v>Weedend</v>
      </c>
    </row>
    <row r="349" spans="1:23" x14ac:dyDescent="0.25">
      <c r="A349" s="19">
        <v>347</v>
      </c>
      <c r="B349" s="20">
        <v>40558</v>
      </c>
      <c r="C349" s="18">
        <v>1</v>
      </c>
      <c r="D349" s="18">
        <v>0</v>
      </c>
      <c r="E349" s="18">
        <v>1</v>
      </c>
      <c r="F349" s="18">
        <v>22</v>
      </c>
      <c r="G349" s="18" t="b">
        <v>0</v>
      </c>
      <c r="H349" s="18">
        <v>6</v>
      </c>
      <c r="I349" s="18">
        <v>2</v>
      </c>
      <c r="J349" s="18">
        <v>0.3</v>
      </c>
      <c r="K349">
        <v>0.31819999999999998</v>
      </c>
      <c r="L349">
        <v>0.42</v>
      </c>
      <c r="M349" s="18">
        <v>0.1045</v>
      </c>
      <c r="N349" s="18">
        <v>0</v>
      </c>
      <c r="O349" s="18">
        <v>26</v>
      </c>
      <c r="P349">
        <v>26</v>
      </c>
      <c r="Q349" s="18" t="s">
        <v>34</v>
      </c>
      <c r="R349" s="18" t="s">
        <v>35</v>
      </c>
      <c r="S349" s="18" t="s">
        <v>38</v>
      </c>
      <c r="T349" s="18" t="s">
        <v>37</v>
      </c>
      <c r="U349" s="18">
        <v>2011</v>
      </c>
      <c r="V349" s="16">
        <f t="shared" si="10"/>
        <v>40587</v>
      </c>
      <c r="W349" s="18" t="str">
        <f t="shared" si="11"/>
        <v>Weedend</v>
      </c>
    </row>
    <row r="350" spans="1:23" x14ac:dyDescent="0.25">
      <c r="A350" s="19">
        <v>348</v>
      </c>
      <c r="B350" s="20">
        <v>40558</v>
      </c>
      <c r="C350" s="18">
        <v>1</v>
      </c>
      <c r="D350" s="18">
        <v>0</v>
      </c>
      <c r="E350" s="18">
        <v>1</v>
      </c>
      <c r="F350" s="18">
        <v>23</v>
      </c>
      <c r="G350" s="18" t="b">
        <v>0</v>
      </c>
      <c r="H350" s="18">
        <v>6</v>
      </c>
      <c r="I350" s="18">
        <v>1</v>
      </c>
      <c r="J350" s="18">
        <v>0.3</v>
      </c>
      <c r="K350">
        <v>0.28789999999999999</v>
      </c>
      <c r="L350">
        <v>0.45</v>
      </c>
      <c r="M350" s="18">
        <v>0.28360000000000002</v>
      </c>
      <c r="N350" s="18">
        <v>5</v>
      </c>
      <c r="O350" s="18">
        <v>39</v>
      </c>
      <c r="P350">
        <v>44</v>
      </c>
      <c r="Q350" s="18" t="s">
        <v>34</v>
      </c>
      <c r="R350" s="18" t="s">
        <v>35</v>
      </c>
      <c r="S350" s="18" t="s">
        <v>36</v>
      </c>
      <c r="T350" s="18" t="s">
        <v>37</v>
      </c>
      <c r="U350" s="18">
        <v>2011</v>
      </c>
      <c r="V350" s="16">
        <f t="shared" si="10"/>
        <v>40587</v>
      </c>
      <c r="W350" s="18" t="str">
        <f t="shared" si="11"/>
        <v>Weedend</v>
      </c>
    </row>
    <row r="351" spans="1:23" x14ac:dyDescent="0.25">
      <c r="A351" s="19">
        <v>349</v>
      </c>
      <c r="B351" s="20">
        <v>40559</v>
      </c>
      <c r="C351" s="18">
        <v>1</v>
      </c>
      <c r="D351" s="18">
        <v>0</v>
      </c>
      <c r="E351" s="18">
        <v>1</v>
      </c>
      <c r="F351" s="18">
        <v>0</v>
      </c>
      <c r="G351" s="18" t="b">
        <v>0</v>
      </c>
      <c r="H351" s="18">
        <v>0</v>
      </c>
      <c r="I351" s="18">
        <v>1</v>
      </c>
      <c r="J351" s="18">
        <v>0.26</v>
      </c>
      <c r="K351">
        <v>0.30299999999999999</v>
      </c>
      <c r="L351">
        <v>0.56000000000000005</v>
      </c>
      <c r="M351" s="18">
        <v>0</v>
      </c>
      <c r="N351" s="18">
        <v>6</v>
      </c>
      <c r="O351" s="18">
        <v>33</v>
      </c>
      <c r="P351">
        <v>39</v>
      </c>
      <c r="Q351" s="18" t="s">
        <v>34</v>
      </c>
      <c r="R351" s="18" t="s">
        <v>35</v>
      </c>
      <c r="S351" s="18" t="s">
        <v>36</v>
      </c>
      <c r="T351" s="18" t="s">
        <v>40</v>
      </c>
      <c r="U351" s="18">
        <v>2011</v>
      </c>
      <c r="V351" s="16">
        <f t="shared" si="10"/>
        <v>40587</v>
      </c>
      <c r="W351" s="18" t="str">
        <f t="shared" si="11"/>
        <v>Weedend</v>
      </c>
    </row>
    <row r="352" spans="1:23" x14ac:dyDescent="0.25">
      <c r="A352" s="19">
        <v>350</v>
      </c>
      <c r="B352" s="20">
        <v>40559</v>
      </c>
      <c r="C352" s="18">
        <v>1</v>
      </c>
      <c r="D352" s="18">
        <v>0</v>
      </c>
      <c r="E352" s="18">
        <v>1</v>
      </c>
      <c r="F352" s="18">
        <v>1</v>
      </c>
      <c r="G352" s="18" t="b">
        <v>0</v>
      </c>
      <c r="H352" s="18">
        <v>0</v>
      </c>
      <c r="I352" s="18">
        <v>1</v>
      </c>
      <c r="J352" s="18">
        <v>0.26</v>
      </c>
      <c r="K352">
        <v>0.2727</v>
      </c>
      <c r="L352">
        <v>0.56000000000000005</v>
      </c>
      <c r="M352" s="18">
        <v>0.1343</v>
      </c>
      <c r="N352" s="18">
        <v>4</v>
      </c>
      <c r="O352" s="18">
        <v>19</v>
      </c>
      <c r="P352">
        <v>23</v>
      </c>
      <c r="Q352" s="18" t="s">
        <v>34</v>
      </c>
      <c r="R352" s="18" t="s">
        <v>35</v>
      </c>
      <c r="S352" s="18" t="s">
        <v>36</v>
      </c>
      <c r="T352" s="18" t="s">
        <v>40</v>
      </c>
      <c r="U352" s="18">
        <v>2011</v>
      </c>
      <c r="V352" s="16">
        <f t="shared" si="10"/>
        <v>40587</v>
      </c>
      <c r="W352" s="18" t="str">
        <f t="shared" si="11"/>
        <v>Weedend</v>
      </c>
    </row>
    <row r="353" spans="1:23" x14ac:dyDescent="0.25">
      <c r="A353" s="19">
        <v>351</v>
      </c>
      <c r="B353" s="20">
        <v>40559</v>
      </c>
      <c r="C353" s="18">
        <v>1</v>
      </c>
      <c r="D353" s="18">
        <v>0</v>
      </c>
      <c r="E353" s="18">
        <v>1</v>
      </c>
      <c r="F353" s="18">
        <v>2</v>
      </c>
      <c r="G353" s="18" t="b">
        <v>0</v>
      </c>
      <c r="H353" s="18">
        <v>0</v>
      </c>
      <c r="I353" s="18">
        <v>1</v>
      </c>
      <c r="J353" s="18">
        <v>0.26</v>
      </c>
      <c r="K353">
        <v>0.28789999999999999</v>
      </c>
      <c r="L353">
        <v>0.56000000000000005</v>
      </c>
      <c r="M353" s="18">
        <v>8.9599999999999999E-2</v>
      </c>
      <c r="N353" s="18">
        <v>3</v>
      </c>
      <c r="O353" s="18">
        <v>13</v>
      </c>
      <c r="P353">
        <v>16</v>
      </c>
      <c r="Q353" s="18" t="s">
        <v>34</v>
      </c>
      <c r="R353" s="18" t="s">
        <v>35</v>
      </c>
      <c r="S353" s="18" t="s">
        <v>36</v>
      </c>
      <c r="T353" s="18" t="s">
        <v>40</v>
      </c>
      <c r="U353" s="18">
        <v>2011</v>
      </c>
      <c r="V353" s="16">
        <f t="shared" si="10"/>
        <v>40587</v>
      </c>
      <c r="W353" s="18" t="str">
        <f t="shared" si="11"/>
        <v>Weedend</v>
      </c>
    </row>
    <row r="354" spans="1:23" x14ac:dyDescent="0.25">
      <c r="A354" s="19">
        <v>352</v>
      </c>
      <c r="B354" s="20">
        <v>40559</v>
      </c>
      <c r="C354" s="18">
        <v>1</v>
      </c>
      <c r="D354" s="18">
        <v>0</v>
      </c>
      <c r="E354" s="18">
        <v>1</v>
      </c>
      <c r="F354" s="18">
        <v>3</v>
      </c>
      <c r="G354" s="18" t="b">
        <v>0</v>
      </c>
      <c r="H354" s="18">
        <v>0</v>
      </c>
      <c r="I354" s="18">
        <v>1</v>
      </c>
      <c r="J354" s="18">
        <v>0.22</v>
      </c>
      <c r="K354">
        <v>0.2727</v>
      </c>
      <c r="L354">
        <v>0.69</v>
      </c>
      <c r="M354" s="18">
        <v>0</v>
      </c>
      <c r="N354" s="18">
        <v>9</v>
      </c>
      <c r="O354" s="18">
        <v>6</v>
      </c>
      <c r="P354">
        <v>15</v>
      </c>
      <c r="Q354" s="18" t="s">
        <v>34</v>
      </c>
      <c r="R354" s="18" t="s">
        <v>35</v>
      </c>
      <c r="S354" s="18" t="s">
        <v>36</v>
      </c>
      <c r="T354" s="18" t="s">
        <v>40</v>
      </c>
      <c r="U354" s="18">
        <v>2011</v>
      </c>
      <c r="V354" s="16">
        <f t="shared" si="10"/>
        <v>40587</v>
      </c>
      <c r="W354" s="18" t="str">
        <f t="shared" si="11"/>
        <v>Weedend</v>
      </c>
    </row>
    <row r="355" spans="1:23" x14ac:dyDescent="0.25">
      <c r="A355" s="19">
        <v>353</v>
      </c>
      <c r="B355" s="20">
        <v>40559</v>
      </c>
      <c r="C355" s="18">
        <v>1</v>
      </c>
      <c r="D355" s="18">
        <v>0</v>
      </c>
      <c r="E355" s="18">
        <v>1</v>
      </c>
      <c r="F355" s="18">
        <v>4</v>
      </c>
      <c r="G355" s="18" t="b">
        <v>0</v>
      </c>
      <c r="H355" s="18">
        <v>0</v>
      </c>
      <c r="I355" s="18">
        <v>1</v>
      </c>
      <c r="J355" s="18">
        <v>0.26</v>
      </c>
      <c r="K355">
        <v>0.2576</v>
      </c>
      <c r="L355">
        <v>0.56000000000000005</v>
      </c>
      <c r="M355" s="18">
        <v>0.16420000000000001</v>
      </c>
      <c r="N355" s="18">
        <v>0</v>
      </c>
      <c r="O355" s="18">
        <v>1</v>
      </c>
      <c r="P355">
        <v>1</v>
      </c>
      <c r="Q355" s="18" t="s">
        <v>34</v>
      </c>
      <c r="R355" s="18" t="s">
        <v>35</v>
      </c>
      <c r="S355" s="18" t="s">
        <v>36</v>
      </c>
      <c r="T355" s="18" t="s">
        <v>40</v>
      </c>
      <c r="U355" s="18">
        <v>2011</v>
      </c>
      <c r="V355" s="16">
        <f t="shared" si="10"/>
        <v>40587</v>
      </c>
      <c r="W355" s="18" t="str">
        <f t="shared" si="11"/>
        <v>Weedend</v>
      </c>
    </row>
    <row r="356" spans="1:23" x14ac:dyDescent="0.25">
      <c r="A356" s="19">
        <v>354</v>
      </c>
      <c r="B356" s="20">
        <v>40559</v>
      </c>
      <c r="C356" s="18">
        <v>1</v>
      </c>
      <c r="D356" s="18">
        <v>0</v>
      </c>
      <c r="E356" s="18">
        <v>1</v>
      </c>
      <c r="F356" s="18">
        <v>5</v>
      </c>
      <c r="G356" s="18" t="b">
        <v>0</v>
      </c>
      <c r="H356" s="18">
        <v>0</v>
      </c>
      <c r="I356" s="18">
        <v>2</v>
      </c>
      <c r="J356" s="18">
        <v>0.26</v>
      </c>
      <c r="K356">
        <v>0.2576</v>
      </c>
      <c r="L356">
        <v>0.56000000000000005</v>
      </c>
      <c r="M356" s="18">
        <v>0.16420000000000001</v>
      </c>
      <c r="N356" s="18">
        <v>1</v>
      </c>
      <c r="O356" s="18">
        <v>1</v>
      </c>
      <c r="P356">
        <v>2</v>
      </c>
      <c r="Q356" s="18" t="s">
        <v>34</v>
      </c>
      <c r="R356" s="18" t="s">
        <v>35</v>
      </c>
      <c r="S356" s="18" t="s">
        <v>38</v>
      </c>
      <c r="T356" s="18" t="s">
        <v>40</v>
      </c>
      <c r="U356" s="18">
        <v>2011</v>
      </c>
      <c r="V356" s="16">
        <f t="shared" si="10"/>
        <v>40587</v>
      </c>
      <c r="W356" s="18" t="str">
        <f t="shared" si="11"/>
        <v>Weedend</v>
      </c>
    </row>
    <row r="357" spans="1:23" x14ac:dyDescent="0.25">
      <c r="A357" s="19">
        <v>355</v>
      </c>
      <c r="B357" s="20">
        <v>40559</v>
      </c>
      <c r="C357" s="18">
        <v>1</v>
      </c>
      <c r="D357" s="18">
        <v>0</v>
      </c>
      <c r="E357" s="18">
        <v>1</v>
      </c>
      <c r="F357" s="18">
        <v>6</v>
      </c>
      <c r="G357" s="18" t="b">
        <v>0</v>
      </c>
      <c r="H357" s="18">
        <v>0</v>
      </c>
      <c r="I357" s="18">
        <v>2</v>
      </c>
      <c r="J357" s="18">
        <v>0.26</v>
      </c>
      <c r="K357">
        <v>0.2576</v>
      </c>
      <c r="L357">
        <v>0.56000000000000005</v>
      </c>
      <c r="M357" s="18">
        <v>0.16420000000000001</v>
      </c>
      <c r="N357" s="18">
        <v>0</v>
      </c>
      <c r="O357" s="18">
        <v>1</v>
      </c>
      <c r="P357">
        <v>1</v>
      </c>
      <c r="Q357" s="18" t="s">
        <v>34</v>
      </c>
      <c r="R357" s="18" t="s">
        <v>35</v>
      </c>
      <c r="S357" s="18" t="s">
        <v>38</v>
      </c>
      <c r="T357" s="18" t="s">
        <v>40</v>
      </c>
      <c r="U357" s="18">
        <v>2011</v>
      </c>
      <c r="V357" s="16">
        <f t="shared" si="10"/>
        <v>40587</v>
      </c>
      <c r="W357" s="18" t="str">
        <f t="shared" si="11"/>
        <v>Weedend</v>
      </c>
    </row>
    <row r="358" spans="1:23" x14ac:dyDescent="0.25">
      <c r="A358" s="19">
        <v>356</v>
      </c>
      <c r="B358" s="20">
        <v>40559</v>
      </c>
      <c r="C358" s="18">
        <v>1</v>
      </c>
      <c r="D358" s="18">
        <v>0</v>
      </c>
      <c r="E358" s="18">
        <v>1</v>
      </c>
      <c r="F358" s="18">
        <v>7</v>
      </c>
      <c r="G358" s="18" t="b">
        <v>0</v>
      </c>
      <c r="H358" s="18">
        <v>0</v>
      </c>
      <c r="I358" s="18">
        <v>2</v>
      </c>
      <c r="J358" s="18">
        <v>0.24</v>
      </c>
      <c r="K358">
        <v>0.21210000000000001</v>
      </c>
      <c r="L358">
        <v>0.56000000000000005</v>
      </c>
      <c r="M358" s="18">
        <v>0.29849999999999999</v>
      </c>
      <c r="N358" s="18">
        <v>0</v>
      </c>
      <c r="O358" s="18">
        <v>3</v>
      </c>
      <c r="P358">
        <v>3</v>
      </c>
      <c r="Q358" s="18" t="s">
        <v>34</v>
      </c>
      <c r="R358" s="18" t="s">
        <v>35</v>
      </c>
      <c r="S358" s="18" t="s">
        <v>38</v>
      </c>
      <c r="T358" s="18" t="s">
        <v>40</v>
      </c>
      <c r="U358" s="18">
        <v>2011</v>
      </c>
      <c r="V358" s="16">
        <f t="shared" si="10"/>
        <v>40587</v>
      </c>
      <c r="W358" s="18" t="str">
        <f t="shared" si="11"/>
        <v>Weedend</v>
      </c>
    </row>
    <row r="359" spans="1:23" x14ac:dyDescent="0.25">
      <c r="A359" s="19">
        <v>357</v>
      </c>
      <c r="B359" s="20">
        <v>40559</v>
      </c>
      <c r="C359" s="18">
        <v>1</v>
      </c>
      <c r="D359" s="18">
        <v>0</v>
      </c>
      <c r="E359" s="18">
        <v>1</v>
      </c>
      <c r="F359" s="18">
        <v>8</v>
      </c>
      <c r="G359" s="18" t="b">
        <v>0</v>
      </c>
      <c r="H359" s="18">
        <v>0</v>
      </c>
      <c r="I359" s="18">
        <v>1</v>
      </c>
      <c r="J359" s="18">
        <v>0.22</v>
      </c>
      <c r="K359">
        <v>0.21210000000000001</v>
      </c>
      <c r="L359">
        <v>0.55000000000000004</v>
      </c>
      <c r="M359" s="18">
        <v>0.28360000000000002</v>
      </c>
      <c r="N359" s="18">
        <v>0</v>
      </c>
      <c r="O359" s="18">
        <v>18</v>
      </c>
      <c r="P359">
        <v>18</v>
      </c>
      <c r="Q359" s="18" t="s">
        <v>34</v>
      </c>
      <c r="R359" s="18" t="s">
        <v>35</v>
      </c>
      <c r="S359" s="18" t="s">
        <v>36</v>
      </c>
      <c r="T359" s="18" t="s">
        <v>40</v>
      </c>
      <c r="U359" s="18">
        <v>2011</v>
      </c>
      <c r="V359" s="16">
        <f t="shared" si="10"/>
        <v>40587</v>
      </c>
      <c r="W359" s="18" t="str">
        <f t="shared" si="11"/>
        <v>Weedend</v>
      </c>
    </row>
    <row r="360" spans="1:23" x14ac:dyDescent="0.25">
      <c r="A360" s="19">
        <v>358</v>
      </c>
      <c r="B360" s="20">
        <v>40559</v>
      </c>
      <c r="C360" s="18">
        <v>1</v>
      </c>
      <c r="D360" s="18">
        <v>0</v>
      </c>
      <c r="E360" s="18">
        <v>1</v>
      </c>
      <c r="F360" s="18">
        <v>9</v>
      </c>
      <c r="G360" s="18" t="b">
        <v>0</v>
      </c>
      <c r="H360" s="18">
        <v>0</v>
      </c>
      <c r="I360" s="18">
        <v>1</v>
      </c>
      <c r="J360" s="18">
        <v>0.22</v>
      </c>
      <c r="K360">
        <v>0.21210000000000001</v>
      </c>
      <c r="L360">
        <v>0.51</v>
      </c>
      <c r="M360" s="18">
        <v>0.25369999999999998</v>
      </c>
      <c r="N360" s="18">
        <v>3</v>
      </c>
      <c r="O360" s="18">
        <v>29</v>
      </c>
      <c r="P360">
        <v>32</v>
      </c>
      <c r="Q360" s="18" t="s">
        <v>34</v>
      </c>
      <c r="R360" s="18" t="s">
        <v>35</v>
      </c>
      <c r="S360" s="18" t="s">
        <v>36</v>
      </c>
      <c r="T360" s="18" t="s">
        <v>40</v>
      </c>
      <c r="U360" s="18">
        <v>2011</v>
      </c>
      <c r="V360" s="16">
        <f t="shared" si="10"/>
        <v>40587</v>
      </c>
      <c r="W360" s="18" t="str">
        <f t="shared" si="11"/>
        <v>Weedend</v>
      </c>
    </row>
    <row r="361" spans="1:23" x14ac:dyDescent="0.25">
      <c r="A361" s="19">
        <v>359</v>
      </c>
      <c r="B361" s="20">
        <v>40559</v>
      </c>
      <c r="C361" s="18">
        <v>1</v>
      </c>
      <c r="D361" s="18">
        <v>0</v>
      </c>
      <c r="E361" s="18">
        <v>1</v>
      </c>
      <c r="F361" s="18">
        <v>10</v>
      </c>
      <c r="G361" s="18" t="b">
        <v>0</v>
      </c>
      <c r="H361" s="18">
        <v>0</v>
      </c>
      <c r="I361" s="18">
        <v>1</v>
      </c>
      <c r="J361" s="18">
        <v>0.22</v>
      </c>
      <c r="K361">
        <v>0.21210000000000001</v>
      </c>
      <c r="L361">
        <v>0.51</v>
      </c>
      <c r="M361" s="18">
        <v>0.28360000000000002</v>
      </c>
      <c r="N361" s="18">
        <v>8</v>
      </c>
      <c r="O361" s="18">
        <v>71</v>
      </c>
      <c r="P361">
        <v>79</v>
      </c>
      <c r="Q361" s="18" t="s">
        <v>34</v>
      </c>
      <c r="R361" s="18" t="s">
        <v>35</v>
      </c>
      <c r="S361" s="18" t="s">
        <v>36</v>
      </c>
      <c r="T361" s="18" t="s">
        <v>40</v>
      </c>
      <c r="U361" s="18">
        <v>2011</v>
      </c>
      <c r="V361" s="16">
        <f t="shared" si="10"/>
        <v>40587</v>
      </c>
      <c r="W361" s="18" t="str">
        <f t="shared" si="11"/>
        <v>Weedend</v>
      </c>
    </row>
    <row r="362" spans="1:23" x14ac:dyDescent="0.25">
      <c r="A362" s="19">
        <v>360</v>
      </c>
      <c r="B362" s="20">
        <v>40559</v>
      </c>
      <c r="C362" s="18">
        <v>1</v>
      </c>
      <c r="D362" s="18">
        <v>0</v>
      </c>
      <c r="E362" s="18">
        <v>1</v>
      </c>
      <c r="F362" s="18">
        <v>11</v>
      </c>
      <c r="G362" s="18" t="b">
        <v>0</v>
      </c>
      <c r="H362" s="18">
        <v>0</v>
      </c>
      <c r="I362" s="18">
        <v>1</v>
      </c>
      <c r="J362" s="18">
        <v>0.24</v>
      </c>
      <c r="K362">
        <v>0.2273</v>
      </c>
      <c r="L362">
        <v>0.44</v>
      </c>
      <c r="M362" s="18">
        <v>0.25369999999999998</v>
      </c>
      <c r="N362" s="18">
        <v>23</v>
      </c>
      <c r="O362" s="18">
        <v>70</v>
      </c>
      <c r="P362">
        <v>93</v>
      </c>
      <c r="Q362" s="18" t="s">
        <v>34</v>
      </c>
      <c r="R362" s="18" t="s">
        <v>35</v>
      </c>
      <c r="S362" s="18" t="s">
        <v>36</v>
      </c>
      <c r="T362" s="18" t="s">
        <v>40</v>
      </c>
      <c r="U362" s="18">
        <v>2011</v>
      </c>
      <c r="V362" s="16">
        <f t="shared" si="10"/>
        <v>40587</v>
      </c>
      <c r="W362" s="18" t="str">
        <f t="shared" si="11"/>
        <v>Weedend</v>
      </c>
    </row>
    <row r="363" spans="1:23" x14ac:dyDescent="0.25">
      <c r="A363" s="19">
        <v>361</v>
      </c>
      <c r="B363" s="20">
        <v>40559</v>
      </c>
      <c r="C363" s="18">
        <v>1</v>
      </c>
      <c r="D363" s="18">
        <v>0</v>
      </c>
      <c r="E363" s="18">
        <v>1</v>
      </c>
      <c r="F363" s="18">
        <v>12</v>
      </c>
      <c r="G363" s="18" t="b">
        <v>0</v>
      </c>
      <c r="H363" s="18">
        <v>0</v>
      </c>
      <c r="I363" s="18">
        <v>1</v>
      </c>
      <c r="J363" s="18">
        <v>0.24</v>
      </c>
      <c r="K363">
        <v>0.21210000000000001</v>
      </c>
      <c r="L363">
        <v>0.41</v>
      </c>
      <c r="M363" s="18">
        <v>0.28360000000000002</v>
      </c>
      <c r="N363" s="18">
        <v>29</v>
      </c>
      <c r="O363" s="18">
        <v>75</v>
      </c>
      <c r="P363">
        <v>104</v>
      </c>
      <c r="Q363" s="18" t="s">
        <v>34</v>
      </c>
      <c r="R363" s="18" t="s">
        <v>35</v>
      </c>
      <c r="S363" s="18" t="s">
        <v>36</v>
      </c>
      <c r="T363" s="18" t="s">
        <v>40</v>
      </c>
      <c r="U363" s="18">
        <v>2011</v>
      </c>
      <c r="V363" s="16">
        <f t="shared" si="10"/>
        <v>40587</v>
      </c>
      <c r="W363" s="18" t="str">
        <f t="shared" si="11"/>
        <v>Weedend</v>
      </c>
    </row>
    <row r="364" spans="1:23" x14ac:dyDescent="0.25">
      <c r="A364" s="19">
        <v>362</v>
      </c>
      <c r="B364" s="20">
        <v>40559</v>
      </c>
      <c r="C364" s="18">
        <v>1</v>
      </c>
      <c r="D364" s="18">
        <v>0</v>
      </c>
      <c r="E364" s="18">
        <v>1</v>
      </c>
      <c r="F364" s="18">
        <v>13</v>
      </c>
      <c r="G364" s="18" t="b">
        <v>0</v>
      </c>
      <c r="H364" s="18">
        <v>0</v>
      </c>
      <c r="I364" s="18">
        <v>1</v>
      </c>
      <c r="J364" s="18">
        <v>0.26</v>
      </c>
      <c r="K364">
        <v>0.2273</v>
      </c>
      <c r="L364">
        <v>0.35</v>
      </c>
      <c r="M364" s="18">
        <v>0.29849999999999999</v>
      </c>
      <c r="N364" s="18">
        <v>23</v>
      </c>
      <c r="O364" s="18">
        <v>95</v>
      </c>
      <c r="P364">
        <v>118</v>
      </c>
      <c r="Q364" s="18" t="s">
        <v>34</v>
      </c>
      <c r="R364" s="18" t="s">
        <v>35</v>
      </c>
      <c r="S364" s="18" t="s">
        <v>36</v>
      </c>
      <c r="T364" s="18" t="s">
        <v>40</v>
      </c>
      <c r="U364" s="18">
        <v>2011</v>
      </c>
      <c r="V364" s="16">
        <f t="shared" si="10"/>
        <v>40587</v>
      </c>
      <c r="W364" s="18" t="str">
        <f t="shared" si="11"/>
        <v>Weedend</v>
      </c>
    </row>
    <row r="365" spans="1:23" x14ac:dyDescent="0.25">
      <c r="A365" s="19">
        <v>363</v>
      </c>
      <c r="B365" s="20">
        <v>40559</v>
      </c>
      <c r="C365" s="18">
        <v>1</v>
      </c>
      <c r="D365" s="18">
        <v>0</v>
      </c>
      <c r="E365" s="18">
        <v>1</v>
      </c>
      <c r="F365" s="18">
        <v>14</v>
      </c>
      <c r="G365" s="18" t="b">
        <v>0</v>
      </c>
      <c r="H365" s="18">
        <v>0</v>
      </c>
      <c r="I365" s="18">
        <v>1</v>
      </c>
      <c r="J365" s="18">
        <v>0.28000000000000003</v>
      </c>
      <c r="K365">
        <v>0.2727</v>
      </c>
      <c r="L365">
        <v>0.36</v>
      </c>
      <c r="M365" s="18">
        <v>0.25369999999999998</v>
      </c>
      <c r="N365" s="18">
        <v>22</v>
      </c>
      <c r="O365" s="18">
        <v>69</v>
      </c>
      <c r="P365">
        <v>91</v>
      </c>
      <c r="Q365" s="18" t="s">
        <v>34</v>
      </c>
      <c r="R365" s="18" t="s">
        <v>35</v>
      </c>
      <c r="S365" s="18" t="s">
        <v>36</v>
      </c>
      <c r="T365" s="18" t="s">
        <v>40</v>
      </c>
      <c r="U365" s="18">
        <v>2011</v>
      </c>
      <c r="V365" s="16">
        <f t="shared" si="10"/>
        <v>40587</v>
      </c>
      <c r="W365" s="18" t="str">
        <f t="shared" si="11"/>
        <v>Weedend</v>
      </c>
    </row>
    <row r="366" spans="1:23" x14ac:dyDescent="0.25">
      <c r="A366" s="19">
        <v>364</v>
      </c>
      <c r="B366" s="20">
        <v>40559</v>
      </c>
      <c r="C366" s="18">
        <v>1</v>
      </c>
      <c r="D366" s="18">
        <v>0</v>
      </c>
      <c r="E366" s="18">
        <v>1</v>
      </c>
      <c r="F366" s="18">
        <v>15</v>
      </c>
      <c r="G366" s="18" t="b">
        <v>0</v>
      </c>
      <c r="H366" s="18">
        <v>0</v>
      </c>
      <c r="I366" s="18">
        <v>1</v>
      </c>
      <c r="J366" s="18">
        <v>0.26</v>
      </c>
      <c r="K366">
        <v>0.2424</v>
      </c>
      <c r="L366">
        <v>0.38</v>
      </c>
      <c r="M366" s="18">
        <v>0.25369999999999998</v>
      </c>
      <c r="N366" s="18">
        <v>35</v>
      </c>
      <c r="O366" s="18">
        <v>78</v>
      </c>
      <c r="P366">
        <v>113</v>
      </c>
      <c r="Q366" s="18" t="s">
        <v>34</v>
      </c>
      <c r="R366" s="18" t="s">
        <v>35</v>
      </c>
      <c r="S366" s="18" t="s">
        <v>36</v>
      </c>
      <c r="T366" s="18" t="s">
        <v>40</v>
      </c>
      <c r="U366" s="18">
        <v>2011</v>
      </c>
      <c r="V366" s="16">
        <f t="shared" si="10"/>
        <v>40587</v>
      </c>
      <c r="W366" s="18" t="str">
        <f t="shared" si="11"/>
        <v>Weedend</v>
      </c>
    </row>
    <row r="367" spans="1:23" x14ac:dyDescent="0.25">
      <c r="A367" s="19">
        <v>365</v>
      </c>
      <c r="B367" s="20">
        <v>40559</v>
      </c>
      <c r="C367" s="18">
        <v>1</v>
      </c>
      <c r="D367" s="18">
        <v>0</v>
      </c>
      <c r="E367" s="18">
        <v>1</v>
      </c>
      <c r="F367" s="18">
        <v>16</v>
      </c>
      <c r="G367" s="18" t="b">
        <v>0</v>
      </c>
      <c r="H367" s="18">
        <v>0</v>
      </c>
      <c r="I367" s="18">
        <v>1</v>
      </c>
      <c r="J367" s="18">
        <v>0.24</v>
      </c>
      <c r="K367">
        <v>0.2273</v>
      </c>
      <c r="L367">
        <v>0.38</v>
      </c>
      <c r="M367" s="18">
        <v>0.22389999999999999</v>
      </c>
      <c r="N367" s="18">
        <v>22</v>
      </c>
      <c r="O367" s="18">
        <v>77</v>
      </c>
      <c r="P367">
        <v>99</v>
      </c>
      <c r="Q367" s="18" t="s">
        <v>34</v>
      </c>
      <c r="R367" s="18" t="s">
        <v>35</v>
      </c>
      <c r="S367" s="18" t="s">
        <v>36</v>
      </c>
      <c r="T367" s="18" t="s">
        <v>40</v>
      </c>
      <c r="U367" s="18">
        <v>2011</v>
      </c>
      <c r="V367" s="16">
        <f t="shared" si="10"/>
        <v>40587</v>
      </c>
      <c r="W367" s="18" t="str">
        <f t="shared" si="11"/>
        <v>Weedend</v>
      </c>
    </row>
    <row r="368" spans="1:23" x14ac:dyDescent="0.25">
      <c r="A368" s="19">
        <v>366</v>
      </c>
      <c r="B368" s="20">
        <v>40559</v>
      </c>
      <c r="C368" s="18">
        <v>1</v>
      </c>
      <c r="D368" s="18">
        <v>0</v>
      </c>
      <c r="E368" s="18">
        <v>1</v>
      </c>
      <c r="F368" s="18">
        <v>17</v>
      </c>
      <c r="G368" s="18" t="b">
        <v>0</v>
      </c>
      <c r="H368" s="18">
        <v>0</v>
      </c>
      <c r="I368" s="18">
        <v>1</v>
      </c>
      <c r="J368" s="18">
        <v>0.22</v>
      </c>
      <c r="K368">
        <v>0.21210000000000001</v>
      </c>
      <c r="L368">
        <v>0.37</v>
      </c>
      <c r="M368" s="18">
        <v>0.25369999999999998</v>
      </c>
      <c r="N368" s="18">
        <v>23</v>
      </c>
      <c r="O368" s="18">
        <v>82</v>
      </c>
      <c r="P368">
        <v>105</v>
      </c>
      <c r="Q368" s="18" t="s">
        <v>34</v>
      </c>
      <c r="R368" s="18" t="s">
        <v>35</v>
      </c>
      <c r="S368" s="18" t="s">
        <v>36</v>
      </c>
      <c r="T368" s="18" t="s">
        <v>40</v>
      </c>
      <c r="U368" s="18">
        <v>2011</v>
      </c>
      <c r="V368" s="16">
        <f t="shared" si="10"/>
        <v>40587</v>
      </c>
      <c r="W368" s="18" t="str">
        <f t="shared" si="11"/>
        <v>Weedend</v>
      </c>
    </row>
    <row r="369" spans="1:23" x14ac:dyDescent="0.25">
      <c r="A369" s="19">
        <v>367</v>
      </c>
      <c r="B369" s="20">
        <v>40559</v>
      </c>
      <c r="C369" s="18">
        <v>1</v>
      </c>
      <c r="D369" s="18">
        <v>0</v>
      </c>
      <c r="E369" s="18">
        <v>1</v>
      </c>
      <c r="F369" s="18">
        <v>18</v>
      </c>
      <c r="G369" s="18" t="b">
        <v>0</v>
      </c>
      <c r="H369" s="18">
        <v>0</v>
      </c>
      <c r="I369" s="18">
        <v>1</v>
      </c>
      <c r="J369" s="18">
        <v>0.2</v>
      </c>
      <c r="K369">
        <v>0.21210000000000001</v>
      </c>
      <c r="L369">
        <v>0.4</v>
      </c>
      <c r="M369" s="18">
        <v>0.16420000000000001</v>
      </c>
      <c r="N369" s="18">
        <v>11</v>
      </c>
      <c r="O369" s="18">
        <v>56</v>
      </c>
      <c r="P369">
        <v>67</v>
      </c>
      <c r="Q369" s="18" t="s">
        <v>34</v>
      </c>
      <c r="R369" s="18" t="s">
        <v>35</v>
      </c>
      <c r="S369" s="18" t="s">
        <v>36</v>
      </c>
      <c r="T369" s="18" t="s">
        <v>40</v>
      </c>
      <c r="U369" s="18">
        <v>2011</v>
      </c>
      <c r="V369" s="16">
        <f t="shared" si="10"/>
        <v>40587</v>
      </c>
      <c r="W369" s="18" t="str">
        <f t="shared" si="11"/>
        <v>Weedend</v>
      </c>
    </row>
    <row r="370" spans="1:23" x14ac:dyDescent="0.25">
      <c r="A370" s="19">
        <v>368</v>
      </c>
      <c r="B370" s="20">
        <v>40559</v>
      </c>
      <c r="C370" s="18">
        <v>1</v>
      </c>
      <c r="D370" s="18">
        <v>0</v>
      </c>
      <c r="E370" s="18">
        <v>1</v>
      </c>
      <c r="F370" s="18">
        <v>19</v>
      </c>
      <c r="G370" s="18" t="b">
        <v>0</v>
      </c>
      <c r="H370" s="18">
        <v>0</v>
      </c>
      <c r="I370" s="18">
        <v>1</v>
      </c>
      <c r="J370" s="18">
        <v>0.18</v>
      </c>
      <c r="K370">
        <v>0.19700000000000001</v>
      </c>
      <c r="L370">
        <v>0.47</v>
      </c>
      <c r="M370" s="18">
        <v>0.1343</v>
      </c>
      <c r="N370" s="18">
        <v>14</v>
      </c>
      <c r="O370" s="18">
        <v>47</v>
      </c>
      <c r="P370">
        <v>61</v>
      </c>
      <c r="Q370" s="18" t="s">
        <v>34</v>
      </c>
      <c r="R370" s="18" t="s">
        <v>35</v>
      </c>
      <c r="S370" s="18" t="s">
        <v>36</v>
      </c>
      <c r="T370" s="18" t="s">
        <v>40</v>
      </c>
      <c r="U370" s="18">
        <v>2011</v>
      </c>
      <c r="V370" s="16">
        <f t="shared" si="10"/>
        <v>40587</v>
      </c>
      <c r="W370" s="18" t="str">
        <f t="shared" si="11"/>
        <v>Weedend</v>
      </c>
    </row>
    <row r="371" spans="1:23" x14ac:dyDescent="0.25">
      <c r="A371" s="19">
        <v>369</v>
      </c>
      <c r="B371" s="20">
        <v>40559</v>
      </c>
      <c r="C371" s="18">
        <v>1</v>
      </c>
      <c r="D371" s="18">
        <v>0</v>
      </c>
      <c r="E371" s="18">
        <v>1</v>
      </c>
      <c r="F371" s="18">
        <v>20</v>
      </c>
      <c r="G371" s="18" t="b">
        <v>0</v>
      </c>
      <c r="H371" s="18">
        <v>0</v>
      </c>
      <c r="I371" s="18">
        <v>1</v>
      </c>
      <c r="J371" s="18">
        <v>0.18</v>
      </c>
      <c r="K371">
        <v>0.19700000000000001</v>
      </c>
      <c r="L371">
        <v>0.47</v>
      </c>
      <c r="M371" s="18">
        <v>0.16420000000000001</v>
      </c>
      <c r="N371" s="18">
        <v>7</v>
      </c>
      <c r="O371" s="18">
        <v>50</v>
      </c>
      <c r="P371">
        <v>57</v>
      </c>
      <c r="Q371" s="18" t="s">
        <v>34</v>
      </c>
      <c r="R371" s="18" t="s">
        <v>35</v>
      </c>
      <c r="S371" s="18" t="s">
        <v>36</v>
      </c>
      <c r="T371" s="18" t="s">
        <v>40</v>
      </c>
      <c r="U371" s="18">
        <v>2011</v>
      </c>
      <c r="V371" s="16">
        <f t="shared" si="10"/>
        <v>40587</v>
      </c>
      <c r="W371" s="18" t="str">
        <f t="shared" si="11"/>
        <v>Weedend</v>
      </c>
    </row>
    <row r="372" spans="1:23" x14ac:dyDescent="0.25">
      <c r="A372" s="19">
        <v>370</v>
      </c>
      <c r="B372" s="20">
        <v>40559</v>
      </c>
      <c r="C372" s="18">
        <v>1</v>
      </c>
      <c r="D372" s="18">
        <v>0</v>
      </c>
      <c r="E372" s="18">
        <v>1</v>
      </c>
      <c r="F372" s="18">
        <v>21</v>
      </c>
      <c r="G372" s="18" t="b">
        <v>0</v>
      </c>
      <c r="H372" s="18">
        <v>0</v>
      </c>
      <c r="I372" s="18">
        <v>1</v>
      </c>
      <c r="J372" s="18">
        <v>0.18</v>
      </c>
      <c r="K372">
        <v>0.19700000000000001</v>
      </c>
      <c r="L372">
        <v>0.51</v>
      </c>
      <c r="M372" s="18">
        <v>0.16420000000000001</v>
      </c>
      <c r="N372" s="18">
        <v>6</v>
      </c>
      <c r="O372" s="18">
        <v>22</v>
      </c>
      <c r="P372">
        <v>28</v>
      </c>
      <c r="Q372" s="18" t="s">
        <v>34</v>
      </c>
      <c r="R372" s="18" t="s">
        <v>35</v>
      </c>
      <c r="S372" s="18" t="s">
        <v>36</v>
      </c>
      <c r="T372" s="18" t="s">
        <v>40</v>
      </c>
      <c r="U372" s="18">
        <v>2011</v>
      </c>
      <c r="V372" s="16">
        <f t="shared" si="10"/>
        <v>40587</v>
      </c>
      <c r="W372" s="18" t="str">
        <f t="shared" si="11"/>
        <v>Weedend</v>
      </c>
    </row>
    <row r="373" spans="1:23" x14ac:dyDescent="0.25">
      <c r="A373" s="19">
        <v>371</v>
      </c>
      <c r="B373" s="20">
        <v>40559</v>
      </c>
      <c r="C373" s="18">
        <v>1</v>
      </c>
      <c r="D373" s="18">
        <v>0</v>
      </c>
      <c r="E373" s="18">
        <v>1</v>
      </c>
      <c r="F373" s="18">
        <v>22</v>
      </c>
      <c r="G373" s="18" t="b">
        <v>0</v>
      </c>
      <c r="H373" s="18">
        <v>0</v>
      </c>
      <c r="I373" s="18">
        <v>2</v>
      </c>
      <c r="J373" s="18">
        <v>0.2</v>
      </c>
      <c r="K373">
        <v>0.21210000000000001</v>
      </c>
      <c r="L373">
        <v>0.49</v>
      </c>
      <c r="M373" s="18">
        <v>0.1343</v>
      </c>
      <c r="N373" s="18">
        <v>2</v>
      </c>
      <c r="O373" s="18">
        <v>19</v>
      </c>
      <c r="P373">
        <v>21</v>
      </c>
      <c r="Q373" s="18" t="s">
        <v>34</v>
      </c>
      <c r="R373" s="18" t="s">
        <v>35</v>
      </c>
      <c r="S373" s="18" t="s">
        <v>38</v>
      </c>
      <c r="T373" s="18" t="s">
        <v>40</v>
      </c>
      <c r="U373" s="18">
        <v>2011</v>
      </c>
      <c r="V373" s="16">
        <f t="shared" si="10"/>
        <v>40587</v>
      </c>
      <c r="W373" s="18" t="str">
        <f t="shared" si="11"/>
        <v>Weedend</v>
      </c>
    </row>
    <row r="374" spans="1:23" x14ac:dyDescent="0.25">
      <c r="A374" s="19">
        <v>372</v>
      </c>
      <c r="B374" s="20">
        <v>40559</v>
      </c>
      <c r="C374" s="18">
        <v>1</v>
      </c>
      <c r="D374" s="18">
        <v>0</v>
      </c>
      <c r="E374" s="18">
        <v>1</v>
      </c>
      <c r="F374" s="18">
        <v>23</v>
      </c>
      <c r="G374" s="18" t="b">
        <v>0</v>
      </c>
      <c r="H374" s="18">
        <v>0</v>
      </c>
      <c r="I374" s="18">
        <v>2</v>
      </c>
      <c r="J374" s="18">
        <v>0.2</v>
      </c>
      <c r="K374">
        <v>0.2273</v>
      </c>
      <c r="L374">
        <v>0.4</v>
      </c>
      <c r="M374" s="18">
        <v>0.1045</v>
      </c>
      <c r="N374" s="18">
        <v>0</v>
      </c>
      <c r="O374" s="18">
        <v>18</v>
      </c>
      <c r="P374">
        <v>18</v>
      </c>
      <c r="Q374" s="18" t="s">
        <v>34</v>
      </c>
      <c r="R374" s="18" t="s">
        <v>35</v>
      </c>
      <c r="S374" s="18" t="s">
        <v>38</v>
      </c>
      <c r="T374" s="18" t="s">
        <v>40</v>
      </c>
      <c r="U374" s="18">
        <v>2011</v>
      </c>
      <c r="V374" s="16">
        <f t="shared" si="10"/>
        <v>40587</v>
      </c>
      <c r="W374" s="18" t="str">
        <f t="shared" si="11"/>
        <v>Weedend</v>
      </c>
    </row>
    <row r="375" spans="1:23" x14ac:dyDescent="0.25">
      <c r="A375" s="19">
        <v>373</v>
      </c>
      <c r="B375" s="20">
        <v>40560</v>
      </c>
      <c r="C375" s="18">
        <v>1</v>
      </c>
      <c r="D375" s="18">
        <v>0</v>
      </c>
      <c r="E375" s="18">
        <v>1</v>
      </c>
      <c r="F375" s="18">
        <v>0</v>
      </c>
      <c r="G375" s="18" t="b">
        <v>1</v>
      </c>
      <c r="H375" s="18">
        <v>1</v>
      </c>
      <c r="I375" s="18">
        <v>2</v>
      </c>
      <c r="J375" s="18">
        <v>0.2</v>
      </c>
      <c r="K375">
        <v>0.19700000000000001</v>
      </c>
      <c r="L375">
        <v>0.47</v>
      </c>
      <c r="M375" s="18">
        <v>0.22389999999999999</v>
      </c>
      <c r="N375" s="18">
        <v>1</v>
      </c>
      <c r="O375" s="18">
        <v>16</v>
      </c>
      <c r="P375">
        <v>17</v>
      </c>
      <c r="Q375" s="14" t="s">
        <v>34</v>
      </c>
      <c r="R375" s="14" t="s">
        <v>35</v>
      </c>
      <c r="S375" s="14" t="s">
        <v>38</v>
      </c>
      <c r="T375" s="14" t="s">
        <v>41</v>
      </c>
      <c r="U375" s="14">
        <v>2011</v>
      </c>
      <c r="V375" s="18">
        <f t="shared" si="10"/>
        <v>40587</v>
      </c>
      <c r="W375" s="18" t="str">
        <f t="shared" si="11"/>
        <v>Holiday</v>
      </c>
    </row>
    <row r="376" spans="1:23" x14ac:dyDescent="0.25">
      <c r="A376" s="19">
        <v>374</v>
      </c>
      <c r="B376" s="20">
        <v>40560</v>
      </c>
      <c r="C376" s="18">
        <v>1</v>
      </c>
      <c r="D376" s="18">
        <v>0</v>
      </c>
      <c r="E376" s="18">
        <v>1</v>
      </c>
      <c r="F376" s="18">
        <v>1</v>
      </c>
      <c r="G376" s="18" t="b">
        <v>1</v>
      </c>
      <c r="H376" s="18">
        <v>1</v>
      </c>
      <c r="I376" s="18">
        <v>2</v>
      </c>
      <c r="J376" s="18">
        <v>0.2</v>
      </c>
      <c r="K376">
        <v>0.19700000000000001</v>
      </c>
      <c r="L376">
        <v>0.44</v>
      </c>
      <c r="M376" s="18">
        <v>0.19400000000000001</v>
      </c>
      <c r="N376" s="18">
        <v>1</v>
      </c>
      <c r="O376" s="18">
        <v>15</v>
      </c>
      <c r="P376">
        <v>16</v>
      </c>
      <c r="Q376" s="14" t="s">
        <v>34</v>
      </c>
      <c r="R376" s="14" t="s">
        <v>35</v>
      </c>
      <c r="S376" s="14" t="s">
        <v>38</v>
      </c>
      <c r="T376" s="14" t="s">
        <v>41</v>
      </c>
      <c r="U376" s="14">
        <v>2011</v>
      </c>
      <c r="V376" s="18">
        <f t="shared" si="10"/>
        <v>40587</v>
      </c>
      <c r="W376" s="18" t="str">
        <f t="shared" si="11"/>
        <v>Holiday</v>
      </c>
    </row>
    <row r="377" spans="1:23" x14ac:dyDescent="0.25">
      <c r="A377" s="19">
        <v>375</v>
      </c>
      <c r="B377" s="20">
        <v>40560</v>
      </c>
      <c r="C377" s="18">
        <v>1</v>
      </c>
      <c r="D377" s="18">
        <v>0</v>
      </c>
      <c r="E377" s="18">
        <v>1</v>
      </c>
      <c r="F377" s="18">
        <v>2</v>
      </c>
      <c r="G377" s="18" t="b">
        <v>1</v>
      </c>
      <c r="H377" s="18">
        <v>1</v>
      </c>
      <c r="I377" s="18">
        <v>2</v>
      </c>
      <c r="J377" s="18">
        <v>0.18</v>
      </c>
      <c r="K377">
        <v>0.16669999999999999</v>
      </c>
      <c r="L377">
        <v>0.43</v>
      </c>
      <c r="M377" s="18">
        <v>0.25369999999999998</v>
      </c>
      <c r="N377" s="18">
        <v>0</v>
      </c>
      <c r="O377" s="18">
        <v>8</v>
      </c>
      <c r="P377">
        <v>8</v>
      </c>
      <c r="Q377" s="14" t="s">
        <v>34</v>
      </c>
      <c r="R377" s="14" t="s">
        <v>35</v>
      </c>
      <c r="S377" s="14" t="s">
        <v>38</v>
      </c>
      <c r="T377" s="14" t="s">
        <v>41</v>
      </c>
      <c r="U377" s="14">
        <v>2011</v>
      </c>
      <c r="V377" s="18">
        <f t="shared" si="10"/>
        <v>40587</v>
      </c>
      <c r="W377" s="18" t="str">
        <f t="shared" si="11"/>
        <v>Holiday</v>
      </c>
    </row>
    <row r="378" spans="1:23" x14ac:dyDescent="0.25">
      <c r="A378" s="19">
        <v>376</v>
      </c>
      <c r="B378" s="20">
        <v>40560</v>
      </c>
      <c r="C378" s="18">
        <v>1</v>
      </c>
      <c r="D378" s="18">
        <v>0</v>
      </c>
      <c r="E378" s="18">
        <v>1</v>
      </c>
      <c r="F378" s="18">
        <v>3</v>
      </c>
      <c r="G378" s="18" t="b">
        <v>1</v>
      </c>
      <c r="H378" s="18">
        <v>1</v>
      </c>
      <c r="I378" s="18">
        <v>2</v>
      </c>
      <c r="J378" s="18">
        <v>0.18</v>
      </c>
      <c r="K378">
        <v>0.18179999999999999</v>
      </c>
      <c r="L378">
        <v>0.43</v>
      </c>
      <c r="M378" s="18">
        <v>0.19400000000000001</v>
      </c>
      <c r="N378" s="18">
        <v>0</v>
      </c>
      <c r="O378" s="18">
        <v>2</v>
      </c>
      <c r="P378">
        <v>2</v>
      </c>
      <c r="Q378" s="14" t="s">
        <v>34</v>
      </c>
      <c r="R378" s="14" t="s">
        <v>35</v>
      </c>
      <c r="S378" s="14" t="s">
        <v>38</v>
      </c>
      <c r="T378" s="14" t="s">
        <v>41</v>
      </c>
      <c r="U378" s="14">
        <v>2011</v>
      </c>
      <c r="V378" s="18">
        <f t="shared" si="10"/>
        <v>40587</v>
      </c>
      <c r="W378" s="18" t="str">
        <f t="shared" si="11"/>
        <v>Holiday</v>
      </c>
    </row>
    <row r="379" spans="1:23" x14ac:dyDescent="0.25">
      <c r="A379" s="19">
        <v>377</v>
      </c>
      <c r="B379" s="20">
        <v>40560</v>
      </c>
      <c r="C379" s="18">
        <v>1</v>
      </c>
      <c r="D379" s="18">
        <v>0</v>
      </c>
      <c r="E379" s="18">
        <v>1</v>
      </c>
      <c r="F379" s="18">
        <v>4</v>
      </c>
      <c r="G379" s="18" t="b">
        <v>1</v>
      </c>
      <c r="H379" s="18">
        <v>1</v>
      </c>
      <c r="I379" s="18">
        <v>2</v>
      </c>
      <c r="J379" s="18">
        <v>0.18</v>
      </c>
      <c r="K379">
        <v>0.19700000000000001</v>
      </c>
      <c r="L379">
        <v>0.43</v>
      </c>
      <c r="M379" s="18">
        <v>0.1343</v>
      </c>
      <c r="N379" s="18">
        <v>1</v>
      </c>
      <c r="O379" s="18">
        <v>2</v>
      </c>
      <c r="P379">
        <v>3</v>
      </c>
      <c r="Q379" s="14" t="s">
        <v>34</v>
      </c>
      <c r="R379" s="14" t="s">
        <v>35</v>
      </c>
      <c r="S379" s="14" t="s">
        <v>38</v>
      </c>
      <c r="T379" s="14" t="s">
        <v>41</v>
      </c>
      <c r="U379" s="14">
        <v>2011</v>
      </c>
      <c r="V379" s="18">
        <f t="shared" si="10"/>
        <v>40587</v>
      </c>
      <c r="W379" s="18" t="str">
        <f t="shared" si="11"/>
        <v>Holiday</v>
      </c>
    </row>
    <row r="380" spans="1:23" x14ac:dyDescent="0.25">
      <c r="A380" s="19">
        <v>378</v>
      </c>
      <c r="B380" s="20">
        <v>40560</v>
      </c>
      <c r="C380" s="18">
        <v>1</v>
      </c>
      <c r="D380" s="18">
        <v>0</v>
      </c>
      <c r="E380" s="18">
        <v>1</v>
      </c>
      <c r="F380" s="18">
        <v>5</v>
      </c>
      <c r="G380" s="18" t="b">
        <v>1</v>
      </c>
      <c r="H380" s="18">
        <v>1</v>
      </c>
      <c r="I380" s="18">
        <v>2</v>
      </c>
      <c r="J380" s="18">
        <v>0.18</v>
      </c>
      <c r="K380">
        <v>0.19700000000000001</v>
      </c>
      <c r="L380">
        <v>0.43</v>
      </c>
      <c r="M380" s="18">
        <v>0.16420000000000001</v>
      </c>
      <c r="N380" s="18">
        <v>0</v>
      </c>
      <c r="O380" s="18">
        <v>1</v>
      </c>
      <c r="P380">
        <v>1</v>
      </c>
      <c r="Q380" s="14" t="s">
        <v>34</v>
      </c>
      <c r="R380" s="14" t="s">
        <v>35</v>
      </c>
      <c r="S380" s="14" t="s">
        <v>38</v>
      </c>
      <c r="T380" s="14" t="s">
        <v>41</v>
      </c>
      <c r="U380" s="14">
        <v>2011</v>
      </c>
      <c r="V380" s="18">
        <f t="shared" si="10"/>
        <v>40587</v>
      </c>
      <c r="W380" s="18" t="str">
        <f t="shared" si="11"/>
        <v>Holiday</v>
      </c>
    </row>
    <row r="381" spans="1:23" x14ac:dyDescent="0.25">
      <c r="A381" s="19">
        <v>379</v>
      </c>
      <c r="B381" s="20">
        <v>40560</v>
      </c>
      <c r="C381" s="18">
        <v>1</v>
      </c>
      <c r="D381" s="18">
        <v>0</v>
      </c>
      <c r="E381" s="18">
        <v>1</v>
      </c>
      <c r="F381" s="18">
        <v>6</v>
      </c>
      <c r="G381" s="18" t="b">
        <v>1</v>
      </c>
      <c r="H381" s="18">
        <v>1</v>
      </c>
      <c r="I381" s="18">
        <v>2</v>
      </c>
      <c r="J381" s="18">
        <v>0.18</v>
      </c>
      <c r="K381">
        <v>0.18179999999999999</v>
      </c>
      <c r="L381">
        <v>0.43</v>
      </c>
      <c r="M381" s="18">
        <v>0.19400000000000001</v>
      </c>
      <c r="N381" s="18">
        <v>0</v>
      </c>
      <c r="O381" s="18">
        <v>5</v>
      </c>
      <c r="P381">
        <v>5</v>
      </c>
      <c r="Q381" s="14" t="s">
        <v>34</v>
      </c>
      <c r="R381" s="14" t="s">
        <v>35</v>
      </c>
      <c r="S381" s="14" t="s">
        <v>38</v>
      </c>
      <c r="T381" s="14" t="s">
        <v>41</v>
      </c>
      <c r="U381" s="14">
        <v>2011</v>
      </c>
      <c r="V381" s="18">
        <f t="shared" si="10"/>
        <v>40587</v>
      </c>
      <c r="W381" s="18" t="str">
        <f t="shared" si="11"/>
        <v>Holiday</v>
      </c>
    </row>
    <row r="382" spans="1:23" x14ac:dyDescent="0.25">
      <c r="A382" s="19">
        <v>380</v>
      </c>
      <c r="B382" s="20">
        <v>40560</v>
      </c>
      <c r="C382" s="18">
        <v>1</v>
      </c>
      <c r="D382" s="18">
        <v>0</v>
      </c>
      <c r="E382" s="18">
        <v>1</v>
      </c>
      <c r="F382" s="18">
        <v>7</v>
      </c>
      <c r="G382" s="18" t="b">
        <v>1</v>
      </c>
      <c r="H382" s="18">
        <v>1</v>
      </c>
      <c r="I382" s="18">
        <v>2</v>
      </c>
      <c r="J382" s="18">
        <v>0.16</v>
      </c>
      <c r="K382">
        <v>0.18179999999999999</v>
      </c>
      <c r="L382">
        <v>0.5</v>
      </c>
      <c r="M382" s="18">
        <v>0.1343</v>
      </c>
      <c r="N382" s="18">
        <v>4</v>
      </c>
      <c r="O382" s="18">
        <v>9</v>
      </c>
      <c r="P382">
        <v>13</v>
      </c>
      <c r="Q382" s="14" t="s">
        <v>34</v>
      </c>
      <c r="R382" s="14" t="s">
        <v>35</v>
      </c>
      <c r="S382" s="14" t="s">
        <v>38</v>
      </c>
      <c r="T382" s="14" t="s">
        <v>41</v>
      </c>
      <c r="U382" s="14">
        <v>2011</v>
      </c>
      <c r="V382" s="18">
        <f t="shared" si="10"/>
        <v>40587</v>
      </c>
      <c r="W382" s="18" t="str">
        <f t="shared" si="11"/>
        <v>Holiday</v>
      </c>
    </row>
    <row r="383" spans="1:23" x14ac:dyDescent="0.25">
      <c r="A383" s="19">
        <v>381</v>
      </c>
      <c r="B383" s="20">
        <v>40560</v>
      </c>
      <c r="C383" s="18">
        <v>1</v>
      </c>
      <c r="D383" s="18">
        <v>0</v>
      </c>
      <c r="E383" s="18">
        <v>1</v>
      </c>
      <c r="F383" s="18">
        <v>8</v>
      </c>
      <c r="G383" s="18" t="b">
        <v>1</v>
      </c>
      <c r="H383" s="18">
        <v>1</v>
      </c>
      <c r="I383" s="18">
        <v>2</v>
      </c>
      <c r="J383" s="18">
        <v>0.16</v>
      </c>
      <c r="K383">
        <v>0.1515</v>
      </c>
      <c r="L383">
        <v>0.47</v>
      </c>
      <c r="M383" s="18">
        <v>0.22389999999999999</v>
      </c>
      <c r="N383" s="18">
        <v>3</v>
      </c>
      <c r="O383" s="18">
        <v>30</v>
      </c>
      <c r="P383">
        <v>33</v>
      </c>
      <c r="Q383" s="14" t="s">
        <v>34</v>
      </c>
      <c r="R383" s="14" t="s">
        <v>35</v>
      </c>
      <c r="S383" s="14" t="s">
        <v>38</v>
      </c>
      <c r="T383" s="14" t="s">
        <v>41</v>
      </c>
      <c r="U383" s="14">
        <v>2011</v>
      </c>
      <c r="V383" s="18">
        <f t="shared" si="10"/>
        <v>40587</v>
      </c>
      <c r="W383" s="18" t="str">
        <f t="shared" si="11"/>
        <v>Holiday</v>
      </c>
    </row>
    <row r="384" spans="1:23" x14ac:dyDescent="0.25">
      <c r="A384" s="19">
        <v>382</v>
      </c>
      <c r="B384" s="20">
        <v>40560</v>
      </c>
      <c r="C384" s="18">
        <v>1</v>
      </c>
      <c r="D384" s="18">
        <v>0</v>
      </c>
      <c r="E384" s="18">
        <v>1</v>
      </c>
      <c r="F384" s="18">
        <v>9</v>
      </c>
      <c r="G384" s="18" t="b">
        <v>1</v>
      </c>
      <c r="H384" s="18">
        <v>1</v>
      </c>
      <c r="I384" s="18">
        <v>2</v>
      </c>
      <c r="J384" s="18">
        <v>0.16</v>
      </c>
      <c r="K384">
        <v>0.1515</v>
      </c>
      <c r="L384">
        <v>0.47</v>
      </c>
      <c r="M384" s="18">
        <v>0.22389999999999999</v>
      </c>
      <c r="N384" s="18">
        <v>8</v>
      </c>
      <c r="O384" s="18">
        <v>39</v>
      </c>
      <c r="P384">
        <v>47</v>
      </c>
      <c r="Q384" s="14" t="s">
        <v>34</v>
      </c>
      <c r="R384" s="14" t="s">
        <v>35</v>
      </c>
      <c r="S384" s="14" t="s">
        <v>38</v>
      </c>
      <c r="T384" s="14" t="s">
        <v>41</v>
      </c>
      <c r="U384" s="14">
        <v>2011</v>
      </c>
      <c r="V384" s="18">
        <f t="shared" si="10"/>
        <v>40587</v>
      </c>
      <c r="W384" s="18" t="str">
        <f t="shared" si="11"/>
        <v>Holiday</v>
      </c>
    </row>
    <row r="385" spans="1:23" x14ac:dyDescent="0.25">
      <c r="A385" s="19">
        <v>383</v>
      </c>
      <c r="B385" s="20">
        <v>40560</v>
      </c>
      <c r="C385" s="18">
        <v>1</v>
      </c>
      <c r="D385" s="18">
        <v>0</v>
      </c>
      <c r="E385" s="18">
        <v>1</v>
      </c>
      <c r="F385" s="18">
        <v>10</v>
      </c>
      <c r="G385" s="18" t="b">
        <v>1</v>
      </c>
      <c r="H385" s="18">
        <v>1</v>
      </c>
      <c r="I385" s="18">
        <v>2</v>
      </c>
      <c r="J385" s="18">
        <v>0.16</v>
      </c>
      <c r="K385">
        <v>0.1515</v>
      </c>
      <c r="L385">
        <v>0.5</v>
      </c>
      <c r="M385" s="18">
        <v>0.25369999999999998</v>
      </c>
      <c r="N385" s="18">
        <v>7</v>
      </c>
      <c r="O385" s="18">
        <v>50</v>
      </c>
      <c r="P385">
        <v>57</v>
      </c>
      <c r="Q385" s="14" t="s">
        <v>34</v>
      </c>
      <c r="R385" s="14" t="s">
        <v>35</v>
      </c>
      <c r="S385" s="14" t="s">
        <v>38</v>
      </c>
      <c r="T385" s="14" t="s">
        <v>41</v>
      </c>
      <c r="U385" s="14">
        <v>2011</v>
      </c>
      <c r="V385" s="18">
        <f t="shared" si="10"/>
        <v>40587</v>
      </c>
      <c r="W385" s="18" t="str">
        <f t="shared" si="11"/>
        <v>Holiday</v>
      </c>
    </row>
    <row r="386" spans="1:23" x14ac:dyDescent="0.25">
      <c r="A386" s="19">
        <v>384</v>
      </c>
      <c r="B386" s="20">
        <v>40560</v>
      </c>
      <c r="C386" s="18">
        <v>1</v>
      </c>
      <c r="D386" s="18">
        <v>0</v>
      </c>
      <c r="E386" s="18">
        <v>1</v>
      </c>
      <c r="F386" s="18">
        <v>11</v>
      </c>
      <c r="G386" s="18" t="b">
        <v>1</v>
      </c>
      <c r="H386" s="18">
        <v>1</v>
      </c>
      <c r="I386" s="18">
        <v>2</v>
      </c>
      <c r="J386" s="18">
        <v>0.16</v>
      </c>
      <c r="K386">
        <v>0.1515</v>
      </c>
      <c r="L386">
        <v>0.55000000000000004</v>
      </c>
      <c r="M386" s="18">
        <v>0.19400000000000001</v>
      </c>
      <c r="N386" s="18">
        <v>9</v>
      </c>
      <c r="O386" s="18">
        <v>55</v>
      </c>
      <c r="P386">
        <v>64</v>
      </c>
      <c r="Q386" s="14" t="s">
        <v>34</v>
      </c>
      <c r="R386" s="14" t="s">
        <v>35</v>
      </c>
      <c r="S386" s="14" t="s">
        <v>38</v>
      </c>
      <c r="T386" s="14" t="s">
        <v>41</v>
      </c>
      <c r="U386" s="14">
        <v>2011</v>
      </c>
      <c r="V386" s="18">
        <f t="shared" si="10"/>
        <v>40587</v>
      </c>
      <c r="W386" s="18" t="str">
        <f t="shared" si="11"/>
        <v>Holiday</v>
      </c>
    </row>
    <row r="387" spans="1:23" x14ac:dyDescent="0.25">
      <c r="A387" s="19">
        <v>385</v>
      </c>
      <c r="B387" s="20">
        <v>40560</v>
      </c>
      <c r="C387" s="18">
        <v>1</v>
      </c>
      <c r="D387" s="18">
        <v>0</v>
      </c>
      <c r="E387" s="18">
        <v>1</v>
      </c>
      <c r="F387" s="18">
        <v>12</v>
      </c>
      <c r="G387" s="18" t="b">
        <v>1</v>
      </c>
      <c r="H387" s="18">
        <v>1</v>
      </c>
      <c r="I387" s="18">
        <v>2</v>
      </c>
      <c r="J387" s="18">
        <v>0.18</v>
      </c>
      <c r="K387">
        <v>0.19700000000000001</v>
      </c>
      <c r="L387">
        <v>0.47</v>
      </c>
      <c r="M387" s="18">
        <v>0.1343</v>
      </c>
      <c r="N387" s="18">
        <v>10</v>
      </c>
      <c r="O387" s="18">
        <v>70</v>
      </c>
      <c r="P387">
        <v>80</v>
      </c>
      <c r="Q387" s="14" t="s">
        <v>34</v>
      </c>
      <c r="R387" s="14" t="s">
        <v>35</v>
      </c>
      <c r="S387" s="14" t="s">
        <v>38</v>
      </c>
      <c r="T387" s="14" t="s">
        <v>41</v>
      </c>
      <c r="U387" s="14">
        <v>2011</v>
      </c>
      <c r="V387" s="18">
        <f t="shared" ref="V387:V450" si="12">INDEX(B387:B1385,MATCH(MAX(K387:K1385),K387:K1385,0))</f>
        <v>40587</v>
      </c>
      <c r="W387" s="18" t="str">
        <f t="shared" ref="W387:W450" si="13">IF(G387=TRUE,"Holiday",IF(OR(H387=0,H387=6),"Weedend","Weekday"))</f>
        <v>Holiday</v>
      </c>
    </row>
    <row r="388" spans="1:23" x14ac:dyDescent="0.25">
      <c r="A388" s="19">
        <v>386</v>
      </c>
      <c r="B388" s="20">
        <v>40560</v>
      </c>
      <c r="C388" s="18">
        <v>1</v>
      </c>
      <c r="D388" s="18">
        <v>0</v>
      </c>
      <c r="E388" s="18">
        <v>1</v>
      </c>
      <c r="F388" s="18">
        <v>13</v>
      </c>
      <c r="G388" s="18" t="b">
        <v>1</v>
      </c>
      <c r="H388" s="18">
        <v>1</v>
      </c>
      <c r="I388" s="18">
        <v>2</v>
      </c>
      <c r="J388" s="18">
        <v>0.18</v>
      </c>
      <c r="K388">
        <v>0.19700000000000001</v>
      </c>
      <c r="L388">
        <v>0.47</v>
      </c>
      <c r="M388" s="18">
        <v>0.1343</v>
      </c>
      <c r="N388" s="18">
        <v>13</v>
      </c>
      <c r="O388" s="18">
        <v>80</v>
      </c>
      <c r="P388">
        <v>93</v>
      </c>
      <c r="Q388" s="14" t="s">
        <v>34</v>
      </c>
      <c r="R388" s="14" t="s">
        <v>35</v>
      </c>
      <c r="S388" s="14" t="s">
        <v>38</v>
      </c>
      <c r="T388" s="14" t="s">
        <v>41</v>
      </c>
      <c r="U388" s="14">
        <v>2011</v>
      </c>
      <c r="V388" s="18">
        <f t="shared" si="12"/>
        <v>40587</v>
      </c>
      <c r="W388" s="18" t="str">
        <f t="shared" si="13"/>
        <v>Holiday</v>
      </c>
    </row>
    <row r="389" spans="1:23" x14ac:dyDescent="0.25">
      <c r="A389" s="19">
        <v>387</v>
      </c>
      <c r="B389" s="20">
        <v>40560</v>
      </c>
      <c r="C389" s="18">
        <v>1</v>
      </c>
      <c r="D389" s="18">
        <v>0</v>
      </c>
      <c r="E389" s="18">
        <v>1</v>
      </c>
      <c r="F389" s="18">
        <v>14</v>
      </c>
      <c r="G389" s="18" t="b">
        <v>1</v>
      </c>
      <c r="H389" s="18">
        <v>1</v>
      </c>
      <c r="I389" s="18">
        <v>2</v>
      </c>
      <c r="J389" s="18">
        <v>0.18</v>
      </c>
      <c r="K389">
        <v>0.21210000000000001</v>
      </c>
      <c r="L389">
        <v>0.43</v>
      </c>
      <c r="M389" s="18">
        <v>0.1045</v>
      </c>
      <c r="N389" s="18">
        <v>12</v>
      </c>
      <c r="O389" s="18">
        <v>74</v>
      </c>
      <c r="P389">
        <v>86</v>
      </c>
      <c r="Q389" s="14" t="s">
        <v>34</v>
      </c>
      <c r="R389" s="14" t="s">
        <v>35</v>
      </c>
      <c r="S389" s="14" t="s">
        <v>38</v>
      </c>
      <c r="T389" s="14" t="s">
        <v>41</v>
      </c>
      <c r="U389" s="14">
        <v>2011</v>
      </c>
      <c r="V389" s="18">
        <f t="shared" si="12"/>
        <v>40587</v>
      </c>
      <c r="W389" s="18" t="str">
        <f t="shared" si="13"/>
        <v>Holiday</v>
      </c>
    </row>
    <row r="390" spans="1:23" x14ac:dyDescent="0.25">
      <c r="A390" s="19">
        <v>388</v>
      </c>
      <c r="B390" s="20">
        <v>40560</v>
      </c>
      <c r="C390" s="18">
        <v>1</v>
      </c>
      <c r="D390" s="18">
        <v>0</v>
      </c>
      <c r="E390" s="18">
        <v>1</v>
      </c>
      <c r="F390" s="18">
        <v>15</v>
      </c>
      <c r="G390" s="18" t="b">
        <v>1</v>
      </c>
      <c r="H390" s="18">
        <v>1</v>
      </c>
      <c r="I390" s="18">
        <v>2</v>
      </c>
      <c r="J390" s="18">
        <v>0.2</v>
      </c>
      <c r="K390">
        <v>0.21210000000000001</v>
      </c>
      <c r="L390">
        <v>0.47</v>
      </c>
      <c r="M390" s="18">
        <v>0.16420000000000001</v>
      </c>
      <c r="N390" s="18">
        <v>21</v>
      </c>
      <c r="O390" s="18">
        <v>72</v>
      </c>
      <c r="P390">
        <v>93</v>
      </c>
      <c r="Q390" s="14" t="s">
        <v>34</v>
      </c>
      <c r="R390" s="14" t="s">
        <v>35</v>
      </c>
      <c r="S390" s="14" t="s">
        <v>38</v>
      </c>
      <c r="T390" s="14" t="s">
        <v>41</v>
      </c>
      <c r="U390" s="14">
        <v>2011</v>
      </c>
      <c r="V390" s="18">
        <f t="shared" si="12"/>
        <v>40587</v>
      </c>
      <c r="W390" s="18" t="str">
        <f t="shared" si="13"/>
        <v>Holiday</v>
      </c>
    </row>
    <row r="391" spans="1:23" x14ac:dyDescent="0.25">
      <c r="A391" s="19">
        <v>389</v>
      </c>
      <c r="B391" s="20">
        <v>40560</v>
      </c>
      <c r="C391" s="18">
        <v>1</v>
      </c>
      <c r="D391" s="18">
        <v>0</v>
      </c>
      <c r="E391" s="18">
        <v>1</v>
      </c>
      <c r="F391" s="18">
        <v>16</v>
      </c>
      <c r="G391" s="18" t="b">
        <v>1</v>
      </c>
      <c r="H391" s="18">
        <v>1</v>
      </c>
      <c r="I391" s="18">
        <v>2</v>
      </c>
      <c r="J391" s="18">
        <v>0.2</v>
      </c>
      <c r="K391">
        <v>0.21210000000000001</v>
      </c>
      <c r="L391">
        <v>0.47</v>
      </c>
      <c r="M391" s="18">
        <v>0.16420000000000001</v>
      </c>
      <c r="N391" s="18">
        <v>6</v>
      </c>
      <c r="O391" s="18">
        <v>76</v>
      </c>
      <c r="P391">
        <v>82</v>
      </c>
      <c r="Q391" s="14" t="s">
        <v>34</v>
      </c>
      <c r="R391" s="14" t="s">
        <v>35</v>
      </c>
      <c r="S391" s="14" t="s">
        <v>38</v>
      </c>
      <c r="T391" s="14" t="s">
        <v>41</v>
      </c>
      <c r="U391" s="14">
        <v>2011</v>
      </c>
      <c r="V391" s="18">
        <f t="shared" si="12"/>
        <v>40587</v>
      </c>
      <c r="W391" s="18" t="str">
        <f t="shared" si="13"/>
        <v>Holiday</v>
      </c>
    </row>
    <row r="392" spans="1:23" x14ac:dyDescent="0.25">
      <c r="A392" s="19">
        <v>390</v>
      </c>
      <c r="B392" s="20">
        <v>40560</v>
      </c>
      <c r="C392" s="18">
        <v>1</v>
      </c>
      <c r="D392" s="18">
        <v>0</v>
      </c>
      <c r="E392" s="18">
        <v>1</v>
      </c>
      <c r="F392" s="18">
        <v>17</v>
      </c>
      <c r="G392" s="18" t="b">
        <v>1</v>
      </c>
      <c r="H392" s="18">
        <v>1</v>
      </c>
      <c r="I392" s="18">
        <v>1</v>
      </c>
      <c r="J392" s="18">
        <v>0.2</v>
      </c>
      <c r="K392">
        <v>0.19700000000000001</v>
      </c>
      <c r="L392">
        <v>0.51</v>
      </c>
      <c r="M392" s="18">
        <v>0.19400000000000001</v>
      </c>
      <c r="N392" s="18">
        <v>4</v>
      </c>
      <c r="O392" s="18">
        <v>67</v>
      </c>
      <c r="P392">
        <v>71</v>
      </c>
      <c r="Q392" s="14" t="s">
        <v>34</v>
      </c>
      <c r="R392" s="14" t="s">
        <v>35</v>
      </c>
      <c r="S392" s="14" t="s">
        <v>36</v>
      </c>
      <c r="T392" s="14" t="s">
        <v>41</v>
      </c>
      <c r="U392" s="14">
        <v>2011</v>
      </c>
      <c r="V392" s="18">
        <f t="shared" si="12"/>
        <v>40587</v>
      </c>
      <c r="W392" s="18" t="str">
        <f t="shared" si="13"/>
        <v>Holiday</v>
      </c>
    </row>
    <row r="393" spans="1:23" x14ac:dyDescent="0.25">
      <c r="A393" s="19">
        <v>391</v>
      </c>
      <c r="B393" s="20">
        <v>40560</v>
      </c>
      <c r="C393" s="18">
        <v>1</v>
      </c>
      <c r="D393" s="18">
        <v>0</v>
      </c>
      <c r="E393" s="18">
        <v>1</v>
      </c>
      <c r="F393" s="18">
        <v>18</v>
      </c>
      <c r="G393" s="18" t="b">
        <v>1</v>
      </c>
      <c r="H393" s="18">
        <v>1</v>
      </c>
      <c r="I393" s="18">
        <v>2</v>
      </c>
      <c r="J393" s="18">
        <v>0.18</v>
      </c>
      <c r="K393">
        <v>0.16669999999999999</v>
      </c>
      <c r="L393">
        <v>0.55000000000000004</v>
      </c>
      <c r="M393" s="18">
        <v>0.25369999999999998</v>
      </c>
      <c r="N393" s="18">
        <v>7</v>
      </c>
      <c r="O393" s="18">
        <v>85</v>
      </c>
      <c r="P393">
        <v>92</v>
      </c>
      <c r="Q393" s="14" t="s">
        <v>34</v>
      </c>
      <c r="R393" s="14" t="s">
        <v>35</v>
      </c>
      <c r="S393" s="14" t="s">
        <v>38</v>
      </c>
      <c r="T393" s="14" t="s">
        <v>41</v>
      </c>
      <c r="U393" s="14">
        <v>2011</v>
      </c>
      <c r="V393" s="18">
        <f t="shared" si="12"/>
        <v>40587</v>
      </c>
      <c r="W393" s="18" t="str">
        <f t="shared" si="13"/>
        <v>Holiday</v>
      </c>
    </row>
    <row r="394" spans="1:23" x14ac:dyDescent="0.25">
      <c r="A394" s="19">
        <v>392</v>
      </c>
      <c r="B394" s="20">
        <v>40560</v>
      </c>
      <c r="C394" s="18">
        <v>1</v>
      </c>
      <c r="D394" s="18">
        <v>0</v>
      </c>
      <c r="E394" s="18">
        <v>1</v>
      </c>
      <c r="F394" s="18">
        <v>19</v>
      </c>
      <c r="G394" s="18" t="b">
        <v>1</v>
      </c>
      <c r="H394" s="18">
        <v>1</v>
      </c>
      <c r="I394" s="18">
        <v>3</v>
      </c>
      <c r="J394" s="18">
        <v>0.18</v>
      </c>
      <c r="K394">
        <v>0.18179999999999999</v>
      </c>
      <c r="L394">
        <v>0.59</v>
      </c>
      <c r="M394" s="18">
        <v>0.19400000000000001</v>
      </c>
      <c r="N394" s="18">
        <v>2</v>
      </c>
      <c r="O394" s="18">
        <v>58</v>
      </c>
      <c r="P394">
        <v>60</v>
      </c>
      <c r="Q394" s="14" t="s">
        <v>34</v>
      </c>
      <c r="R394" s="14" t="s">
        <v>35</v>
      </c>
      <c r="S394" s="14" t="s">
        <v>39</v>
      </c>
      <c r="T394" s="14" t="s">
        <v>41</v>
      </c>
      <c r="U394" s="14">
        <v>2011</v>
      </c>
      <c r="V394" s="18">
        <f t="shared" si="12"/>
        <v>40587</v>
      </c>
      <c r="W394" s="18" t="str">
        <f t="shared" si="13"/>
        <v>Holiday</v>
      </c>
    </row>
    <row r="395" spans="1:23" x14ac:dyDescent="0.25">
      <c r="A395" s="19">
        <v>393</v>
      </c>
      <c r="B395" s="20">
        <v>40560</v>
      </c>
      <c r="C395" s="18">
        <v>1</v>
      </c>
      <c r="D395" s="18">
        <v>0</v>
      </c>
      <c r="E395" s="18">
        <v>1</v>
      </c>
      <c r="F395" s="18">
        <v>20</v>
      </c>
      <c r="G395" s="18" t="b">
        <v>1</v>
      </c>
      <c r="H395" s="18">
        <v>1</v>
      </c>
      <c r="I395" s="18">
        <v>3</v>
      </c>
      <c r="J395" s="18">
        <v>0.16</v>
      </c>
      <c r="K395">
        <v>0.1515</v>
      </c>
      <c r="L395">
        <v>0.8</v>
      </c>
      <c r="M395" s="18">
        <v>0.19400000000000001</v>
      </c>
      <c r="N395" s="18">
        <v>4</v>
      </c>
      <c r="O395" s="18">
        <v>29</v>
      </c>
      <c r="P395">
        <v>33</v>
      </c>
      <c r="Q395" s="14" t="s">
        <v>34</v>
      </c>
      <c r="R395" s="14" t="s">
        <v>35</v>
      </c>
      <c r="S395" s="14" t="s">
        <v>39</v>
      </c>
      <c r="T395" s="14" t="s">
        <v>41</v>
      </c>
      <c r="U395" s="14">
        <v>2011</v>
      </c>
      <c r="V395" s="18">
        <f t="shared" si="12"/>
        <v>40587</v>
      </c>
      <c r="W395" s="18" t="str">
        <f t="shared" si="13"/>
        <v>Holiday</v>
      </c>
    </row>
    <row r="396" spans="1:23" x14ac:dyDescent="0.25">
      <c r="A396" s="19">
        <v>394</v>
      </c>
      <c r="B396" s="20">
        <v>40560</v>
      </c>
      <c r="C396" s="18">
        <v>1</v>
      </c>
      <c r="D396" s="18">
        <v>0</v>
      </c>
      <c r="E396" s="18">
        <v>1</v>
      </c>
      <c r="F396" s="18">
        <v>21</v>
      </c>
      <c r="G396" s="18" t="b">
        <v>1</v>
      </c>
      <c r="H396" s="18">
        <v>1</v>
      </c>
      <c r="I396" s="18">
        <v>3</v>
      </c>
      <c r="J396" s="18">
        <v>0.16</v>
      </c>
      <c r="K396">
        <v>0.1515</v>
      </c>
      <c r="L396">
        <v>0.8</v>
      </c>
      <c r="M396" s="18">
        <v>0.19400000000000001</v>
      </c>
      <c r="N396" s="18">
        <v>3</v>
      </c>
      <c r="O396" s="18">
        <v>24</v>
      </c>
      <c r="P396">
        <v>27</v>
      </c>
      <c r="Q396" s="14" t="s">
        <v>34</v>
      </c>
      <c r="R396" s="14" t="s">
        <v>35</v>
      </c>
      <c r="S396" s="14" t="s">
        <v>39</v>
      </c>
      <c r="T396" s="14" t="s">
        <v>41</v>
      </c>
      <c r="U396" s="14">
        <v>2011</v>
      </c>
      <c r="V396" s="18">
        <f t="shared" si="12"/>
        <v>40587</v>
      </c>
      <c r="W396" s="18" t="str">
        <f t="shared" si="13"/>
        <v>Holiday</v>
      </c>
    </row>
    <row r="397" spans="1:23" x14ac:dyDescent="0.25">
      <c r="A397" s="19">
        <v>395</v>
      </c>
      <c r="B397" s="20">
        <v>40560</v>
      </c>
      <c r="C397" s="18">
        <v>1</v>
      </c>
      <c r="D397" s="18">
        <v>0</v>
      </c>
      <c r="E397" s="18">
        <v>1</v>
      </c>
      <c r="F397" s="18">
        <v>22</v>
      </c>
      <c r="G397" s="18" t="b">
        <v>1</v>
      </c>
      <c r="H397" s="18">
        <v>1</v>
      </c>
      <c r="I397" s="18">
        <v>3</v>
      </c>
      <c r="J397" s="18">
        <v>0.14000000000000001</v>
      </c>
      <c r="K397">
        <v>0.1212</v>
      </c>
      <c r="L397">
        <v>0.93</v>
      </c>
      <c r="M397" s="18">
        <v>0.25369999999999998</v>
      </c>
      <c r="N397" s="18">
        <v>0</v>
      </c>
      <c r="O397" s="18">
        <v>13</v>
      </c>
      <c r="P397">
        <v>13</v>
      </c>
      <c r="Q397" s="14" t="s">
        <v>34</v>
      </c>
      <c r="R397" s="14" t="s">
        <v>35</v>
      </c>
      <c r="S397" s="14" t="s">
        <v>39</v>
      </c>
      <c r="T397" s="14" t="s">
        <v>41</v>
      </c>
      <c r="U397" s="14">
        <v>2011</v>
      </c>
      <c r="V397" s="18">
        <f t="shared" si="12"/>
        <v>40587</v>
      </c>
      <c r="W397" s="18" t="str">
        <f t="shared" si="13"/>
        <v>Holiday</v>
      </c>
    </row>
    <row r="398" spans="1:23" x14ac:dyDescent="0.25">
      <c r="A398" s="19">
        <v>396</v>
      </c>
      <c r="B398" s="20">
        <v>40560</v>
      </c>
      <c r="C398" s="18">
        <v>1</v>
      </c>
      <c r="D398" s="18">
        <v>0</v>
      </c>
      <c r="E398" s="18">
        <v>1</v>
      </c>
      <c r="F398" s="18">
        <v>23</v>
      </c>
      <c r="G398" s="18" t="b">
        <v>1</v>
      </c>
      <c r="H398" s="18">
        <v>1</v>
      </c>
      <c r="I398" s="18">
        <v>3</v>
      </c>
      <c r="J398" s="18">
        <v>0.16</v>
      </c>
      <c r="K398">
        <v>0.13639999999999999</v>
      </c>
      <c r="L398">
        <v>0.86</v>
      </c>
      <c r="M398" s="18">
        <v>0.28360000000000002</v>
      </c>
      <c r="N398" s="18">
        <v>1</v>
      </c>
      <c r="O398" s="18">
        <v>3</v>
      </c>
      <c r="P398">
        <v>4</v>
      </c>
      <c r="Q398" s="14" t="s">
        <v>34</v>
      </c>
      <c r="R398" s="14" t="s">
        <v>35</v>
      </c>
      <c r="S398" s="14" t="s">
        <v>39</v>
      </c>
      <c r="T398" s="14" t="s">
        <v>41</v>
      </c>
      <c r="U398" s="14">
        <v>2011</v>
      </c>
      <c r="V398" s="18">
        <f t="shared" si="12"/>
        <v>40587</v>
      </c>
      <c r="W398" s="18" t="str">
        <f t="shared" si="13"/>
        <v>Holiday</v>
      </c>
    </row>
    <row r="399" spans="1:23" x14ac:dyDescent="0.25">
      <c r="A399" s="19">
        <v>397</v>
      </c>
      <c r="B399" s="20">
        <v>40561</v>
      </c>
      <c r="C399" s="18">
        <v>1</v>
      </c>
      <c r="D399" s="18">
        <v>0</v>
      </c>
      <c r="E399" s="18">
        <v>1</v>
      </c>
      <c r="F399" s="18">
        <v>12</v>
      </c>
      <c r="G399" s="18" t="b">
        <v>0</v>
      </c>
      <c r="H399" s="18">
        <v>2</v>
      </c>
      <c r="I399" s="18">
        <v>2</v>
      </c>
      <c r="J399" s="18">
        <v>0.2</v>
      </c>
      <c r="K399">
        <v>0.18179999999999999</v>
      </c>
      <c r="L399">
        <v>0.86</v>
      </c>
      <c r="M399" s="18">
        <v>0.32840000000000003</v>
      </c>
      <c r="N399" s="18">
        <v>0</v>
      </c>
      <c r="O399" s="18">
        <v>3</v>
      </c>
      <c r="P399">
        <v>3</v>
      </c>
      <c r="Q399" s="18" t="s">
        <v>34</v>
      </c>
      <c r="R399" s="18" t="s">
        <v>35</v>
      </c>
      <c r="S399" s="18" t="s">
        <v>38</v>
      </c>
      <c r="T399" s="18" t="s">
        <v>42</v>
      </c>
      <c r="U399" s="18">
        <v>2011</v>
      </c>
      <c r="V399" s="16">
        <f t="shared" si="12"/>
        <v>40587</v>
      </c>
      <c r="W399" s="18" t="str">
        <f t="shared" si="13"/>
        <v>Weekday</v>
      </c>
    </row>
    <row r="400" spans="1:23" x14ac:dyDescent="0.25">
      <c r="A400" s="19">
        <v>398</v>
      </c>
      <c r="B400" s="20">
        <v>40561</v>
      </c>
      <c r="C400" s="18">
        <v>1</v>
      </c>
      <c r="D400" s="18">
        <v>0</v>
      </c>
      <c r="E400" s="18">
        <v>1</v>
      </c>
      <c r="F400" s="18">
        <v>13</v>
      </c>
      <c r="G400" s="18" t="b">
        <v>0</v>
      </c>
      <c r="H400" s="18">
        <v>2</v>
      </c>
      <c r="I400" s="18">
        <v>2</v>
      </c>
      <c r="J400" s="18">
        <v>0.2</v>
      </c>
      <c r="K400">
        <v>0.19700000000000001</v>
      </c>
      <c r="L400">
        <v>0.86</v>
      </c>
      <c r="M400" s="18">
        <v>0.22389999999999999</v>
      </c>
      <c r="N400" s="18">
        <v>0</v>
      </c>
      <c r="O400" s="18">
        <v>22</v>
      </c>
      <c r="P400">
        <v>22</v>
      </c>
      <c r="Q400" s="18" t="s">
        <v>34</v>
      </c>
      <c r="R400" s="18" t="s">
        <v>35</v>
      </c>
      <c r="S400" s="18" t="s">
        <v>38</v>
      </c>
      <c r="T400" s="18" t="s">
        <v>42</v>
      </c>
      <c r="U400" s="18">
        <v>2011</v>
      </c>
      <c r="V400" s="16">
        <f t="shared" si="12"/>
        <v>40587</v>
      </c>
      <c r="W400" s="18" t="str">
        <f t="shared" si="13"/>
        <v>Weekday</v>
      </c>
    </row>
    <row r="401" spans="1:23" x14ac:dyDescent="0.25">
      <c r="A401" s="19">
        <v>399</v>
      </c>
      <c r="B401" s="20">
        <v>40561</v>
      </c>
      <c r="C401" s="18">
        <v>1</v>
      </c>
      <c r="D401" s="18">
        <v>0</v>
      </c>
      <c r="E401" s="18">
        <v>1</v>
      </c>
      <c r="F401" s="18">
        <v>14</v>
      </c>
      <c r="G401" s="18" t="b">
        <v>0</v>
      </c>
      <c r="H401" s="18">
        <v>2</v>
      </c>
      <c r="I401" s="18">
        <v>2</v>
      </c>
      <c r="J401" s="18">
        <v>0.22</v>
      </c>
      <c r="K401">
        <v>0.2273</v>
      </c>
      <c r="L401">
        <v>0.8</v>
      </c>
      <c r="M401" s="18">
        <v>0.16420000000000001</v>
      </c>
      <c r="N401" s="18">
        <v>2</v>
      </c>
      <c r="O401" s="18">
        <v>26</v>
      </c>
      <c r="P401">
        <v>28</v>
      </c>
      <c r="Q401" s="18" t="s">
        <v>34</v>
      </c>
      <c r="R401" s="18" t="s">
        <v>35</v>
      </c>
      <c r="S401" s="18" t="s">
        <v>38</v>
      </c>
      <c r="T401" s="18" t="s">
        <v>42</v>
      </c>
      <c r="U401" s="18">
        <v>2011</v>
      </c>
      <c r="V401" s="16">
        <f t="shared" si="12"/>
        <v>40587</v>
      </c>
      <c r="W401" s="18" t="str">
        <f t="shared" si="13"/>
        <v>Weekday</v>
      </c>
    </row>
    <row r="402" spans="1:23" x14ac:dyDescent="0.25">
      <c r="A402" s="19">
        <v>400</v>
      </c>
      <c r="B402" s="20">
        <v>40561</v>
      </c>
      <c r="C402" s="18">
        <v>1</v>
      </c>
      <c r="D402" s="18">
        <v>0</v>
      </c>
      <c r="E402" s="18">
        <v>1</v>
      </c>
      <c r="F402" s="18">
        <v>15</v>
      </c>
      <c r="G402" s="18" t="b">
        <v>0</v>
      </c>
      <c r="H402" s="18">
        <v>2</v>
      </c>
      <c r="I402" s="18">
        <v>2</v>
      </c>
      <c r="J402" s="18">
        <v>0.22</v>
      </c>
      <c r="K402">
        <v>0.2273</v>
      </c>
      <c r="L402">
        <v>0.87</v>
      </c>
      <c r="M402" s="18">
        <v>0.16420000000000001</v>
      </c>
      <c r="N402" s="18">
        <v>3</v>
      </c>
      <c r="O402" s="18">
        <v>32</v>
      </c>
      <c r="P402">
        <v>35</v>
      </c>
      <c r="Q402" s="18" t="s">
        <v>34</v>
      </c>
      <c r="R402" s="18" t="s">
        <v>35</v>
      </c>
      <c r="S402" s="18" t="s">
        <v>38</v>
      </c>
      <c r="T402" s="18" t="s">
        <v>42</v>
      </c>
      <c r="U402" s="18">
        <v>2011</v>
      </c>
      <c r="V402" s="16">
        <f t="shared" si="12"/>
        <v>40587</v>
      </c>
      <c r="W402" s="18" t="str">
        <f t="shared" si="13"/>
        <v>Weekday</v>
      </c>
    </row>
    <row r="403" spans="1:23" x14ac:dyDescent="0.25">
      <c r="A403" s="19">
        <v>401</v>
      </c>
      <c r="B403" s="20">
        <v>40561</v>
      </c>
      <c r="C403" s="18">
        <v>1</v>
      </c>
      <c r="D403" s="18">
        <v>0</v>
      </c>
      <c r="E403" s="18">
        <v>1</v>
      </c>
      <c r="F403" s="18">
        <v>16</v>
      </c>
      <c r="G403" s="18" t="b">
        <v>0</v>
      </c>
      <c r="H403" s="18">
        <v>2</v>
      </c>
      <c r="I403" s="18">
        <v>2</v>
      </c>
      <c r="J403" s="18">
        <v>0.22</v>
      </c>
      <c r="K403">
        <v>0.2273</v>
      </c>
      <c r="L403">
        <v>0.87</v>
      </c>
      <c r="M403" s="18">
        <v>0.19400000000000001</v>
      </c>
      <c r="N403" s="18">
        <v>0</v>
      </c>
      <c r="O403" s="18">
        <v>61</v>
      </c>
      <c r="P403">
        <v>61</v>
      </c>
      <c r="Q403" s="18" t="s">
        <v>34</v>
      </c>
      <c r="R403" s="18" t="s">
        <v>35</v>
      </c>
      <c r="S403" s="18" t="s">
        <v>38</v>
      </c>
      <c r="T403" s="18" t="s">
        <v>42</v>
      </c>
      <c r="U403" s="18">
        <v>2011</v>
      </c>
      <c r="V403" s="16">
        <f t="shared" si="12"/>
        <v>40587</v>
      </c>
      <c r="W403" s="18" t="str">
        <f t="shared" si="13"/>
        <v>Weekday</v>
      </c>
    </row>
    <row r="404" spans="1:23" x14ac:dyDescent="0.25">
      <c r="A404" s="19">
        <v>402</v>
      </c>
      <c r="B404" s="20">
        <v>40561</v>
      </c>
      <c r="C404" s="18">
        <v>1</v>
      </c>
      <c r="D404" s="18">
        <v>0</v>
      </c>
      <c r="E404" s="18">
        <v>1</v>
      </c>
      <c r="F404" s="18">
        <v>17</v>
      </c>
      <c r="G404" s="18" t="b">
        <v>0</v>
      </c>
      <c r="H404" s="18">
        <v>2</v>
      </c>
      <c r="I404" s="18">
        <v>2</v>
      </c>
      <c r="J404" s="18">
        <v>0.22</v>
      </c>
      <c r="K404">
        <v>0.2273</v>
      </c>
      <c r="L404">
        <v>0.82</v>
      </c>
      <c r="M404" s="18">
        <v>0.19400000000000001</v>
      </c>
      <c r="N404" s="18">
        <v>1</v>
      </c>
      <c r="O404" s="18">
        <v>124</v>
      </c>
      <c r="P404">
        <v>125</v>
      </c>
      <c r="Q404" s="18" t="s">
        <v>34</v>
      </c>
      <c r="R404" s="18" t="s">
        <v>35</v>
      </c>
      <c r="S404" s="18" t="s">
        <v>38</v>
      </c>
      <c r="T404" s="18" t="s">
        <v>42</v>
      </c>
      <c r="U404" s="18">
        <v>2011</v>
      </c>
      <c r="V404" s="16">
        <f t="shared" si="12"/>
        <v>40587</v>
      </c>
      <c r="W404" s="18" t="str">
        <f t="shared" si="13"/>
        <v>Weekday</v>
      </c>
    </row>
    <row r="405" spans="1:23" x14ac:dyDescent="0.25">
      <c r="A405" s="19">
        <v>403</v>
      </c>
      <c r="B405" s="20">
        <v>40561</v>
      </c>
      <c r="C405" s="18">
        <v>1</v>
      </c>
      <c r="D405" s="18">
        <v>0</v>
      </c>
      <c r="E405" s="18">
        <v>1</v>
      </c>
      <c r="F405" s="18">
        <v>18</v>
      </c>
      <c r="G405" s="18" t="b">
        <v>0</v>
      </c>
      <c r="H405" s="18">
        <v>2</v>
      </c>
      <c r="I405" s="18">
        <v>2</v>
      </c>
      <c r="J405" s="18">
        <v>0.22</v>
      </c>
      <c r="K405">
        <v>0.2273</v>
      </c>
      <c r="L405">
        <v>0.8</v>
      </c>
      <c r="M405" s="18">
        <v>0.16420000000000001</v>
      </c>
      <c r="N405" s="18">
        <v>1</v>
      </c>
      <c r="O405" s="18">
        <v>132</v>
      </c>
      <c r="P405">
        <v>133</v>
      </c>
      <c r="Q405" s="18" t="s">
        <v>34</v>
      </c>
      <c r="R405" s="18" t="s">
        <v>35</v>
      </c>
      <c r="S405" s="18" t="s">
        <v>38</v>
      </c>
      <c r="T405" s="18" t="s">
        <v>42</v>
      </c>
      <c r="U405" s="18">
        <v>2011</v>
      </c>
      <c r="V405" s="16">
        <f t="shared" si="12"/>
        <v>40587</v>
      </c>
      <c r="W405" s="18" t="str">
        <f t="shared" si="13"/>
        <v>Weekday</v>
      </c>
    </row>
    <row r="406" spans="1:23" x14ac:dyDescent="0.25">
      <c r="A406" s="19">
        <v>404</v>
      </c>
      <c r="B406" s="20">
        <v>40561</v>
      </c>
      <c r="C406" s="18">
        <v>1</v>
      </c>
      <c r="D406" s="18">
        <v>0</v>
      </c>
      <c r="E406" s="18">
        <v>1</v>
      </c>
      <c r="F406" s="18">
        <v>19</v>
      </c>
      <c r="G406" s="18" t="b">
        <v>0</v>
      </c>
      <c r="H406" s="18">
        <v>2</v>
      </c>
      <c r="I406" s="18">
        <v>2</v>
      </c>
      <c r="J406" s="18">
        <v>0.22</v>
      </c>
      <c r="K406">
        <v>0.2273</v>
      </c>
      <c r="L406">
        <v>0.8</v>
      </c>
      <c r="M406" s="18">
        <v>0.1343</v>
      </c>
      <c r="N406" s="18">
        <v>1</v>
      </c>
      <c r="O406" s="18">
        <v>98</v>
      </c>
      <c r="P406">
        <v>99</v>
      </c>
      <c r="Q406" s="18" t="s">
        <v>34</v>
      </c>
      <c r="R406" s="18" t="s">
        <v>35</v>
      </c>
      <c r="S406" s="18" t="s">
        <v>38</v>
      </c>
      <c r="T406" s="18" t="s">
        <v>42</v>
      </c>
      <c r="U406" s="18">
        <v>2011</v>
      </c>
      <c r="V406" s="16">
        <f t="shared" si="12"/>
        <v>40587</v>
      </c>
      <c r="W406" s="18" t="str">
        <f t="shared" si="13"/>
        <v>Weekday</v>
      </c>
    </row>
    <row r="407" spans="1:23" x14ac:dyDescent="0.25">
      <c r="A407" s="19">
        <v>405</v>
      </c>
      <c r="B407" s="20">
        <v>40561</v>
      </c>
      <c r="C407" s="18">
        <v>1</v>
      </c>
      <c r="D407" s="18">
        <v>0</v>
      </c>
      <c r="E407" s="18">
        <v>1</v>
      </c>
      <c r="F407" s="18">
        <v>20</v>
      </c>
      <c r="G407" s="18" t="b">
        <v>0</v>
      </c>
      <c r="H407" s="18">
        <v>2</v>
      </c>
      <c r="I407" s="18">
        <v>2</v>
      </c>
      <c r="J407" s="18">
        <v>0.22</v>
      </c>
      <c r="K407">
        <v>0.2727</v>
      </c>
      <c r="L407">
        <v>0.87</v>
      </c>
      <c r="M407" s="18">
        <v>0</v>
      </c>
      <c r="N407" s="18">
        <v>0</v>
      </c>
      <c r="O407" s="18">
        <v>83</v>
      </c>
      <c r="P407">
        <v>83</v>
      </c>
      <c r="Q407" s="18" t="s">
        <v>34</v>
      </c>
      <c r="R407" s="18" t="s">
        <v>35</v>
      </c>
      <c r="S407" s="18" t="s">
        <v>38</v>
      </c>
      <c r="T407" s="18" t="s">
        <v>42</v>
      </c>
      <c r="U407" s="18">
        <v>2011</v>
      </c>
      <c r="V407" s="16">
        <f t="shared" si="12"/>
        <v>40587</v>
      </c>
      <c r="W407" s="18" t="str">
        <f t="shared" si="13"/>
        <v>Weekday</v>
      </c>
    </row>
    <row r="408" spans="1:23" x14ac:dyDescent="0.25">
      <c r="A408" s="19">
        <v>406</v>
      </c>
      <c r="B408" s="20">
        <v>40561</v>
      </c>
      <c r="C408" s="18">
        <v>1</v>
      </c>
      <c r="D408" s="18">
        <v>0</v>
      </c>
      <c r="E408" s="18">
        <v>1</v>
      </c>
      <c r="F408" s="18">
        <v>21</v>
      </c>
      <c r="G408" s="18" t="b">
        <v>0</v>
      </c>
      <c r="H408" s="18">
        <v>2</v>
      </c>
      <c r="I408" s="18">
        <v>2</v>
      </c>
      <c r="J408" s="18">
        <v>0.22</v>
      </c>
      <c r="K408">
        <v>0.2424</v>
      </c>
      <c r="L408">
        <v>0.93</v>
      </c>
      <c r="M408" s="18">
        <v>0.1045</v>
      </c>
      <c r="N408" s="18">
        <v>0</v>
      </c>
      <c r="O408" s="18">
        <v>41</v>
      </c>
      <c r="P408">
        <v>41</v>
      </c>
      <c r="Q408" s="18" t="s">
        <v>34</v>
      </c>
      <c r="R408" s="18" t="s">
        <v>35</v>
      </c>
      <c r="S408" s="18" t="s">
        <v>38</v>
      </c>
      <c r="T408" s="18" t="s">
        <v>42</v>
      </c>
      <c r="U408" s="18">
        <v>2011</v>
      </c>
      <c r="V408" s="16">
        <f t="shared" si="12"/>
        <v>40587</v>
      </c>
      <c r="W408" s="18" t="str">
        <f t="shared" si="13"/>
        <v>Weekday</v>
      </c>
    </row>
    <row r="409" spans="1:23" x14ac:dyDescent="0.25">
      <c r="A409" s="19">
        <v>407</v>
      </c>
      <c r="B409" s="20">
        <v>40561</v>
      </c>
      <c r="C409" s="18">
        <v>1</v>
      </c>
      <c r="D409" s="18">
        <v>0</v>
      </c>
      <c r="E409" s="18">
        <v>1</v>
      </c>
      <c r="F409" s="18">
        <v>22</v>
      </c>
      <c r="G409" s="18" t="b">
        <v>0</v>
      </c>
      <c r="H409" s="18">
        <v>2</v>
      </c>
      <c r="I409" s="18">
        <v>2</v>
      </c>
      <c r="J409" s="18">
        <v>0.22</v>
      </c>
      <c r="K409">
        <v>0.2576</v>
      </c>
      <c r="L409">
        <v>0.93</v>
      </c>
      <c r="M409" s="18">
        <v>8.9599999999999999E-2</v>
      </c>
      <c r="N409" s="18">
        <v>0</v>
      </c>
      <c r="O409" s="18">
        <v>33</v>
      </c>
      <c r="P409">
        <v>33</v>
      </c>
      <c r="Q409" s="18" t="s">
        <v>34</v>
      </c>
      <c r="R409" s="18" t="s">
        <v>35</v>
      </c>
      <c r="S409" s="18" t="s">
        <v>38</v>
      </c>
      <c r="T409" s="18" t="s">
        <v>42</v>
      </c>
      <c r="U409" s="18">
        <v>2011</v>
      </c>
      <c r="V409" s="16">
        <f t="shared" si="12"/>
        <v>40587</v>
      </c>
      <c r="W409" s="18" t="str">
        <f t="shared" si="13"/>
        <v>Weekday</v>
      </c>
    </row>
    <row r="410" spans="1:23" x14ac:dyDescent="0.25">
      <c r="A410" s="19">
        <v>408</v>
      </c>
      <c r="B410" s="20">
        <v>40561</v>
      </c>
      <c r="C410" s="18">
        <v>1</v>
      </c>
      <c r="D410" s="18">
        <v>0</v>
      </c>
      <c r="E410" s="18">
        <v>1</v>
      </c>
      <c r="F410" s="18">
        <v>23</v>
      </c>
      <c r="G410" s="18" t="b">
        <v>0</v>
      </c>
      <c r="H410" s="18">
        <v>2</v>
      </c>
      <c r="I410" s="18">
        <v>2</v>
      </c>
      <c r="J410" s="18">
        <v>0.22</v>
      </c>
      <c r="K410">
        <v>0.2727</v>
      </c>
      <c r="L410">
        <v>0.93</v>
      </c>
      <c r="M410" s="18">
        <v>0</v>
      </c>
      <c r="N410" s="18">
        <v>1</v>
      </c>
      <c r="O410" s="18">
        <v>19</v>
      </c>
      <c r="P410">
        <v>20</v>
      </c>
      <c r="Q410" s="18" t="s">
        <v>34</v>
      </c>
      <c r="R410" s="18" t="s">
        <v>35</v>
      </c>
      <c r="S410" s="18" t="s">
        <v>38</v>
      </c>
      <c r="T410" s="18" t="s">
        <v>42</v>
      </c>
      <c r="U410" s="18">
        <v>2011</v>
      </c>
      <c r="V410" s="16">
        <f t="shared" si="12"/>
        <v>40587</v>
      </c>
      <c r="W410" s="18" t="str">
        <f t="shared" si="13"/>
        <v>Weekday</v>
      </c>
    </row>
    <row r="411" spans="1:23" x14ac:dyDescent="0.25">
      <c r="A411" s="19">
        <v>409</v>
      </c>
      <c r="B411" s="20">
        <v>40562</v>
      </c>
      <c r="C411" s="18">
        <v>1</v>
      </c>
      <c r="D411" s="18">
        <v>0</v>
      </c>
      <c r="E411" s="18">
        <v>1</v>
      </c>
      <c r="F411" s="18">
        <v>0</v>
      </c>
      <c r="G411" s="18" t="b">
        <v>0</v>
      </c>
      <c r="H411" s="18">
        <v>3</v>
      </c>
      <c r="I411" s="18">
        <v>2</v>
      </c>
      <c r="J411" s="18">
        <v>0.22</v>
      </c>
      <c r="K411">
        <v>0.2727</v>
      </c>
      <c r="L411">
        <v>0.93</v>
      </c>
      <c r="M411" s="18">
        <v>0</v>
      </c>
      <c r="N411" s="18">
        <v>0</v>
      </c>
      <c r="O411" s="18">
        <v>3</v>
      </c>
      <c r="P411">
        <v>3</v>
      </c>
      <c r="Q411" s="18" t="s">
        <v>34</v>
      </c>
      <c r="R411" s="18" t="s">
        <v>35</v>
      </c>
      <c r="S411" s="18" t="s">
        <v>38</v>
      </c>
      <c r="T411" s="18" t="s">
        <v>43</v>
      </c>
      <c r="U411" s="18">
        <v>2011</v>
      </c>
      <c r="V411" s="16">
        <f t="shared" si="12"/>
        <v>40587</v>
      </c>
      <c r="W411" s="18" t="str">
        <f t="shared" si="13"/>
        <v>Weekday</v>
      </c>
    </row>
    <row r="412" spans="1:23" x14ac:dyDescent="0.25">
      <c r="A412" s="19">
        <v>410</v>
      </c>
      <c r="B412" s="20">
        <v>40562</v>
      </c>
      <c r="C412" s="18">
        <v>1</v>
      </c>
      <c r="D412" s="18">
        <v>0</v>
      </c>
      <c r="E412" s="18">
        <v>1</v>
      </c>
      <c r="F412" s="18">
        <v>1</v>
      </c>
      <c r="G412" s="18" t="b">
        <v>0</v>
      </c>
      <c r="H412" s="18">
        <v>3</v>
      </c>
      <c r="I412" s="18">
        <v>3</v>
      </c>
      <c r="J412" s="18">
        <v>0.22</v>
      </c>
      <c r="K412">
        <v>0.2273</v>
      </c>
      <c r="L412">
        <v>0.93</v>
      </c>
      <c r="M412" s="18">
        <v>0.1343</v>
      </c>
      <c r="N412" s="18">
        <v>1</v>
      </c>
      <c r="O412" s="18">
        <v>6</v>
      </c>
      <c r="P412">
        <v>7</v>
      </c>
      <c r="Q412" s="18" t="s">
        <v>34</v>
      </c>
      <c r="R412" s="18" t="s">
        <v>35</v>
      </c>
      <c r="S412" s="18" t="s">
        <v>39</v>
      </c>
      <c r="T412" s="18" t="s">
        <v>43</v>
      </c>
      <c r="U412" s="18">
        <v>2011</v>
      </c>
      <c r="V412" s="16">
        <f t="shared" si="12"/>
        <v>40587</v>
      </c>
      <c r="W412" s="18" t="str">
        <f t="shared" si="13"/>
        <v>Weekday</v>
      </c>
    </row>
    <row r="413" spans="1:23" x14ac:dyDescent="0.25">
      <c r="A413" s="19">
        <v>411</v>
      </c>
      <c r="B413" s="20">
        <v>40562</v>
      </c>
      <c r="C413" s="18">
        <v>1</v>
      </c>
      <c r="D413" s="18">
        <v>0</v>
      </c>
      <c r="E413" s="18">
        <v>1</v>
      </c>
      <c r="F413" s="18">
        <v>2</v>
      </c>
      <c r="G413" s="18" t="b">
        <v>0</v>
      </c>
      <c r="H413" s="18">
        <v>3</v>
      </c>
      <c r="I413" s="18">
        <v>3</v>
      </c>
      <c r="J413" s="18">
        <v>0.22</v>
      </c>
      <c r="K413">
        <v>0.2273</v>
      </c>
      <c r="L413">
        <v>0.93</v>
      </c>
      <c r="M413" s="18">
        <v>0.1343</v>
      </c>
      <c r="N413" s="18">
        <v>0</v>
      </c>
      <c r="O413" s="18">
        <v>3</v>
      </c>
      <c r="P413">
        <v>3</v>
      </c>
      <c r="Q413" s="18" t="s">
        <v>34</v>
      </c>
      <c r="R413" s="18" t="s">
        <v>35</v>
      </c>
      <c r="S413" s="18" t="s">
        <v>39</v>
      </c>
      <c r="T413" s="18" t="s">
        <v>43</v>
      </c>
      <c r="U413" s="18">
        <v>2011</v>
      </c>
      <c r="V413" s="16">
        <f t="shared" si="12"/>
        <v>40587</v>
      </c>
      <c r="W413" s="18" t="str">
        <f t="shared" si="13"/>
        <v>Weekday</v>
      </c>
    </row>
    <row r="414" spans="1:23" x14ac:dyDescent="0.25">
      <c r="A414" s="19">
        <v>412</v>
      </c>
      <c r="B414" s="20">
        <v>40562</v>
      </c>
      <c r="C414" s="18">
        <v>1</v>
      </c>
      <c r="D414" s="18">
        <v>0</v>
      </c>
      <c r="E414" s="18">
        <v>1</v>
      </c>
      <c r="F414" s="18">
        <v>4</v>
      </c>
      <c r="G414" s="18" t="b">
        <v>0</v>
      </c>
      <c r="H414" s="18">
        <v>3</v>
      </c>
      <c r="I414" s="18">
        <v>3</v>
      </c>
      <c r="J414" s="18">
        <v>0.22</v>
      </c>
      <c r="K414">
        <v>0.2273</v>
      </c>
      <c r="L414">
        <v>0.93</v>
      </c>
      <c r="M414" s="18">
        <v>0.1343</v>
      </c>
      <c r="N414" s="18">
        <v>1</v>
      </c>
      <c r="O414" s="18">
        <v>1</v>
      </c>
      <c r="P414">
        <v>2</v>
      </c>
      <c r="Q414" s="18" t="s">
        <v>34</v>
      </c>
      <c r="R414" s="18" t="s">
        <v>35</v>
      </c>
      <c r="S414" s="18" t="s">
        <v>39</v>
      </c>
      <c r="T414" s="18" t="s">
        <v>43</v>
      </c>
      <c r="U414" s="18">
        <v>2011</v>
      </c>
      <c r="V414" s="16">
        <f t="shared" si="12"/>
        <v>40587</v>
      </c>
      <c r="W414" s="18" t="str">
        <f t="shared" si="13"/>
        <v>Weekday</v>
      </c>
    </row>
    <row r="415" spans="1:23" x14ac:dyDescent="0.25">
      <c r="A415" s="19">
        <v>413</v>
      </c>
      <c r="B415" s="20">
        <v>40562</v>
      </c>
      <c r="C415" s="18">
        <v>1</v>
      </c>
      <c r="D415" s="18">
        <v>0</v>
      </c>
      <c r="E415" s="18">
        <v>1</v>
      </c>
      <c r="F415" s="18">
        <v>5</v>
      </c>
      <c r="G415" s="18" t="b">
        <v>0</v>
      </c>
      <c r="H415" s="18">
        <v>3</v>
      </c>
      <c r="I415" s="18">
        <v>2</v>
      </c>
      <c r="J415" s="18">
        <v>0.22</v>
      </c>
      <c r="K415">
        <v>0.2576</v>
      </c>
      <c r="L415">
        <v>0.93</v>
      </c>
      <c r="M415" s="18">
        <v>8.9599999999999999E-2</v>
      </c>
      <c r="N415" s="18">
        <v>0</v>
      </c>
      <c r="O415" s="18">
        <v>7</v>
      </c>
      <c r="P415">
        <v>7</v>
      </c>
      <c r="Q415" s="18" t="s">
        <v>34</v>
      </c>
      <c r="R415" s="18" t="s">
        <v>35</v>
      </c>
      <c r="S415" s="18" t="s">
        <v>38</v>
      </c>
      <c r="T415" s="18" t="s">
        <v>43</v>
      </c>
      <c r="U415" s="18">
        <v>2011</v>
      </c>
      <c r="V415" s="16">
        <f t="shared" si="12"/>
        <v>40587</v>
      </c>
      <c r="W415" s="18" t="str">
        <f t="shared" si="13"/>
        <v>Weekday</v>
      </c>
    </row>
    <row r="416" spans="1:23" x14ac:dyDescent="0.25">
      <c r="A416" s="19">
        <v>414</v>
      </c>
      <c r="B416" s="20">
        <v>40562</v>
      </c>
      <c r="C416" s="18">
        <v>1</v>
      </c>
      <c r="D416" s="18">
        <v>0</v>
      </c>
      <c r="E416" s="18">
        <v>1</v>
      </c>
      <c r="F416" s="18">
        <v>6</v>
      </c>
      <c r="G416" s="18" t="b">
        <v>0</v>
      </c>
      <c r="H416" s="18">
        <v>3</v>
      </c>
      <c r="I416" s="18">
        <v>2</v>
      </c>
      <c r="J416" s="18">
        <v>0.22</v>
      </c>
      <c r="K416">
        <v>0.2576</v>
      </c>
      <c r="L416">
        <v>0.93</v>
      </c>
      <c r="M416" s="18">
        <v>8.9599999999999999E-2</v>
      </c>
      <c r="N416" s="18">
        <v>0</v>
      </c>
      <c r="O416" s="18">
        <v>32</v>
      </c>
      <c r="P416">
        <v>32</v>
      </c>
      <c r="Q416" s="18" t="s">
        <v>34</v>
      </c>
      <c r="R416" s="18" t="s">
        <v>35</v>
      </c>
      <c r="S416" s="18" t="s">
        <v>38</v>
      </c>
      <c r="T416" s="18" t="s">
        <v>43</v>
      </c>
      <c r="U416" s="18">
        <v>2011</v>
      </c>
      <c r="V416" s="16">
        <f t="shared" si="12"/>
        <v>40587</v>
      </c>
      <c r="W416" s="18" t="str">
        <f t="shared" si="13"/>
        <v>Weekday</v>
      </c>
    </row>
    <row r="417" spans="1:23" x14ac:dyDescent="0.25">
      <c r="A417" s="19">
        <v>415</v>
      </c>
      <c r="B417" s="20">
        <v>40562</v>
      </c>
      <c r="C417" s="18">
        <v>1</v>
      </c>
      <c r="D417" s="18">
        <v>0</v>
      </c>
      <c r="E417" s="18">
        <v>1</v>
      </c>
      <c r="F417" s="18">
        <v>7</v>
      </c>
      <c r="G417" s="18" t="b">
        <v>0</v>
      </c>
      <c r="H417" s="18">
        <v>3</v>
      </c>
      <c r="I417" s="18">
        <v>2</v>
      </c>
      <c r="J417" s="18">
        <v>0.24</v>
      </c>
      <c r="K417">
        <v>0.2576</v>
      </c>
      <c r="L417">
        <v>0.92</v>
      </c>
      <c r="M417" s="18">
        <v>0.1045</v>
      </c>
      <c r="N417" s="18">
        <v>1</v>
      </c>
      <c r="O417" s="18">
        <v>89</v>
      </c>
      <c r="P417">
        <v>90</v>
      </c>
      <c r="Q417" s="18" t="s">
        <v>34</v>
      </c>
      <c r="R417" s="18" t="s">
        <v>35</v>
      </c>
      <c r="S417" s="18" t="s">
        <v>38</v>
      </c>
      <c r="T417" s="18" t="s">
        <v>43</v>
      </c>
      <c r="U417" s="18">
        <v>2011</v>
      </c>
      <c r="V417" s="16">
        <f t="shared" si="12"/>
        <v>40587</v>
      </c>
      <c r="W417" s="18" t="str">
        <f t="shared" si="13"/>
        <v>Weekday</v>
      </c>
    </row>
    <row r="418" spans="1:23" x14ac:dyDescent="0.25">
      <c r="A418" s="19">
        <v>416</v>
      </c>
      <c r="B418" s="20">
        <v>40562</v>
      </c>
      <c r="C418" s="18">
        <v>1</v>
      </c>
      <c r="D418" s="18">
        <v>0</v>
      </c>
      <c r="E418" s="18">
        <v>1</v>
      </c>
      <c r="F418" s="18">
        <v>8</v>
      </c>
      <c r="G418" s="18" t="b">
        <v>0</v>
      </c>
      <c r="H418" s="18">
        <v>3</v>
      </c>
      <c r="I418" s="18">
        <v>2</v>
      </c>
      <c r="J418" s="18">
        <v>0.24</v>
      </c>
      <c r="K418">
        <v>0.2576</v>
      </c>
      <c r="L418">
        <v>0.93</v>
      </c>
      <c r="M418" s="18">
        <v>0.1045</v>
      </c>
      <c r="N418" s="18">
        <v>1</v>
      </c>
      <c r="O418" s="18">
        <v>196</v>
      </c>
      <c r="P418">
        <v>197</v>
      </c>
      <c r="Q418" s="18" t="s">
        <v>34</v>
      </c>
      <c r="R418" s="18" t="s">
        <v>35</v>
      </c>
      <c r="S418" s="18" t="s">
        <v>38</v>
      </c>
      <c r="T418" s="18" t="s">
        <v>43</v>
      </c>
      <c r="U418" s="18">
        <v>2011</v>
      </c>
      <c r="V418" s="16">
        <f t="shared" si="12"/>
        <v>40587</v>
      </c>
      <c r="W418" s="18" t="str">
        <f t="shared" si="13"/>
        <v>Weekday</v>
      </c>
    </row>
    <row r="419" spans="1:23" x14ac:dyDescent="0.25">
      <c r="A419" s="19">
        <v>417</v>
      </c>
      <c r="B419" s="20">
        <v>40562</v>
      </c>
      <c r="C419" s="18">
        <v>1</v>
      </c>
      <c r="D419" s="18">
        <v>0</v>
      </c>
      <c r="E419" s="18">
        <v>1</v>
      </c>
      <c r="F419" s="18">
        <v>9</v>
      </c>
      <c r="G419" s="18" t="b">
        <v>0</v>
      </c>
      <c r="H419" s="18">
        <v>3</v>
      </c>
      <c r="I419" s="18">
        <v>2</v>
      </c>
      <c r="J419" s="18">
        <v>0.24</v>
      </c>
      <c r="K419">
        <v>0.2576</v>
      </c>
      <c r="L419">
        <v>0.93</v>
      </c>
      <c r="M419" s="18">
        <v>0.1045</v>
      </c>
      <c r="N419" s="18">
        <v>2</v>
      </c>
      <c r="O419" s="18">
        <v>107</v>
      </c>
      <c r="P419">
        <v>109</v>
      </c>
      <c r="Q419" s="18" t="s">
        <v>34</v>
      </c>
      <c r="R419" s="18" t="s">
        <v>35</v>
      </c>
      <c r="S419" s="18" t="s">
        <v>38</v>
      </c>
      <c r="T419" s="18" t="s">
        <v>43</v>
      </c>
      <c r="U419" s="18">
        <v>2011</v>
      </c>
      <c r="V419" s="16">
        <f t="shared" si="12"/>
        <v>40587</v>
      </c>
      <c r="W419" s="18" t="str">
        <f t="shared" si="13"/>
        <v>Weekday</v>
      </c>
    </row>
    <row r="420" spans="1:23" x14ac:dyDescent="0.25">
      <c r="A420" s="19">
        <v>418</v>
      </c>
      <c r="B420" s="20">
        <v>40562</v>
      </c>
      <c r="C420" s="18">
        <v>1</v>
      </c>
      <c r="D420" s="18">
        <v>0</v>
      </c>
      <c r="E420" s="18">
        <v>1</v>
      </c>
      <c r="F420" s="18">
        <v>10</v>
      </c>
      <c r="G420" s="18" t="b">
        <v>0</v>
      </c>
      <c r="H420" s="18">
        <v>3</v>
      </c>
      <c r="I420" s="18">
        <v>2</v>
      </c>
      <c r="J420" s="18">
        <v>0.26</v>
      </c>
      <c r="K420">
        <v>0.2727</v>
      </c>
      <c r="L420">
        <v>0.93</v>
      </c>
      <c r="M420" s="18">
        <v>0.1343</v>
      </c>
      <c r="N420" s="18">
        <v>1</v>
      </c>
      <c r="O420" s="18">
        <v>46</v>
      </c>
      <c r="P420">
        <v>47</v>
      </c>
      <c r="Q420" s="18" t="s">
        <v>34</v>
      </c>
      <c r="R420" s="18" t="s">
        <v>35</v>
      </c>
      <c r="S420" s="18" t="s">
        <v>38</v>
      </c>
      <c r="T420" s="18" t="s">
        <v>43</v>
      </c>
      <c r="U420" s="18">
        <v>2011</v>
      </c>
      <c r="V420" s="16">
        <f t="shared" si="12"/>
        <v>40587</v>
      </c>
      <c r="W420" s="18" t="str">
        <f t="shared" si="13"/>
        <v>Weekday</v>
      </c>
    </row>
    <row r="421" spans="1:23" x14ac:dyDescent="0.25">
      <c r="A421" s="19">
        <v>419</v>
      </c>
      <c r="B421" s="20">
        <v>40562</v>
      </c>
      <c r="C421" s="18">
        <v>1</v>
      </c>
      <c r="D421" s="18">
        <v>0</v>
      </c>
      <c r="E421" s="18">
        <v>1</v>
      </c>
      <c r="F421" s="18">
        <v>11</v>
      </c>
      <c r="G421" s="18" t="b">
        <v>0</v>
      </c>
      <c r="H421" s="18">
        <v>3</v>
      </c>
      <c r="I421" s="18">
        <v>2</v>
      </c>
      <c r="J421" s="18">
        <v>0.28000000000000003</v>
      </c>
      <c r="K421">
        <v>0.30299999999999999</v>
      </c>
      <c r="L421">
        <v>0.87</v>
      </c>
      <c r="M421" s="18">
        <v>8.9599999999999999E-2</v>
      </c>
      <c r="N421" s="18">
        <v>5</v>
      </c>
      <c r="O421" s="18">
        <v>47</v>
      </c>
      <c r="P421">
        <v>52</v>
      </c>
      <c r="Q421" s="18" t="s">
        <v>34</v>
      </c>
      <c r="R421" s="18" t="s">
        <v>35</v>
      </c>
      <c r="S421" s="18" t="s">
        <v>38</v>
      </c>
      <c r="T421" s="18" t="s">
        <v>43</v>
      </c>
      <c r="U421" s="18">
        <v>2011</v>
      </c>
      <c r="V421" s="16">
        <f t="shared" si="12"/>
        <v>40587</v>
      </c>
      <c r="W421" s="18" t="str">
        <f t="shared" si="13"/>
        <v>Weekday</v>
      </c>
    </row>
    <row r="422" spans="1:23" x14ac:dyDescent="0.25">
      <c r="A422" s="19">
        <v>420</v>
      </c>
      <c r="B422" s="20">
        <v>40562</v>
      </c>
      <c r="C422" s="18">
        <v>1</v>
      </c>
      <c r="D422" s="18">
        <v>0</v>
      </c>
      <c r="E422" s="18">
        <v>1</v>
      </c>
      <c r="F422" s="18">
        <v>12</v>
      </c>
      <c r="G422" s="18" t="b">
        <v>0</v>
      </c>
      <c r="H422" s="18">
        <v>3</v>
      </c>
      <c r="I422" s="18">
        <v>2</v>
      </c>
      <c r="J422" s="18">
        <v>0.3</v>
      </c>
      <c r="K422">
        <v>0.31819999999999998</v>
      </c>
      <c r="L422">
        <v>0.81</v>
      </c>
      <c r="M422" s="18">
        <v>8.9599999999999999E-2</v>
      </c>
      <c r="N422" s="18">
        <v>5</v>
      </c>
      <c r="O422" s="18">
        <v>65</v>
      </c>
      <c r="P422">
        <v>70</v>
      </c>
      <c r="Q422" s="18" t="s">
        <v>34</v>
      </c>
      <c r="R422" s="18" t="s">
        <v>35</v>
      </c>
      <c r="S422" s="18" t="s">
        <v>38</v>
      </c>
      <c r="T422" s="18" t="s">
        <v>43</v>
      </c>
      <c r="U422" s="18">
        <v>2011</v>
      </c>
      <c r="V422" s="16">
        <f t="shared" si="12"/>
        <v>40587</v>
      </c>
      <c r="W422" s="18" t="str">
        <f t="shared" si="13"/>
        <v>Weekday</v>
      </c>
    </row>
    <row r="423" spans="1:23" x14ac:dyDescent="0.25">
      <c r="A423" s="19">
        <v>421</v>
      </c>
      <c r="B423" s="20">
        <v>40562</v>
      </c>
      <c r="C423" s="18">
        <v>1</v>
      </c>
      <c r="D423" s="18">
        <v>0</v>
      </c>
      <c r="E423" s="18">
        <v>1</v>
      </c>
      <c r="F423" s="18">
        <v>13</v>
      </c>
      <c r="G423" s="18" t="b">
        <v>0</v>
      </c>
      <c r="H423" s="18">
        <v>3</v>
      </c>
      <c r="I423" s="18">
        <v>1</v>
      </c>
      <c r="J423" s="18">
        <v>0.4</v>
      </c>
      <c r="K423">
        <v>0.40910000000000002</v>
      </c>
      <c r="L423">
        <v>0.62</v>
      </c>
      <c r="M423" s="18">
        <v>0.28360000000000002</v>
      </c>
      <c r="N423" s="18">
        <v>11</v>
      </c>
      <c r="O423" s="18">
        <v>67</v>
      </c>
      <c r="P423">
        <v>78</v>
      </c>
      <c r="Q423" s="18" t="s">
        <v>34</v>
      </c>
      <c r="R423" s="18" t="s">
        <v>35</v>
      </c>
      <c r="S423" s="18" t="s">
        <v>36</v>
      </c>
      <c r="T423" s="18" t="s">
        <v>43</v>
      </c>
      <c r="U423" s="18">
        <v>2011</v>
      </c>
      <c r="V423" s="16">
        <f t="shared" si="12"/>
        <v>40587</v>
      </c>
      <c r="W423" s="18" t="str">
        <f t="shared" si="13"/>
        <v>Weekday</v>
      </c>
    </row>
    <row r="424" spans="1:23" x14ac:dyDescent="0.25">
      <c r="A424" s="19">
        <v>422</v>
      </c>
      <c r="B424" s="20">
        <v>40562</v>
      </c>
      <c r="C424" s="18">
        <v>1</v>
      </c>
      <c r="D424" s="18">
        <v>0</v>
      </c>
      <c r="E424" s="18">
        <v>1</v>
      </c>
      <c r="F424" s="18">
        <v>14</v>
      </c>
      <c r="G424" s="18" t="b">
        <v>0</v>
      </c>
      <c r="H424" s="18">
        <v>3</v>
      </c>
      <c r="I424" s="18">
        <v>1</v>
      </c>
      <c r="J424" s="18">
        <v>0.4</v>
      </c>
      <c r="K424">
        <v>0.40910000000000002</v>
      </c>
      <c r="L424">
        <v>0.57999999999999996</v>
      </c>
      <c r="M424" s="18">
        <v>0.25369999999999998</v>
      </c>
      <c r="N424" s="18">
        <v>7</v>
      </c>
      <c r="O424" s="18">
        <v>68</v>
      </c>
      <c r="P424">
        <v>75</v>
      </c>
      <c r="Q424" s="18" t="s">
        <v>34</v>
      </c>
      <c r="R424" s="18" t="s">
        <v>35</v>
      </c>
      <c r="S424" s="18" t="s">
        <v>36</v>
      </c>
      <c r="T424" s="18" t="s">
        <v>43</v>
      </c>
      <c r="U424" s="18">
        <v>2011</v>
      </c>
      <c r="V424" s="16">
        <f t="shared" si="12"/>
        <v>40587</v>
      </c>
      <c r="W424" s="18" t="str">
        <f t="shared" si="13"/>
        <v>Weekday</v>
      </c>
    </row>
    <row r="425" spans="1:23" x14ac:dyDescent="0.25">
      <c r="A425" s="19">
        <v>423</v>
      </c>
      <c r="B425" s="20">
        <v>40562</v>
      </c>
      <c r="C425" s="18">
        <v>1</v>
      </c>
      <c r="D425" s="18">
        <v>0</v>
      </c>
      <c r="E425" s="18">
        <v>1</v>
      </c>
      <c r="F425" s="18">
        <v>15</v>
      </c>
      <c r="G425" s="18" t="b">
        <v>0</v>
      </c>
      <c r="H425" s="18">
        <v>3</v>
      </c>
      <c r="I425" s="18">
        <v>1</v>
      </c>
      <c r="J425" s="18">
        <v>0.4</v>
      </c>
      <c r="K425">
        <v>0.40910000000000002</v>
      </c>
      <c r="L425">
        <v>0.54</v>
      </c>
      <c r="M425" s="18">
        <v>0.28360000000000002</v>
      </c>
      <c r="N425" s="18">
        <v>4</v>
      </c>
      <c r="O425" s="18">
        <v>78</v>
      </c>
      <c r="P425">
        <v>82</v>
      </c>
      <c r="Q425" s="18" t="s">
        <v>34</v>
      </c>
      <c r="R425" s="18" t="s">
        <v>35</v>
      </c>
      <c r="S425" s="18" t="s">
        <v>36</v>
      </c>
      <c r="T425" s="18" t="s">
        <v>43</v>
      </c>
      <c r="U425" s="18">
        <v>2011</v>
      </c>
      <c r="V425" s="16">
        <f t="shared" si="12"/>
        <v>40587</v>
      </c>
      <c r="W425" s="18" t="str">
        <f t="shared" si="13"/>
        <v>Weekday</v>
      </c>
    </row>
    <row r="426" spans="1:23" x14ac:dyDescent="0.25">
      <c r="A426" s="19">
        <v>424</v>
      </c>
      <c r="B426" s="20">
        <v>40562</v>
      </c>
      <c r="C426" s="18">
        <v>1</v>
      </c>
      <c r="D426" s="18">
        <v>0</v>
      </c>
      <c r="E426" s="18">
        <v>1</v>
      </c>
      <c r="F426" s="18">
        <v>16</v>
      </c>
      <c r="G426" s="18" t="b">
        <v>0</v>
      </c>
      <c r="H426" s="18">
        <v>3</v>
      </c>
      <c r="I426" s="18">
        <v>1</v>
      </c>
      <c r="J426" s="18">
        <v>0.38</v>
      </c>
      <c r="K426">
        <v>0.39389999999999997</v>
      </c>
      <c r="L426">
        <v>0.57999999999999996</v>
      </c>
      <c r="M426" s="18">
        <v>0.3881</v>
      </c>
      <c r="N426" s="18">
        <v>10</v>
      </c>
      <c r="O426" s="18">
        <v>94</v>
      </c>
      <c r="P426">
        <v>104</v>
      </c>
      <c r="Q426" s="18" t="s">
        <v>34</v>
      </c>
      <c r="R426" s="18" t="s">
        <v>35</v>
      </c>
      <c r="S426" s="18" t="s">
        <v>36</v>
      </c>
      <c r="T426" s="18" t="s">
        <v>43</v>
      </c>
      <c r="U426" s="18">
        <v>2011</v>
      </c>
      <c r="V426" s="16">
        <f t="shared" si="12"/>
        <v>40587</v>
      </c>
      <c r="W426" s="18" t="str">
        <f t="shared" si="13"/>
        <v>Weekday</v>
      </c>
    </row>
    <row r="427" spans="1:23" x14ac:dyDescent="0.25">
      <c r="A427" s="19">
        <v>425</v>
      </c>
      <c r="B427" s="20">
        <v>40562</v>
      </c>
      <c r="C427" s="18">
        <v>1</v>
      </c>
      <c r="D427" s="18">
        <v>0</v>
      </c>
      <c r="E427" s="18">
        <v>1</v>
      </c>
      <c r="F427" s="18">
        <v>17</v>
      </c>
      <c r="G427" s="18" t="b">
        <v>0</v>
      </c>
      <c r="H427" s="18">
        <v>3</v>
      </c>
      <c r="I427" s="18">
        <v>1</v>
      </c>
      <c r="J427" s="18">
        <v>0.36</v>
      </c>
      <c r="K427">
        <v>0.33329999999999999</v>
      </c>
      <c r="L427">
        <v>0.56999999999999995</v>
      </c>
      <c r="M427" s="18">
        <v>0.32840000000000003</v>
      </c>
      <c r="N427" s="18">
        <v>7</v>
      </c>
      <c r="O427" s="18">
        <v>190</v>
      </c>
      <c r="P427">
        <v>197</v>
      </c>
      <c r="Q427" s="18" t="s">
        <v>34</v>
      </c>
      <c r="R427" s="18" t="s">
        <v>35</v>
      </c>
      <c r="S427" s="18" t="s">
        <v>36</v>
      </c>
      <c r="T427" s="18" t="s">
        <v>43</v>
      </c>
      <c r="U427" s="18">
        <v>2011</v>
      </c>
      <c r="V427" s="16">
        <f t="shared" si="12"/>
        <v>40587</v>
      </c>
      <c r="W427" s="18" t="str">
        <f t="shared" si="13"/>
        <v>Weekday</v>
      </c>
    </row>
    <row r="428" spans="1:23" x14ac:dyDescent="0.25">
      <c r="A428" s="19">
        <v>426</v>
      </c>
      <c r="B428" s="20">
        <v>40562</v>
      </c>
      <c r="C428" s="18">
        <v>1</v>
      </c>
      <c r="D428" s="18">
        <v>0</v>
      </c>
      <c r="E428" s="18">
        <v>1</v>
      </c>
      <c r="F428" s="18">
        <v>18</v>
      </c>
      <c r="G428" s="18" t="b">
        <v>0</v>
      </c>
      <c r="H428" s="18">
        <v>3</v>
      </c>
      <c r="I428" s="18">
        <v>1</v>
      </c>
      <c r="J428" s="18">
        <v>0.34</v>
      </c>
      <c r="K428">
        <v>0.31819999999999998</v>
      </c>
      <c r="L428">
        <v>0.61</v>
      </c>
      <c r="M428" s="18">
        <v>0.28360000000000002</v>
      </c>
      <c r="N428" s="18">
        <v>5</v>
      </c>
      <c r="O428" s="18">
        <v>156</v>
      </c>
      <c r="P428">
        <v>161</v>
      </c>
      <c r="Q428" s="18" t="s">
        <v>34</v>
      </c>
      <c r="R428" s="18" t="s">
        <v>35</v>
      </c>
      <c r="S428" s="18" t="s">
        <v>36</v>
      </c>
      <c r="T428" s="18" t="s">
        <v>43</v>
      </c>
      <c r="U428" s="18">
        <v>2011</v>
      </c>
      <c r="V428" s="16">
        <f t="shared" si="12"/>
        <v>40587</v>
      </c>
      <c r="W428" s="18" t="str">
        <f t="shared" si="13"/>
        <v>Weekday</v>
      </c>
    </row>
    <row r="429" spans="1:23" x14ac:dyDescent="0.25">
      <c r="A429" s="19">
        <v>427</v>
      </c>
      <c r="B429" s="20">
        <v>40562</v>
      </c>
      <c r="C429" s="18">
        <v>1</v>
      </c>
      <c r="D429" s="18">
        <v>0</v>
      </c>
      <c r="E429" s="18">
        <v>1</v>
      </c>
      <c r="F429" s="18">
        <v>19</v>
      </c>
      <c r="G429" s="18" t="b">
        <v>0</v>
      </c>
      <c r="H429" s="18">
        <v>3</v>
      </c>
      <c r="I429" s="18">
        <v>1</v>
      </c>
      <c r="J429" s="18">
        <v>0.32</v>
      </c>
      <c r="K429">
        <v>0.28789999999999999</v>
      </c>
      <c r="L429">
        <v>0.56999999999999995</v>
      </c>
      <c r="M429" s="18">
        <v>0.41789999999999999</v>
      </c>
      <c r="N429" s="18">
        <v>4</v>
      </c>
      <c r="O429" s="18">
        <v>108</v>
      </c>
      <c r="P429">
        <v>112</v>
      </c>
      <c r="Q429" s="18" t="s">
        <v>34</v>
      </c>
      <c r="R429" s="18" t="s">
        <v>35</v>
      </c>
      <c r="S429" s="18" t="s">
        <v>36</v>
      </c>
      <c r="T429" s="18" t="s">
        <v>43</v>
      </c>
      <c r="U429" s="18">
        <v>2011</v>
      </c>
      <c r="V429" s="16">
        <f t="shared" si="12"/>
        <v>40587</v>
      </c>
      <c r="W429" s="18" t="str">
        <f t="shared" si="13"/>
        <v>Weekday</v>
      </c>
    </row>
    <row r="430" spans="1:23" x14ac:dyDescent="0.25">
      <c r="A430" s="19">
        <v>428</v>
      </c>
      <c r="B430" s="20">
        <v>40562</v>
      </c>
      <c r="C430" s="18">
        <v>1</v>
      </c>
      <c r="D430" s="18">
        <v>0</v>
      </c>
      <c r="E430" s="18">
        <v>1</v>
      </c>
      <c r="F430" s="18">
        <v>20</v>
      </c>
      <c r="G430" s="18" t="b">
        <v>0</v>
      </c>
      <c r="H430" s="18">
        <v>3</v>
      </c>
      <c r="I430" s="18">
        <v>1</v>
      </c>
      <c r="J430" s="18">
        <v>0.32</v>
      </c>
      <c r="K430">
        <v>0.30299999999999999</v>
      </c>
      <c r="L430">
        <v>0.49</v>
      </c>
      <c r="M430" s="18">
        <v>0.29849999999999999</v>
      </c>
      <c r="N430" s="18">
        <v>2</v>
      </c>
      <c r="O430" s="18">
        <v>74</v>
      </c>
      <c r="P430">
        <v>76</v>
      </c>
      <c r="Q430" s="18" t="s">
        <v>34</v>
      </c>
      <c r="R430" s="18" t="s">
        <v>35</v>
      </c>
      <c r="S430" s="18" t="s">
        <v>36</v>
      </c>
      <c r="T430" s="18" t="s">
        <v>43</v>
      </c>
      <c r="U430" s="18">
        <v>2011</v>
      </c>
      <c r="V430" s="16">
        <f t="shared" si="12"/>
        <v>40587</v>
      </c>
      <c r="W430" s="18" t="str">
        <f t="shared" si="13"/>
        <v>Weekday</v>
      </c>
    </row>
    <row r="431" spans="1:23" x14ac:dyDescent="0.25">
      <c r="A431" s="19">
        <v>429</v>
      </c>
      <c r="B431" s="20">
        <v>40562</v>
      </c>
      <c r="C431" s="18">
        <v>1</v>
      </c>
      <c r="D431" s="18">
        <v>0</v>
      </c>
      <c r="E431" s="18">
        <v>1</v>
      </c>
      <c r="F431" s="18">
        <v>21</v>
      </c>
      <c r="G431" s="18" t="b">
        <v>0</v>
      </c>
      <c r="H431" s="18">
        <v>3</v>
      </c>
      <c r="I431" s="18">
        <v>1</v>
      </c>
      <c r="J431" s="18">
        <v>0.32</v>
      </c>
      <c r="K431">
        <v>0.28789999999999999</v>
      </c>
      <c r="L431">
        <v>0.49</v>
      </c>
      <c r="M431" s="18">
        <v>0.41789999999999999</v>
      </c>
      <c r="N431" s="18">
        <v>4</v>
      </c>
      <c r="O431" s="18">
        <v>55</v>
      </c>
      <c r="P431">
        <v>59</v>
      </c>
      <c r="Q431" s="18" t="s">
        <v>34</v>
      </c>
      <c r="R431" s="18" t="s">
        <v>35</v>
      </c>
      <c r="S431" s="18" t="s">
        <v>36</v>
      </c>
      <c r="T431" s="18" t="s">
        <v>43</v>
      </c>
      <c r="U431" s="18">
        <v>2011</v>
      </c>
      <c r="V431" s="16">
        <f t="shared" si="12"/>
        <v>40587</v>
      </c>
      <c r="W431" s="18" t="str">
        <f t="shared" si="13"/>
        <v>Weekday</v>
      </c>
    </row>
    <row r="432" spans="1:23" x14ac:dyDescent="0.25">
      <c r="A432" s="19">
        <v>430</v>
      </c>
      <c r="B432" s="20">
        <v>40562</v>
      </c>
      <c r="C432" s="18">
        <v>1</v>
      </c>
      <c r="D432" s="18">
        <v>0</v>
      </c>
      <c r="E432" s="18">
        <v>1</v>
      </c>
      <c r="F432" s="18">
        <v>22</v>
      </c>
      <c r="G432" s="18" t="b">
        <v>0</v>
      </c>
      <c r="H432" s="18">
        <v>3</v>
      </c>
      <c r="I432" s="18">
        <v>1</v>
      </c>
      <c r="J432" s="18">
        <v>0.3</v>
      </c>
      <c r="K432">
        <v>0.30299999999999999</v>
      </c>
      <c r="L432">
        <v>0.52</v>
      </c>
      <c r="M432" s="18">
        <v>0.16420000000000001</v>
      </c>
      <c r="N432" s="18">
        <v>6</v>
      </c>
      <c r="O432" s="18">
        <v>53</v>
      </c>
      <c r="P432">
        <v>59</v>
      </c>
      <c r="Q432" s="18" t="s">
        <v>34</v>
      </c>
      <c r="R432" s="18" t="s">
        <v>35</v>
      </c>
      <c r="S432" s="18" t="s">
        <v>36</v>
      </c>
      <c r="T432" s="18" t="s">
        <v>43</v>
      </c>
      <c r="U432" s="18">
        <v>2011</v>
      </c>
      <c r="V432" s="16">
        <f t="shared" si="12"/>
        <v>40587</v>
      </c>
      <c r="W432" s="18" t="str">
        <f t="shared" si="13"/>
        <v>Weekday</v>
      </c>
    </row>
    <row r="433" spans="1:23" x14ac:dyDescent="0.25">
      <c r="A433" s="19">
        <v>431</v>
      </c>
      <c r="B433" s="20">
        <v>40562</v>
      </c>
      <c r="C433" s="18">
        <v>1</v>
      </c>
      <c r="D433" s="18">
        <v>0</v>
      </c>
      <c r="E433" s="18">
        <v>1</v>
      </c>
      <c r="F433" s="18">
        <v>23</v>
      </c>
      <c r="G433" s="18" t="b">
        <v>0</v>
      </c>
      <c r="H433" s="18">
        <v>3</v>
      </c>
      <c r="I433" s="18">
        <v>1</v>
      </c>
      <c r="J433" s="18">
        <v>0.3</v>
      </c>
      <c r="K433">
        <v>0.2727</v>
      </c>
      <c r="L433">
        <v>0.52</v>
      </c>
      <c r="M433" s="18">
        <v>0.4627</v>
      </c>
      <c r="N433" s="18">
        <v>1</v>
      </c>
      <c r="O433" s="18">
        <v>27</v>
      </c>
      <c r="P433">
        <v>28</v>
      </c>
      <c r="Q433" s="18" t="s">
        <v>34</v>
      </c>
      <c r="R433" s="18" t="s">
        <v>35</v>
      </c>
      <c r="S433" s="18" t="s">
        <v>36</v>
      </c>
      <c r="T433" s="18" t="s">
        <v>43</v>
      </c>
      <c r="U433" s="18">
        <v>2011</v>
      </c>
      <c r="V433" s="16">
        <f t="shared" si="12"/>
        <v>40587</v>
      </c>
      <c r="W433" s="18" t="str">
        <f t="shared" si="13"/>
        <v>Weekday</v>
      </c>
    </row>
    <row r="434" spans="1:23" x14ac:dyDescent="0.25">
      <c r="A434" s="19">
        <v>432</v>
      </c>
      <c r="B434" s="20">
        <v>40563</v>
      </c>
      <c r="C434" s="18">
        <v>1</v>
      </c>
      <c r="D434" s="18">
        <v>0</v>
      </c>
      <c r="E434" s="18">
        <v>1</v>
      </c>
      <c r="F434" s="18">
        <v>0</v>
      </c>
      <c r="G434" s="18" t="b">
        <v>0</v>
      </c>
      <c r="H434" s="18">
        <v>4</v>
      </c>
      <c r="I434" s="18">
        <v>1</v>
      </c>
      <c r="J434" s="18">
        <v>0.26</v>
      </c>
      <c r="K434">
        <v>0.2273</v>
      </c>
      <c r="L434">
        <v>0.56000000000000005</v>
      </c>
      <c r="M434" s="18">
        <v>0.3881</v>
      </c>
      <c r="N434" s="18">
        <v>5</v>
      </c>
      <c r="O434" s="18">
        <v>8</v>
      </c>
      <c r="P434">
        <v>13</v>
      </c>
      <c r="Q434" s="18" t="s">
        <v>34</v>
      </c>
      <c r="R434" s="18" t="s">
        <v>35</v>
      </c>
      <c r="S434" s="18" t="s">
        <v>36</v>
      </c>
      <c r="T434" s="18" t="s">
        <v>44</v>
      </c>
      <c r="U434" s="18">
        <v>2011</v>
      </c>
      <c r="V434" s="16">
        <f t="shared" si="12"/>
        <v>40587</v>
      </c>
      <c r="W434" s="18" t="str">
        <f t="shared" si="13"/>
        <v>Weekday</v>
      </c>
    </row>
    <row r="435" spans="1:23" x14ac:dyDescent="0.25">
      <c r="A435" s="19">
        <v>433</v>
      </c>
      <c r="B435" s="20">
        <v>40563</v>
      </c>
      <c r="C435" s="18">
        <v>1</v>
      </c>
      <c r="D435" s="18">
        <v>0</v>
      </c>
      <c r="E435" s="18">
        <v>1</v>
      </c>
      <c r="F435" s="18">
        <v>1</v>
      </c>
      <c r="G435" s="18" t="b">
        <v>0</v>
      </c>
      <c r="H435" s="18">
        <v>4</v>
      </c>
      <c r="I435" s="18">
        <v>1</v>
      </c>
      <c r="J435" s="18">
        <v>0.26</v>
      </c>
      <c r="K435">
        <v>0.2727</v>
      </c>
      <c r="L435">
        <v>0.56000000000000005</v>
      </c>
      <c r="M435" s="18">
        <v>0</v>
      </c>
      <c r="N435" s="18">
        <v>2</v>
      </c>
      <c r="O435" s="18">
        <v>3</v>
      </c>
      <c r="P435">
        <v>5</v>
      </c>
      <c r="Q435" s="18" t="s">
        <v>34</v>
      </c>
      <c r="R435" s="18" t="s">
        <v>35</v>
      </c>
      <c r="S435" s="18" t="s">
        <v>36</v>
      </c>
      <c r="T435" s="18" t="s">
        <v>44</v>
      </c>
      <c r="U435" s="18">
        <v>2011</v>
      </c>
      <c r="V435" s="16">
        <f t="shared" si="12"/>
        <v>40587</v>
      </c>
      <c r="W435" s="18" t="str">
        <f t="shared" si="13"/>
        <v>Weekday</v>
      </c>
    </row>
    <row r="436" spans="1:23" x14ac:dyDescent="0.25">
      <c r="A436" s="19">
        <v>434</v>
      </c>
      <c r="B436" s="20">
        <v>40563</v>
      </c>
      <c r="C436" s="18">
        <v>1</v>
      </c>
      <c r="D436" s="18">
        <v>0</v>
      </c>
      <c r="E436" s="18">
        <v>1</v>
      </c>
      <c r="F436" s="18">
        <v>2</v>
      </c>
      <c r="G436" s="18" t="b">
        <v>0</v>
      </c>
      <c r="H436" s="18">
        <v>4</v>
      </c>
      <c r="I436" s="18">
        <v>1</v>
      </c>
      <c r="J436" s="18">
        <v>0.26</v>
      </c>
      <c r="K436">
        <v>0.2727</v>
      </c>
      <c r="L436">
        <v>0.56000000000000005</v>
      </c>
      <c r="M436" s="18">
        <v>0</v>
      </c>
      <c r="N436" s="18">
        <v>0</v>
      </c>
      <c r="O436" s="18">
        <v>2</v>
      </c>
      <c r="P436">
        <v>2</v>
      </c>
      <c r="Q436" s="18" t="s">
        <v>34</v>
      </c>
      <c r="R436" s="18" t="s">
        <v>35</v>
      </c>
      <c r="S436" s="18" t="s">
        <v>36</v>
      </c>
      <c r="T436" s="18" t="s">
        <v>44</v>
      </c>
      <c r="U436" s="18">
        <v>2011</v>
      </c>
      <c r="V436" s="16">
        <f t="shared" si="12"/>
        <v>40587</v>
      </c>
      <c r="W436" s="18" t="str">
        <f t="shared" si="13"/>
        <v>Weekday</v>
      </c>
    </row>
    <row r="437" spans="1:23" x14ac:dyDescent="0.25">
      <c r="A437" s="19">
        <v>435</v>
      </c>
      <c r="B437" s="20">
        <v>40563</v>
      </c>
      <c r="C437" s="18">
        <v>1</v>
      </c>
      <c r="D437" s="18">
        <v>0</v>
      </c>
      <c r="E437" s="18">
        <v>1</v>
      </c>
      <c r="F437" s="18">
        <v>3</v>
      </c>
      <c r="G437" s="18" t="b">
        <v>0</v>
      </c>
      <c r="H437" s="18">
        <v>4</v>
      </c>
      <c r="I437" s="18">
        <v>1</v>
      </c>
      <c r="J437" s="18">
        <v>0.26</v>
      </c>
      <c r="K437">
        <v>0.2576</v>
      </c>
      <c r="L437">
        <v>0.56000000000000005</v>
      </c>
      <c r="M437" s="18">
        <v>0.16420000000000001</v>
      </c>
      <c r="N437" s="18">
        <v>0</v>
      </c>
      <c r="O437" s="18">
        <v>1</v>
      </c>
      <c r="P437">
        <v>1</v>
      </c>
      <c r="Q437" s="18" t="s">
        <v>34</v>
      </c>
      <c r="R437" s="18" t="s">
        <v>35</v>
      </c>
      <c r="S437" s="18" t="s">
        <v>36</v>
      </c>
      <c r="T437" s="18" t="s">
        <v>44</v>
      </c>
      <c r="U437" s="18">
        <v>2011</v>
      </c>
      <c r="V437" s="16">
        <f t="shared" si="12"/>
        <v>40587</v>
      </c>
      <c r="W437" s="18" t="str">
        <f t="shared" si="13"/>
        <v>Weekday</v>
      </c>
    </row>
    <row r="438" spans="1:23" x14ac:dyDescent="0.25">
      <c r="A438" s="19">
        <v>436</v>
      </c>
      <c r="B438" s="20">
        <v>40563</v>
      </c>
      <c r="C438" s="18">
        <v>1</v>
      </c>
      <c r="D438" s="18">
        <v>0</v>
      </c>
      <c r="E438" s="18">
        <v>1</v>
      </c>
      <c r="F438" s="18">
        <v>4</v>
      </c>
      <c r="G438" s="18" t="b">
        <v>0</v>
      </c>
      <c r="H438" s="18">
        <v>4</v>
      </c>
      <c r="I438" s="18">
        <v>1</v>
      </c>
      <c r="J438" s="18">
        <v>0.26</v>
      </c>
      <c r="K438">
        <v>0.2576</v>
      </c>
      <c r="L438">
        <v>0.56000000000000005</v>
      </c>
      <c r="M438" s="18">
        <v>0.16420000000000001</v>
      </c>
      <c r="N438" s="18">
        <v>0</v>
      </c>
      <c r="O438" s="18">
        <v>1</v>
      </c>
      <c r="P438">
        <v>1</v>
      </c>
      <c r="Q438" s="18" t="s">
        <v>34</v>
      </c>
      <c r="R438" s="18" t="s">
        <v>35</v>
      </c>
      <c r="S438" s="18" t="s">
        <v>36</v>
      </c>
      <c r="T438" s="18" t="s">
        <v>44</v>
      </c>
      <c r="U438" s="18">
        <v>2011</v>
      </c>
      <c r="V438" s="16">
        <f t="shared" si="12"/>
        <v>40587</v>
      </c>
      <c r="W438" s="18" t="str">
        <f t="shared" si="13"/>
        <v>Weekday</v>
      </c>
    </row>
    <row r="439" spans="1:23" x14ac:dyDescent="0.25">
      <c r="A439" s="19">
        <v>437</v>
      </c>
      <c r="B439" s="20">
        <v>40563</v>
      </c>
      <c r="C439" s="18">
        <v>1</v>
      </c>
      <c r="D439" s="18">
        <v>0</v>
      </c>
      <c r="E439" s="18">
        <v>1</v>
      </c>
      <c r="F439" s="18">
        <v>5</v>
      </c>
      <c r="G439" s="18" t="b">
        <v>0</v>
      </c>
      <c r="H439" s="18">
        <v>4</v>
      </c>
      <c r="I439" s="18">
        <v>1</v>
      </c>
      <c r="J439" s="18">
        <v>0.24</v>
      </c>
      <c r="K439">
        <v>0.2273</v>
      </c>
      <c r="L439">
        <v>0.6</v>
      </c>
      <c r="M439" s="18">
        <v>0.22389999999999999</v>
      </c>
      <c r="N439" s="18">
        <v>0</v>
      </c>
      <c r="O439" s="18">
        <v>6</v>
      </c>
      <c r="P439">
        <v>6</v>
      </c>
      <c r="Q439" s="18" t="s">
        <v>34</v>
      </c>
      <c r="R439" s="18" t="s">
        <v>35</v>
      </c>
      <c r="S439" s="18" t="s">
        <v>36</v>
      </c>
      <c r="T439" s="18" t="s">
        <v>44</v>
      </c>
      <c r="U439" s="18">
        <v>2011</v>
      </c>
      <c r="V439" s="16">
        <f t="shared" si="12"/>
        <v>40587</v>
      </c>
      <c r="W439" s="18" t="str">
        <f t="shared" si="13"/>
        <v>Weekday</v>
      </c>
    </row>
    <row r="440" spans="1:23" x14ac:dyDescent="0.25">
      <c r="A440" s="19">
        <v>438</v>
      </c>
      <c r="B440" s="20">
        <v>40563</v>
      </c>
      <c r="C440" s="18">
        <v>1</v>
      </c>
      <c r="D440" s="18">
        <v>0</v>
      </c>
      <c r="E440" s="18">
        <v>1</v>
      </c>
      <c r="F440" s="18">
        <v>6</v>
      </c>
      <c r="G440" s="18" t="b">
        <v>0</v>
      </c>
      <c r="H440" s="18">
        <v>4</v>
      </c>
      <c r="I440" s="18">
        <v>1</v>
      </c>
      <c r="J440" s="18">
        <v>0.22</v>
      </c>
      <c r="K440">
        <v>0.21210000000000001</v>
      </c>
      <c r="L440">
        <v>0.6</v>
      </c>
      <c r="M440" s="18">
        <v>0.22389999999999999</v>
      </c>
      <c r="N440" s="18">
        <v>0</v>
      </c>
      <c r="O440" s="18">
        <v>35</v>
      </c>
      <c r="P440">
        <v>35</v>
      </c>
      <c r="Q440" s="18" t="s">
        <v>34</v>
      </c>
      <c r="R440" s="18" t="s">
        <v>35</v>
      </c>
      <c r="S440" s="18" t="s">
        <v>36</v>
      </c>
      <c r="T440" s="18" t="s">
        <v>44</v>
      </c>
      <c r="U440" s="18">
        <v>2011</v>
      </c>
      <c r="V440" s="16">
        <f t="shared" si="12"/>
        <v>40587</v>
      </c>
      <c r="W440" s="18" t="str">
        <f t="shared" si="13"/>
        <v>Weekday</v>
      </c>
    </row>
    <row r="441" spans="1:23" x14ac:dyDescent="0.25">
      <c r="A441" s="19">
        <v>439</v>
      </c>
      <c r="B441" s="20">
        <v>40563</v>
      </c>
      <c r="C441" s="18">
        <v>1</v>
      </c>
      <c r="D441" s="18">
        <v>0</v>
      </c>
      <c r="E441" s="18">
        <v>1</v>
      </c>
      <c r="F441" s="18">
        <v>7</v>
      </c>
      <c r="G441" s="18" t="b">
        <v>0</v>
      </c>
      <c r="H441" s="18">
        <v>4</v>
      </c>
      <c r="I441" s="18">
        <v>1</v>
      </c>
      <c r="J441" s="18">
        <v>0.22</v>
      </c>
      <c r="K441">
        <v>0.21210000000000001</v>
      </c>
      <c r="L441">
        <v>0.55000000000000004</v>
      </c>
      <c r="M441" s="18">
        <v>0.22389999999999999</v>
      </c>
      <c r="N441" s="18">
        <v>1</v>
      </c>
      <c r="O441" s="18">
        <v>100</v>
      </c>
      <c r="P441">
        <v>101</v>
      </c>
      <c r="Q441" s="18" t="s">
        <v>34</v>
      </c>
      <c r="R441" s="18" t="s">
        <v>35</v>
      </c>
      <c r="S441" s="18" t="s">
        <v>36</v>
      </c>
      <c r="T441" s="18" t="s">
        <v>44</v>
      </c>
      <c r="U441" s="18">
        <v>2011</v>
      </c>
      <c r="V441" s="16">
        <f t="shared" si="12"/>
        <v>40587</v>
      </c>
      <c r="W441" s="18" t="str">
        <f t="shared" si="13"/>
        <v>Weekday</v>
      </c>
    </row>
    <row r="442" spans="1:23" x14ac:dyDescent="0.25">
      <c r="A442" s="19">
        <v>440</v>
      </c>
      <c r="B442" s="20">
        <v>40563</v>
      </c>
      <c r="C442" s="18">
        <v>1</v>
      </c>
      <c r="D442" s="18">
        <v>0</v>
      </c>
      <c r="E442" s="18">
        <v>1</v>
      </c>
      <c r="F442" s="18">
        <v>8</v>
      </c>
      <c r="G442" s="18" t="b">
        <v>0</v>
      </c>
      <c r="H442" s="18">
        <v>4</v>
      </c>
      <c r="I442" s="18">
        <v>1</v>
      </c>
      <c r="J442" s="18">
        <v>0.22</v>
      </c>
      <c r="K442">
        <v>0.21210000000000001</v>
      </c>
      <c r="L442">
        <v>0.55000000000000004</v>
      </c>
      <c r="M442" s="18">
        <v>0.28360000000000002</v>
      </c>
      <c r="N442" s="18">
        <v>2</v>
      </c>
      <c r="O442" s="18">
        <v>247</v>
      </c>
      <c r="P442">
        <v>249</v>
      </c>
      <c r="Q442" s="18" t="s">
        <v>34</v>
      </c>
      <c r="R442" s="18" t="s">
        <v>35</v>
      </c>
      <c r="S442" s="18" t="s">
        <v>36</v>
      </c>
      <c r="T442" s="18" t="s">
        <v>44</v>
      </c>
      <c r="U442" s="18">
        <v>2011</v>
      </c>
      <c r="V442" s="16">
        <f t="shared" si="12"/>
        <v>40587</v>
      </c>
      <c r="W442" s="18" t="str">
        <f t="shared" si="13"/>
        <v>Weekday</v>
      </c>
    </row>
    <row r="443" spans="1:23" x14ac:dyDescent="0.25">
      <c r="A443" s="19">
        <v>441</v>
      </c>
      <c r="B443" s="20">
        <v>40563</v>
      </c>
      <c r="C443" s="18">
        <v>1</v>
      </c>
      <c r="D443" s="18">
        <v>0</v>
      </c>
      <c r="E443" s="18">
        <v>1</v>
      </c>
      <c r="F443" s="18">
        <v>9</v>
      </c>
      <c r="G443" s="18" t="b">
        <v>0</v>
      </c>
      <c r="H443" s="18">
        <v>4</v>
      </c>
      <c r="I443" s="18">
        <v>2</v>
      </c>
      <c r="J443" s="18">
        <v>0.24</v>
      </c>
      <c r="K443">
        <v>0.2273</v>
      </c>
      <c r="L443">
        <v>0.52</v>
      </c>
      <c r="M443" s="18">
        <v>0.22389999999999999</v>
      </c>
      <c r="N443" s="18">
        <v>3</v>
      </c>
      <c r="O443" s="18">
        <v>140</v>
      </c>
      <c r="P443">
        <v>143</v>
      </c>
      <c r="Q443" s="18" t="s">
        <v>34</v>
      </c>
      <c r="R443" s="18" t="s">
        <v>35</v>
      </c>
      <c r="S443" s="18" t="s">
        <v>38</v>
      </c>
      <c r="T443" s="18" t="s">
        <v>44</v>
      </c>
      <c r="U443" s="18">
        <v>2011</v>
      </c>
      <c r="V443" s="16">
        <f t="shared" si="12"/>
        <v>40587</v>
      </c>
      <c r="W443" s="18" t="str">
        <f t="shared" si="13"/>
        <v>Weekday</v>
      </c>
    </row>
    <row r="444" spans="1:23" x14ac:dyDescent="0.25">
      <c r="A444" s="19">
        <v>442</v>
      </c>
      <c r="B444" s="20">
        <v>40563</v>
      </c>
      <c r="C444" s="18">
        <v>1</v>
      </c>
      <c r="D444" s="18">
        <v>0</v>
      </c>
      <c r="E444" s="18">
        <v>1</v>
      </c>
      <c r="F444" s="18">
        <v>10</v>
      </c>
      <c r="G444" s="18" t="b">
        <v>0</v>
      </c>
      <c r="H444" s="18">
        <v>4</v>
      </c>
      <c r="I444" s="18">
        <v>1</v>
      </c>
      <c r="J444" s="18">
        <v>0.26</v>
      </c>
      <c r="K444">
        <v>0.2273</v>
      </c>
      <c r="L444">
        <v>0.48</v>
      </c>
      <c r="M444" s="18">
        <v>0.29849999999999999</v>
      </c>
      <c r="N444" s="18">
        <v>1</v>
      </c>
      <c r="O444" s="18">
        <v>56</v>
      </c>
      <c r="P444">
        <v>57</v>
      </c>
      <c r="Q444" s="18" t="s">
        <v>34</v>
      </c>
      <c r="R444" s="18" t="s">
        <v>35</v>
      </c>
      <c r="S444" s="18" t="s">
        <v>36</v>
      </c>
      <c r="T444" s="18" t="s">
        <v>44</v>
      </c>
      <c r="U444" s="18">
        <v>2011</v>
      </c>
      <c r="V444" s="16">
        <f t="shared" si="12"/>
        <v>40587</v>
      </c>
      <c r="W444" s="18" t="str">
        <f t="shared" si="13"/>
        <v>Weekday</v>
      </c>
    </row>
    <row r="445" spans="1:23" x14ac:dyDescent="0.25">
      <c r="A445" s="19">
        <v>443</v>
      </c>
      <c r="B445" s="20">
        <v>40563</v>
      </c>
      <c r="C445" s="18">
        <v>1</v>
      </c>
      <c r="D445" s="18">
        <v>0</v>
      </c>
      <c r="E445" s="18">
        <v>1</v>
      </c>
      <c r="F445" s="18">
        <v>11</v>
      </c>
      <c r="G445" s="18" t="b">
        <v>0</v>
      </c>
      <c r="H445" s="18">
        <v>4</v>
      </c>
      <c r="I445" s="18">
        <v>2</v>
      </c>
      <c r="J445" s="18">
        <v>0.28000000000000003</v>
      </c>
      <c r="K445">
        <v>0.2727</v>
      </c>
      <c r="L445">
        <v>0.45</v>
      </c>
      <c r="M445" s="18">
        <v>0.16420000000000001</v>
      </c>
      <c r="N445" s="18">
        <v>5</v>
      </c>
      <c r="O445" s="18">
        <v>63</v>
      </c>
      <c r="P445">
        <v>68</v>
      </c>
      <c r="Q445" s="18" t="s">
        <v>34</v>
      </c>
      <c r="R445" s="18" t="s">
        <v>35</v>
      </c>
      <c r="S445" s="18" t="s">
        <v>38</v>
      </c>
      <c r="T445" s="18" t="s">
        <v>44</v>
      </c>
      <c r="U445" s="18">
        <v>2011</v>
      </c>
      <c r="V445" s="16">
        <f t="shared" si="12"/>
        <v>40587</v>
      </c>
      <c r="W445" s="18" t="str">
        <f t="shared" si="13"/>
        <v>Weekday</v>
      </c>
    </row>
    <row r="446" spans="1:23" x14ac:dyDescent="0.25">
      <c r="A446" s="19">
        <v>444</v>
      </c>
      <c r="B446" s="20">
        <v>40563</v>
      </c>
      <c r="C446" s="18">
        <v>1</v>
      </c>
      <c r="D446" s="18">
        <v>0</v>
      </c>
      <c r="E446" s="18">
        <v>1</v>
      </c>
      <c r="F446" s="18">
        <v>12</v>
      </c>
      <c r="G446" s="18" t="b">
        <v>0</v>
      </c>
      <c r="H446" s="18">
        <v>4</v>
      </c>
      <c r="I446" s="18">
        <v>2</v>
      </c>
      <c r="J446" s="18">
        <v>0.3</v>
      </c>
      <c r="K446">
        <v>0.33329999999999999</v>
      </c>
      <c r="L446">
        <v>0.42</v>
      </c>
      <c r="M446" s="18">
        <v>0</v>
      </c>
      <c r="N446" s="18">
        <v>7</v>
      </c>
      <c r="O446" s="18">
        <v>77</v>
      </c>
      <c r="P446">
        <v>84</v>
      </c>
      <c r="Q446" s="18" t="s">
        <v>34</v>
      </c>
      <c r="R446" s="18" t="s">
        <v>35</v>
      </c>
      <c r="S446" s="18" t="s">
        <v>38</v>
      </c>
      <c r="T446" s="18" t="s">
        <v>44</v>
      </c>
      <c r="U446" s="18">
        <v>2011</v>
      </c>
      <c r="V446" s="16">
        <f t="shared" si="12"/>
        <v>40587</v>
      </c>
      <c r="W446" s="18" t="str">
        <f t="shared" si="13"/>
        <v>Weekday</v>
      </c>
    </row>
    <row r="447" spans="1:23" x14ac:dyDescent="0.25">
      <c r="A447" s="19">
        <v>445</v>
      </c>
      <c r="B447" s="20">
        <v>40563</v>
      </c>
      <c r="C447" s="18">
        <v>1</v>
      </c>
      <c r="D447" s="18">
        <v>0</v>
      </c>
      <c r="E447" s="18">
        <v>1</v>
      </c>
      <c r="F447" s="18">
        <v>13</v>
      </c>
      <c r="G447" s="18" t="b">
        <v>0</v>
      </c>
      <c r="H447" s="18">
        <v>4</v>
      </c>
      <c r="I447" s="18">
        <v>2</v>
      </c>
      <c r="J447" s="18">
        <v>0.28000000000000003</v>
      </c>
      <c r="K447">
        <v>0.28789999999999999</v>
      </c>
      <c r="L447">
        <v>0.45</v>
      </c>
      <c r="M447" s="18">
        <v>0.1045</v>
      </c>
      <c r="N447" s="18">
        <v>12</v>
      </c>
      <c r="O447" s="18">
        <v>86</v>
      </c>
      <c r="P447">
        <v>98</v>
      </c>
      <c r="Q447" s="18" t="s">
        <v>34</v>
      </c>
      <c r="R447" s="18" t="s">
        <v>35</v>
      </c>
      <c r="S447" s="18" t="s">
        <v>38</v>
      </c>
      <c r="T447" s="18" t="s">
        <v>44</v>
      </c>
      <c r="U447" s="18">
        <v>2011</v>
      </c>
      <c r="V447" s="16">
        <f t="shared" si="12"/>
        <v>40587</v>
      </c>
      <c r="W447" s="18" t="str">
        <f t="shared" si="13"/>
        <v>Weekday</v>
      </c>
    </row>
    <row r="448" spans="1:23" x14ac:dyDescent="0.25">
      <c r="A448" s="19">
        <v>446</v>
      </c>
      <c r="B448" s="20">
        <v>40563</v>
      </c>
      <c r="C448" s="18">
        <v>1</v>
      </c>
      <c r="D448" s="18">
        <v>0</v>
      </c>
      <c r="E448" s="18">
        <v>1</v>
      </c>
      <c r="F448" s="18">
        <v>14</v>
      </c>
      <c r="G448" s="18" t="b">
        <v>0</v>
      </c>
      <c r="H448" s="18">
        <v>4</v>
      </c>
      <c r="I448" s="18">
        <v>2</v>
      </c>
      <c r="J448" s="18">
        <v>0.3</v>
      </c>
      <c r="K448">
        <v>0.30299999999999999</v>
      </c>
      <c r="L448">
        <v>0.45</v>
      </c>
      <c r="M448" s="18">
        <v>0.1343</v>
      </c>
      <c r="N448" s="18">
        <v>6</v>
      </c>
      <c r="O448" s="18">
        <v>75</v>
      </c>
      <c r="P448">
        <v>81</v>
      </c>
      <c r="Q448" s="18" t="s">
        <v>34</v>
      </c>
      <c r="R448" s="18" t="s">
        <v>35</v>
      </c>
      <c r="S448" s="18" t="s">
        <v>38</v>
      </c>
      <c r="T448" s="18" t="s">
        <v>44</v>
      </c>
      <c r="U448" s="18">
        <v>2011</v>
      </c>
      <c r="V448" s="16">
        <f t="shared" si="12"/>
        <v>40587</v>
      </c>
      <c r="W448" s="18" t="str">
        <f t="shared" si="13"/>
        <v>Weekday</v>
      </c>
    </row>
    <row r="449" spans="1:23" x14ac:dyDescent="0.25">
      <c r="A449" s="19">
        <v>447</v>
      </c>
      <c r="B449" s="20">
        <v>40563</v>
      </c>
      <c r="C449" s="18">
        <v>1</v>
      </c>
      <c r="D449" s="18">
        <v>0</v>
      </c>
      <c r="E449" s="18">
        <v>1</v>
      </c>
      <c r="F449" s="18">
        <v>15</v>
      </c>
      <c r="G449" s="18" t="b">
        <v>0</v>
      </c>
      <c r="H449" s="18">
        <v>4</v>
      </c>
      <c r="I449" s="18">
        <v>2</v>
      </c>
      <c r="J449" s="18">
        <v>0.32</v>
      </c>
      <c r="K449">
        <v>0.31819999999999998</v>
      </c>
      <c r="L449">
        <v>0.45</v>
      </c>
      <c r="M449" s="18">
        <v>0.19400000000000001</v>
      </c>
      <c r="N449" s="18">
        <v>8</v>
      </c>
      <c r="O449" s="18">
        <v>62</v>
      </c>
      <c r="P449">
        <v>70</v>
      </c>
      <c r="Q449" s="18" t="s">
        <v>34</v>
      </c>
      <c r="R449" s="18" t="s">
        <v>35</v>
      </c>
      <c r="S449" s="18" t="s">
        <v>38</v>
      </c>
      <c r="T449" s="18" t="s">
        <v>44</v>
      </c>
      <c r="U449" s="18">
        <v>2011</v>
      </c>
      <c r="V449" s="16">
        <f t="shared" si="12"/>
        <v>40587</v>
      </c>
      <c r="W449" s="18" t="str">
        <f t="shared" si="13"/>
        <v>Weekday</v>
      </c>
    </row>
    <row r="450" spans="1:23" x14ac:dyDescent="0.25">
      <c r="A450" s="19">
        <v>448</v>
      </c>
      <c r="B450" s="20">
        <v>40563</v>
      </c>
      <c r="C450" s="18">
        <v>1</v>
      </c>
      <c r="D450" s="18">
        <v>0</v>
      </c>
      <c r="E450" s="18">
        <v>1</v>
      </c>
      <c r="F450" s="18">
        <v>16</v>
      </c>
      <c r="G450" s="18" t="b">
        <v>0</v>
      </c>
      <c r="H450" s="18">
        <v>4</v>
      </c>
      <c r="I450" s="18">
        <v>2</v>
      </c>
      <c r="J450" s="18">
        <v>0.3</v>
      </c>
      <c r="K450">
        <v>0.30299999999999999</v>
      </c>
      <c r="L450">
        <v>0.49</v>
      </c>
      <c r="M450" s="18">
        <v>0.1343</v>
      </c>
      <c r="N450" s="18">
        <v>8</v>
      </c>
      <c r="O450" s="18">
        <v>83</v>
      </c>
      <c r="P450">
        <v>91</v>
      </c>
      <c r="Q450" s="18" t="s">
        <v>34</v>
      </c>
      <c r="R450" s="18" t="s">
        <v>35</v>
      </c>
      <c r="S450" s="18" t="s">
        <v>38</v>
      </c>
      <c r="T450" s="18" t="s">
        <v>44</v>
      </c>
      <c r="U450" s="18">
        <v>2011</v>
      </c>
      <c r="V450" s="16">
        <f t="shared" si="12"/>
        <v>40587</v>
      </c>
      <c r="W450" s="18" t="str">
        <f t="shared" si="13"/>
        <v>Weekday</v>
      </c>
    </row>
    <row r="451" spans="1:23" x14ac:dyDescent="0.25">
      <c r="A451" s="19">
        <v>449</v>
      </c>
      <c r="B451" s="20">
        <v>40563</v>
      </c>
      <c r="C451" s="18">
        <v>1</v>
      </c>
      <c r="D451" s="18">
        <v>0</v>
      </c>
      <c r="E451" s="18">
        <v>1</v>
      </c>
      <c r="F451" s="18">
        <v>17</v>
      </c>
      <c r="G451" s="18" t="b">
        <v>0</v>
      </c>
      <c r="H451" s="18">
        <v>4</v>
      </c>
      <c r="I451" s="18">
        <v>2</v>
      </c>
      <c r="J451" s="18">
        <v>0.3</v>
      </c>
      <c r="K451">
        <v>0.31819999999999998</v>
      </c>
      <c r="L451">
        <v>0.49</v>
      </c>
      <c r="M451" s="18">
        <v>0.1045</v>
      </c>
      <c r="N451" s="18">
        <v>8</v>
      </c>
      <c r="O451" s="18">
        <v>207</v>
      </c>
      <c r="P451">
        <v>215</v>
      </c>
      <c r="Q451" s="18" t="s">
        <v>34</v>
      </c>
      <c r="R451" s="18" t="s">
        <v>35</v>
      </c>
      <c r="S451" s="18" t="s">
        <v>38</v>
      </c>
      <c r="T451" s="18" t="s">
        <v>44</v>
      </c>
      <c r="U451" s="18">
        <v>2011</v>
      </c>
      <c r="V451" s="16">
        <f t="shared" ref="V451:V514" si="14">INDEX(B451:B1449,MATCH(MAX(K451:K1449),K451:K1449,0))</f>
        <v>40587</v>
      </c>
      <c r="W451" s="18" t="str">
        <f t="shared" ref="W451:W514" si="15">IF(G451=TRUE,"Holiday",IF(OR(H451=0,H451=6),"Weedend","Weekday"))</f>
        <v>Weekday</v>
      </c>
    </row>
    <row r="452" spans="1:23" x14ac:dyDescent="0.25">
      <c r="A452" s="19">
        <v>450</v>
      </c>
      <c r="B452" s="20">
        <v>40563</v>
      </c>
      <c r="C452" s="18">
        <v>1</v>
      </c>
      <c r="D452" s="18">
        <v>0</v>
      </c>
      <c r="E452" s="18">
        <v>1</v>
      </c>
      <c r="F452" s="18">
        <v>18</v>
      </c>
      <c r="G452" s="18" t="b">
        <v>0</v>
      </c>
      <c r="H452" s="18">
        <v>4</v>
      </c>
      <c r="I452" s="18">
        <v>2</v>
      </c>
      <c r="J452" s="18">
        <v>0.26</v>
      </c>
      <c r="K452">
        <v>0.2576</v>
      </c>
      <c r="L452">
        <v>0.56000000000000005</v>
      </c>
      <c r="M452" s="18">
        <v>0.19400000000000001</v>
      </c>
      <c r="N452" s="18">
        <v>1</v>
      </c>
      <c r="O452" s="18">
        <v>184</v>
      </c>
      <c r="P452">
        <v>185</v>
      </c>
      <c r="Q452" s="18" t="s">
        <v>34</v>
      </c>
      <c r="R452" s="18" t="s">
        <v>35</v>
      </c>
      <c r="S452" s="18" t="s">
        <v>38</v>
      </c>
      <c r="T452" s="18" t="s">
        <v>44</v>
      </c>
      <c r="U452" s="18">
        <v>2011</v>
      </c>
      <c r="V452" s="16">
        <f t="shared" si="14"/>
        <v>40587</v>
      </c>
      <c r="W452" s="18" t="str">
        <f t="shared" si="15"/>
        <v>Weekday</v>
      </c>
    </row>
    <row r="453" spans="1:23" x14ac:dyDescent="0.25">
      <c r="A453" s="19">
        <v>451</v>
      </c>
      <c r="B453" s="20">
        <v>40563</v>
      </c>
      <c r="C453" s="18">
        <v>1</v>
      </c>
      <c r="D453" s="18">
        <v>0</v>
      </c>
      <c r="E453" s="18">
        <v>1</v>
      </c>
      <c r="F453" s="18">
        <v>19</v>
      </c>
      <c r="G453" s="18" t="b">
        <v>0</v>
      </c>
      <c r="H453" s="18">
        <v>4</v>
      </c>
      <c r="I453" s="18">
        <v>1</v>
      </c>
      <c r="J453" s="18">
        <v>0.26</v>
      </c>
      <c r="K453">
        <v>0.2273</v>
      </c>
      <c r="L453">
        <v>0.56000000000000005</v>
      </c>
      <c r="M453" s="18">
        <v>0.32840000000000003</v>
      </c>
      <c r="N453" s="18">
        <v>6</v>
      </c>
      <c r="O453" s="18">
        <v>146</v>
      </c>
      <c r="P453">
        <v>152</v>
      </c>
      <c r="Q453" s="18" t="s">
        <v>34</v>
      </c>
      <c r="R453" s="18" t="s">
        <v>35</v>
      </c>
      <c r="S453" s="18" t="s">
        <v>36</v>
      </c>
      <c r="T453" s="18" t="s">
        <v>44</v>
      </c>
      <c r="U453" s="18">
        <v>2011</v>
      </c>
      <c r="V453" s="16">
        <f t="shared" si="14"/>
        <v>40587</v>
      </c>
      <c r="W453" s="18" t="str">
        <f t="shared" si="15"/>
        <v>Weekday</v>
      </c>
    </row>
    <row r="454" spans="1:23" x14ac:dyDescent="0.25">
      <c r="A454" s="19">
        <v>452</v>
      </c>
      <c r="B454" s="20">
        <v>40563</v>
      </c>
      <c r="C454" s="18">
        <v>1</v>
      </c>
      <c r="D454" s="18">
        <v>0</v>
      </c>
      <c r="E454" s="18">
        <v>1</v>
      </c>
      <c r="F454" s="18">
        <v>20</v>
      </c>
      <c r="G454" s="18" t="b">
        <v>0</v>
      </c>
      <c r="H454" s="18">
        <v>4</v>
      </c>
      <c r="I454" s="18">
        <v>2</v>
      </c>
      <c r="J454" s="18">
        <v>0.26</v>
      </c>
      <c r="K454">
        <v>0.2424</v>
      </c>
      <c r="L454">
        <v>0.6</v>
      </c>
      <c r="M454" s="18">
        <v>0.28360000000000002</v>
      </c>
      <c r="N454" s="18">
        <v>2</v>
      </c>
      <c r="O454" s="18">
        <v>124</v>
      </c>
      <c r="P454">
        <v>126</v>
      </c>
      <c r="Q454" s="18" t="s">
        <v>34</v>
      </c>
      <c r="R454" s="18" t="s">
        <v>35</v>
      </c>
      <c r="S454" s="18" t="s">
        <v>38</v>
      </c>
      <c r="T454" s="18" t="s">
        <v>44</v>
      </c>
      <c r="U454" s="18">
        <v>2011</v>
      </c>
      <c r="V454" s="16">
        <f t="shared" si="14"/>
        <v>40587</v>
      </c>
      <c r="W454" s="18" t="str">
        <f t="shared" si="15"/>
        <v>Weekday</v>
      </c>
    </row>
    <row r="455" spans="1:23" x14ac:dyDescent="0.25">
      <c r="A455" s="19">
        <v>453</v>
      </c>
      <c r="B455" s="20">
        <v>40563</v>
      </c>
      <c r="C455" s="18">
        <v>1</v>
      </c>
      <c r="D455" s="18">
        <v>0</v>
      </c>
      <c r="E455" s="18">
        <v>1</v>
      </c>
      <c r="F455" s="18">
        <v>21</v>
      </c>
      <c r="G455" s="18" t="b">
        <v>0</v>
      </c>
      <c r="H455" s="18">
        <v>4</v>
      </c>
      <c r="I455" s="18">
        <v>2</v>
      </c>
      <c r="J455" s="18">
        <v>0.24</v>
      </c>
      <c r="K455">
        <v>0.2273</v>
      </c>
      <c r="L455">
        <v>0.6</v>
      </c>
      <c r="M455" s="18">
        <v>0.25369999999999998</v>
      </c>
      <c r="N455" s="18">
        <v>3</v>
      </c>
      <c r="O455" s="18">
        <v>54</v>
      </c>
      <c r="P455">
        <v>57</v>
      </c>
      <c r="Q455" s="18" t="s">
        <v>34</v>
      </c>
      <c r="R455" s="18" t="s">
        <v>35</v>
      </c>
      <c r="S455" s="18" t="s">
        <v>38</v>
      </c>
      <c r="T455" s="18" t="s">
        <v>44</v>
      </c>
      <c r="U455" s="18">
        <v>2011</v>
      </c>
      <c r="V455" s="16">
        <f t="shared" si="14"/>
        <v>40587</v>
      </c>
      <c r="W455" s="18" t="str">
        <f t="shared" si="15"/>
        <v>Weekday</v>
      </c>
    </row>
    <row r="456" spans="1:23" x14ac:dyDescent="0.25">
      <c r="A456" s="19">
        <v>454</v>
      </c>
      <c r="B456" s="20">
        <v>40563</v>
      </c>
      <c r="C456" s="18">
        <v>1</v>
      </c>
      <c r="D456" s="18">
        <v>0</v>
      </c>
      <c r="E456" s="18">
        <v>1</v>
      </c>
      <c r="F456" s="18">
        <v>22</v>
      </c>
      <c r="G456" s="18" t="b">
        <v>0</v>
      </c>
      <c r="H456" s="18">
        <v>4</v>
      </c>
      <c r="I456" s="18">
        <v>2</v>
      </c>
      <c r="J456" s="18">
        <v>0.24</v>
      </c>
      <c r="K456">
        <v>0.21210000000000001</v>
      </c>
      <c r="L456">
        <v>0.65</v>
      </c>
      <c r="M456" s="18">
        <v>0.28360000000000002</v>
      </c>
      <c r="N456" s="18">
        <v>0</v>
      </c>
      <c r="O456" s="18">
        <v>56</v>
      </c>
      <c r="P456">
        <v>56</v>
      </c>
      <c r="Q456" s="18" t="s">
        <v>34</v>
      </c>
      <c r="R456" s="18" t="s">
        <v>35</v>
      </c>
      <c r="S456" s="18" t="s">
        <v>38</v>
      </c>
      <c r="T456" s="18" t="s">
        <v>44</v>
      </c>
      <c r="U456" s="18">
        <v>2011</v>
      </c>
      <c r="V456" s="16">
        <f t="shared" si="14"/>
        <v>40587</v>
      </c>
      <c r="W456" s="18" t="str">
        <f t="shared" si="15"/>
        <v>Weekday</v>
      </c>
    </row>
    <row r="457" spans="1:23" x14ac:dyDescent="0.25">
      <c r="A457" s="19">
        <v>455</v>
      </c>
      <c r="B457" s="20">
        <v>40563</v>
      </c>
      <c r="C457" s="18">
        <v>1</v>
      </c>
      <c r="D457" s="18">
        <v>0</v>
      </c>
      <c r="E457" s="18">
        <v>1</v>
      </c>
      <c r="F457" s="18">
        <v>23</v>
      </c>
      <c r="G457" s="18" t="b">
        <v>0</v>
      </c>
      <c r="H457" s="18">
        <v>4</v>
      </c>
      <c r="I457" s="18">
        <v>2</v>
      </c>
      <c r="J457" s="18">
        <v>0.24</v>
      </c>
      <c r="K457">
        <v>0.21210000000000001</v>
      </c>
      <c r="L457">
        <v>0.65</v>
      </c>
      <c r="M457" s="18">
        <v>0.32840000000000003</v>
      </c>
      <c r="N457" s="18">
        <v>3</v>
      </c>
      <c r="O457" s="18">
        <v>28</v>
      </c>
      <c r="P457">
        <v>31</v>
      </c>
      <c r="Q457" s="18" t="s">
        <v>34</v>
      </c>
      <c r="R457" s="18" t="s">
        <v>35</v>
      </c>
      <c r="S457" s="18" t="s">
        <v>38</v>
      </c>
      <c r="T457" s="18" t="s">
        <v>44</v>
      </c>
      <c r="U457" s="18">
        <v>2011</v>
      </c>
      <c r="V457" s="16">
        <f t="shared" si="14"/>
        <v>40587</v>
      </c>
      <c r="W457" s="18" t="str">
        <f t="shared" si="15"/>
        <v>Weekday</v>
      </c>
    </row>
    <row r="458" spans="1:23" x14ac:dyDescent="0.25">
      <c r="A458" s="19">
        <v>456</v>
      </c>
      <c r="B458" s="20">
        <v>40564</v>
      </c>
      <c r="C458" s="18">
        <v>1</v>
      </c>
      <c r="D458" s="18">
        <v>0</v>
      </c>
      <c r="E458" s="18">
        <v>1</v>
      </c>
      <c r="F458" s="18">
        <v>0</v>
      </c>
      <c r="G458" s="18" t="b">
        <v>0</v>
      </c>
      <c r="H458" s="18">
        <v>5</v>
      </c>
      <c r="I458" s="18">
        <v>2</v>
      </c>
      <c r="J458" s="18">
        <v>0.24</v>
      </c>
      <c r="K458">
        <v>0.2273</v>
      </c>
      <c r="L458">
        <v>0.7</v>
      </c>
      <c r="M458" s="18">
        <v>0.25369999999999998</v>
      </c>
      <c r="N458" s="18">
        <v>1</v>
      </c>
      <c r="O458" s="18">
        <v>20</v>
      </c>
      <c r="P458">
        <v>21</v>
      </c>
      <c r="Q458" s="18" t="s">
        <v>34</v>
      </c>
      <c r="R458" s="18" t="s">
        <v>35</v>
      </c>
      <c r="S458" s="18" t="s">
        <v>38</v>
      </c>
      <c r="T458" s="18" t="s">
        <v>45</v>
      </c>
      <c r="U458" s="18">
        <v>2011</v>
      </c>
      <c r="V458" s="16">
        <f t="shared" si="14"/>
        <v>40587</v>
      </c>
      <c r="W458" s="18" t="str">
        <f t="shared" si="15"/>
        <v>Weekday</v>
      </c>
    </row>
    <row r="459" spans="1:23" x14ac:dyDescent="0.25">
      <c r="A459" s="19">
        <v>457</v>
      </c>
      <c r="B459" s="20">
        <v>40564</v>
      </c>
      <c r="C459" s="18">
        <v>1</v>
      </c>
      <c r="D459" s="18">
        <v>0</v>
      </c>
      <c r="E459" s="18">
        <v>1</v>
      </c>
      <c r="F459" s="18">
        <v>1</v>
      </c>
      <c r="G459" s="18" t="b">
        <v>0</v>
      </c>
      <c r="H459" s="18">
        <v>5</v>
      </c>
      <c r="I459" s="18">
        <v>2</v>
      </c>
      <c r="J459" s="18">
        <v>0.24</v>
      </c>
      <c r="K459">
        <v>0.2273</v>
      </c>
      <c r="L459">
        <v>0.7</v>
      </c>
      <c r="M459" s="18">
        <v>0.25369999999999998</v>
      </c>
      <c r="N459" s="18">
        <v>0</v>
      </c>
      <c r="O459" s="18">
        <v>6</v>
      </c>
      <c r="P459">
        <v>6</v>
      </c>
      <c r="Q459" s="18" t="s">
        <v>34</v>
      </c>
      <c r="R459" s="18" t="s">
        <v>35</v>
      </c>
      <c r="S459" s="18" t="s">
        <v>38</v>
      </c>
      <c r="T459" s="18" t="s">
        <v>45</v>
      </c>
      <c r="U459" s="18">
        <v>2011</v>
      </c>
      <c r="V459" s="16">
        <f t="shared" si="14"/>
        <v>40587</v>
      </c>
      <c r="W459" s="18" t="str">
        <f t="shared" si="15"/>
        <v>Weekday</v>
      </c>
    </row>
    <row r="460" spans="1:23" x14ac:dyDescent="0.25">
      <c r="A460" s="19">
        <v>458</v>
      </c>
      <c r="B460" s="20">
        <v>40564</v>
      </c>
      <c r="C460" s="18">
        <v>1</v>
      </c>
      <c r="D460" s="18">
        <v>0</v>
      </c>
      <c r="E460" s="18">
        <v>1</v>
      </c>
      <c r="F460" s="18">
        <v>2</v>
      </c>
      <c r="G460" s="18" t="b">
        <v>0</v>
      </c>
      <c r="H460" s="18">
        <v>5</v>
      </c>
      <c r="I460" s="18">
        <v>3</v>
      </c>
      <c r="J460" s="18">
        <v>0.24</v>
      </c>
      <c r="K460">
        <v>0.2424</v>
      </c>
      <c r="L460">
        <v>0.75</v>
      </c>
      <c r="M460" s="18">
        <v>0.16420000000000001</v>
      </c>
      <c r="N460" s="18">
        <v>0</v>
      </c>
      <c r="O460" s="18">
        <v>2</v>
      </c>
      <c r="P460">
        <v>2</v>
      </c>
      <c r="Q460" s="18" t="s">
        <v>34</v>
      </c>
      <c r="R460" s="18" t="s">
        <v>35</v>
      </c>
      <c r="S460" s="18" t="s">
        <v>39</v>
      </c>
      <c r="T460" s="18" t="s">
        <v>45</v>
      </c>
      <c r="U460" s="18">
        <v>2011</v>
      </c>
      <c r="V460" s="16">
        <f t="shared" si="14"/>
        <v>40587</v>
      </c>
      <c r="W460" s="18" t="str">
        <f t="shared" si="15"/>
        <v>Weekday</v>
      </c>
    </row>
    <row r="461" spans="1:23" x14ac:dyDescent="0.25">
      <c r="A461" s="19">
        <v>459</v>
      </c>
      <c r="B461" s="20">
        <v>40564</v>
      </c>
      <c r="C461" s="18">
        <v>1</v>
      </c>
      <c r="D461" s="18">
        <v>0</v>
      </c>
      <c r="E461" s="18">
        <v>1</v>
      </c>
      <c r="F461" s="18">
        <v>3</v>
      </c>
      <c r="G461" s="18" t="b">
        <v>0</v>
      </c>
      <c r="H461" s="18">
        <v>5</v>
      </c>
      <c r="I461" s="18">
        <v>3</v>
      </c>
      <c r="J461" s="18">
        <v>0.22</v>
      </c>
      <c r="K461">
        <v>0.21210000000000001</v>
      </c>
      <c r="L461">
        <v>0.8</v>
      </c>
      <c r="M461" s="18">
        <v>0.29849999999999999</v>
      </c>
      <c r="N461" s="18">
        <v>0</v>
      </c>
      <c r="O461" s="18">
        <v>1</v>
      </c>
      <c r="P461">
        <v>1</v>
      </c>
      <c r="Q461" s="18" t="s">
        <v>34</v>
      </c>
      <c r="R461" s="18" t="s">
        <v>35</v>
      </c>
      <c r="S461" s="18" t="s">
        <v>39</v>
      </c>
      <c r="T461" s="18" t="s">
        <v>45</v>
      </c>
      <c r="U461" s="18">
        <v>2011</v>
      </c>
      <c r="V461" s="16">
        <f t="shared" si="14"/>
        <v>40587</v>
      </c>
      <c r="W461" s="18" t="str">
        <f t="shared" si="15"/>
        <v>Weekday</v>
      </c>
    </row>
    <row r="462" spans="1:23" x14ac:dyDescent="0.25">
      <c r="A462" s="19">
        <v>460</v>
      </c>
      <c r="B462" s="20">
        <v>40564</v>
      </c>
      <c r="C462" s="18">
        <v>1</v>
      </c>
      <c r="D462" s="18">
        <v>0</v>
      </c>
      <c r="E462" s="18">
        <v>1</v>
      </c>
      <c r="F462" s="18">
        <v>4</v>
      </c>
      <c r="G462" s="18" t="b">
        <v>0</v>
      </c>
      <c r="H462" s="18">
        <v>5</v>
      </c>
      <c r="I462" s="18">
        <v>2</v>
      </c>
      <c r="J462" s="18">
        <v>0.22</v>
      </c>
      <c r="K462">
        <v>0.2576</v>
      </c>
      <c r="L462">
        <v>0.87</v>
      </c>
      <c r="M462" s="18">
        <v>8.9599999999999999E-2</v>
      </c>
      <c r="N462" s="18">
        <v>0</v>
      </c>
      <c r="O462" s="18">
        <v>1</v>
      </c>
      <c r="P462">
        <v>1</v>
      </c>
      <c r="Q462" s="18" t="s">
        <v>34</v>
      </c>
      <c r="R462" s="18" t="s">
        <v>35</v>
      </c>
      <c r="S462" s="18" t="s">
        <v>38</v>
      </c>
      <c r="T462" s="18" t="s">
        <v>45</v>
      </c>
      <c r="U462" s="18">
        <v>2011</v>
      </c>
      <c r="V462" s="16">
        <f t="shared" si="14"/>
        <v>40587</v>
      </c>
      <c r="W462" s="18" t="str">
        <f t="shared" si="15"/>
        <v>Weekday</v>
      </c>
    </row>
    <row r="463" spans="1:23" x14ac:dyDescent="0.25">
      <c r="A463" s="19">
        <v>461</v>
      </c>
      <c r="B463" s="20">
        <v>40564</v>
      </c>
      <c r="C463" s="18">
        <v>1</v>
      </c>
      <c r="D463" s="18">
        <v>0</v>
      </c>
      <c r="E463" s="18">
        <v>1</v>
      </c>
      <c r="F463" s="18">
        <v>5</v>
      </c>
      <c r="G463" s="18" t="b">
        <v>0</v>
      </c>
      <c r="H463" s="18">
        <v>5</v>
      </c>
      <c r="I463" s="18">
        <v>1</v>
      </c>
      <c r="J463" s="18">
        <v>0.24</v>
      </c>
      <c r="K463">
        <v>0.19700000000000001</v>
      </c>
      <c r="L463">
        <v>0.6</v>
      </c>
      <c r="M463" s="18">
        <v>0.41789999999999999</v>
      </c>
      <c r="N463" s="18">
        <v>1</v>
      </c>
      <c r="O463" s="18">
        <v>4</v>
      </c>
      <c r="P463">
        <v>5</v>
      </c>
      <c r="Q463" s="18" t="s">
        <v>34</v>
      </c>
      <c r="R463" s="18" t="s">
        <v>35</v>
      </c>
      <c r="S463" s="18" t="s">
        <v>36</v>
      </c>
      <c r="T463" s="18" t="s">
        <v>45</v>
      </c>
      <c r="U463" s="18">
        <v>2011</v>
      </c>
      <c r="V463" s="16">
        <f t="shared" si="14"/>
        <v>40587</v>
      </c>
      <c r="W463" s="18" t="str">
        <f t="shared" si="15"/>
        <v>Weekday</v>
      </c>
    </row>
    <row r="464" spans="1:23" x14ac:dyDescent="0.25">
      <c r="A464" s="19">
        <v>462</v>
      </c>
      <c r="B464" s="20">
        <v>40564</v>
      </c>
      <c r="C464" s="18">
        <v>1</v>
      </c>
      <c r="D464" s="18">
        <v>0</v>
      </c>
      <c r="E464" s="18">
        <v>1</v>
      </c>
      <c r="F464" s="18">
        <v>6</v>
      </c>
      <c r="G464" s="18" t="b">
        <v>0</v>
      </c>
      <c r="H464" s="18">
        <v>5</v>
      </c>
      <c r="I464" s="18">
        <v>1</v>
      </c>
      <c r="J464" s="18">
        <v>0.22</v>
      </c>
      <c r="K464">
        <v>0.21210000000000001</v>
      </c>
      <c r="L464">
        <v>0.55000000000000004</v>
      </c>
      <c r="M464" s="18">
        <v>0.25369999999999998</v>
      </c>
      <c r="N464" s="18">
        <v>0</v>
      </c>
      <c r="O464" s="18">
        <v>27</v>
      </c>
      <c r="P464">
        <v>27</v>
      </c>
      <c r="Q464" s="18" t="s">
        <v>34</v>
      </c>
      <c r="R464" s="18" t="s">
        <v>35</v>
      </c>
      <c r="S464" s="18" t="s">
        <v>36</v>
      </c>
      <c r="T464" s="18" t="s">
        <v>45</v>
      </c>
      <c r="U464" s="18">
        <v>2011</v>
      </c>
      <c r="V464" s="16">
        <f t="shared" si="14"/>
        <v>40587</v>
      </c>
      <c r="W464" s="18" t="str">
        <f t="shared" si="15"/>
        <v>Weekday</v>
      </c>
    </row>
    <row r="465" spans="1:23" x14ac:dyDescent="0.25">
      <c r="A465" s="19">
        <v>463</v>
      </c>
      <c r="B465" s="20">
        <v>40564</v>
      </c>
      <c r="C465" s="18">
        <v>1</v>
      </c>
      <c r="D465" s="18">
        <v>0</v>
      </c>
      <c r="E465" s="18">
        <v>1</v>
      </c>
      <c r="F465" s="18">
        <v>7</v>
      </c>
      <c r="G465" s="18" t="b">
        <v>0</v>
      </c>
      <c r="H465" s="18">
        <v>5</v>
      </c>
      <c r="I465" s="18">
        <v>1</v>
      </c>
      <c r="J465" s="18">
        <v>0.2</v>
      </c>
      <c r="K465">
        <v>0.18179999999999999</v>
      </c>
      <c r="L465">
        <v>0.51</v>
      </c>
      <c r="M465" s="18">
        <v>0.28360000000000002</v>
      </c>
      <c r="N465" s="18">
        <v>2</v>
      </c>
      <c r="O465" s="18">
        <v>66</v>
      </c>
      <c r="P465">
        <v>68</v>
      </c>
      <c r="Q465" s="18" t="s">
        <v>34</v>
      </c>
      <c r="R465" s="18" t="s">
        <v>35</v>
      </c>
      <c r="S465" s="18" t="s">
        <v>36</v>
      </c>
      <c r="T465" s="18" t="s">
        <v>45</v>
      </c>
      <c r="U465" s="18">
        <v>2011</v>
      </c>
      <c r="V465" s="16">
        <f t="shared" si="14"/>
        <v>40587</v>
      </c>
      <c r="W465" s="18" t="str">
        <f t="shared" si="15"/>
        <v>Weekday</v>
      </c>
    </row>
    <row r="466" spans="1:23" x14ac:dyDescent="0.25">
      <c r="A466" s="19">
        <v>464</v>
      </c>
      <c r="B466" s="20">
        <v>40564</v>
      </c>
      <c r="C466" s="18">
        <v>1</v>
      </c>
      <c r="D466" s="18">
        <v>0</v>
      </c>
      <c r="E466" s="18">
        <v>1</v>
      </c>
      <c r="F466" s="18">
        <v>8</v>
      </c>
      <c r="G466" s="18" t="b">
        <v>0</v>
      </c>
      <c r="H466" s="18">
        <v>5</v>
      </c>
      <c r="I466" s="18">
        <v>1</v>
      </c>
      <c r="J466" s="18">
        <v>0.2</v>
      </c>
      <c r="K466">
        <v>0.18179999999999999</v>
      </c>
      <c r="L466">
        <v>0.47</v>
      </c>
      <c r="M466" s="18">
        <v>0.32840000000000003</v>
      </c>
      <c r="N466" s="18">
        <v>7</v>
      </c>
      <c r="O466" s="18">
        <v>210</v>
      </c>
      <c r="P466">
        <v>217</v>
      </c>
      <c r="Q466" s="18" t="s">
        <v>34</v>
      </c>
      <c r="R466" s="18" t="s">
        <v>35</v>
      </c>
      <c r="S466" s="18" t="s">
        <v>36</v>
      </c>
      <c r="T466" s="18" t="s">
        <v>45</v>
      </c>
      <c r="U466" s="18">
        <v>2011</v>
      </c>
      <c r="V466" s="16">
        <f t="shared" si="14"/>
        <v>40587</v>
      </c>
      <c r="W466" s="18" t="str">
        <f t="shared" si="15"/>
        <v>Weekday</v>
      </c>
    </row>
    <row r="467" spans="1:23" x14ac:dyDescent="0.25">
      <c r="A467" s="19">
        <v>465</v>
      </c>
      <c r="B467" s="20">
        <v>40564</v>
      </c>
      <c r="C467" s="18">
        <v>1</v>
      </c>
      <c r="D467" s="18">
        <v>0</v>
      </c>
      <c r="E467" s="18">
        <v>1</v>
      </c>
      <c r="F467" s="18">
        <v>9</v>
      </c>
      <c r="G467" s="18" t="b">
        <v>0</v>
      </c>
      <c r="H467" s="18">
        <v>5</v>
      </c>
      <c r="I467" s="18">
        <v>1</v>
      </c>
      <c r="J467" s="18">
        <v>0.2</v>
      </c>
      <c r="K467">
        <v>0.18179999999999999</v>
      </c>
      <c r="L467">
        <v>0.51</v>
      </c>
      <c r="M467" s="18">
        <v>0.35820000000000002</v>
      </c>
      <c r="N467" s="18">
        <v>7</v>
      </c>
      <c r="O467" s="18">
        <v>159</v>
      </c>
      <c r="P467">
        <v>166</v>
      </c>
      <c r="Q467" s="18" t="s">
        <v>34</v>
      </c>
      <c r="R467" s="18" t="s">
        <v>35</v>
      </c>
      <c r="S467" s="18" t="s">
        <v>36</v>
      </c>
      <c r="T467" s="18" t="s">
        <v>45</v>
      </c>
      <c r="U467" s="18">
        <v>2011</v>
      </c>
      <c r="V467" s="16">
        <f t="shared" si="14"/>
        <v>40587</v>
      </c>
      <c r="W467" s="18" t="str">
        <f t="shared" si="15"/>
        <v>Weekday</v>
      </c>
    </row>
    <row r="468" spans="1:23" x14ac:dyDescent="0.25">
      <c r="A468" s="19">
        <v>466</v>
      </c>
      <c r="B468" s="20">
        <v>40564</v>
      </c>
      <c r="C468" s="18">
        <v>1</v>
      </c>
      <c r="D468" s="18">
        <v>0</v>
      </c>
      <c r="E468" s="18">
        <v>1</v>
      </c>
      <c r="F468" s="18">
        <v>10</v>
      </c>
      <c r="G468" s="18" t="b">
        <v>0</v>
      </c>
      <c r="H468" s="18">
        <v>5</v>
      </c>
      <c r="I468" s="18">
        <v>1</v>
      </c>
      <c r="J468" s="18">
        <v>0.2</v>
      </c>
      <c r="K468">
        <v>0.16669999999999999</v>
      </c>
      <c r="L468">
        <v>0.47</v>
      </c>
      <c r="M468" s="18">
        <v>0.4627</v>
      </c>
      <c r="N468" s="18">
        <v>6</v>
      </c>
      <c r="O468" s="18">
        <v>57</v>
      </c>
      <c r="P468">
        <v>63</v>
      </c>
      <c r="Q468" s="18" t="s">
        <v>34</v>
      </c>
      <c r="R468" s="18" t="s">
        <v>35</v>
      </c>
      <c r="S468" s="18" t="s">
        <v>36</v>
      </c>
      <c r="T468" s="18" t="s">
        <v>45</v>
      </c>
      <c r="U468" s="18">
        <v>2011</v>
      </c>
      <c r="V468" s="16">
        <f t="shared" si="14"/>
        <v>40587</v>
      </c>
      <c r="W468" s="18" t="str">
        <f t="shared" si="15"/>
        <v>Weekday</v>
      </c>
    </row>
    <row r="469" spans="1:23" x14ac:dyDescent="0.25">
      <c r="A469" s="19">
        <v>467</v>
      </c>
      <c r="B469" s="20">
        <v>40564</v>
      </c>
      <c r="C469" s="18">
        <v>1</v>
      </c>
      <c r="D469" s="18">
        <v>0</v>
      </c>
      <c r="E469" s="18">
        <v>1</v>
      </c>
      <c r="F469" s="18">
        <v>11</v>
      </c>
      <c r="G469" s="18" t="b">
        <v>0</v>
      </c>
      <c r="H469" s="18">
        <v>5</v>
      </c>
      <c r="I469" s="18">
        <v>1</v>
      </c>
      <c r="J469" s="18">
        <v>0.22</v>
      </c>
      <c r="K469">
        <v>0.18179999999999999</v>
      </c>
      <c r="L469">
        <v>0.41</v>
      </c>
      <c r="M469" s="18">
        <v>0.4627</v>
      </c>
      <c r="N469" s="18">
        <v>6</v>
      </c>
      <c r="O469" s="18">
        <v>53</v>
      </c>
      <c r="P469">
        <v>59</v>
      </c>
      <c r="Q469" s="18" t="s">
        <v>34</v>
      </c>
      <c r="R469" s="18" t="s">
        <v>35</v>
      </c>
      <c r="S469" s="18" t="s">
        <v>36</v>
      </c>
      <c r="T469" s="18" t="s">
        <v>45</v>
      </c>
      <c r="U469" s="18">
        <v>2011</v>
      </c>
      <c r="V469" s="16">
        <f t="shared" si="14"/>
        <v>40587</v>
      </c>
      <c r="W469" s="18" t="str">
        <f t="shared" si="15"/>
        <v>Weekday</v>
      </c>
    </row>
    <row r="470" spans="1:23" x14ac:dyDescent="0.25">
      <c r="A470" s="19">
        <v>468</v>
      </c>
      <c r="B470" s="20">
        <v>40564</v>
      </c>
      <c r="C470" s="18">
        <v>1</v>
      </c>
      <c r="D470" s="18">
        <v>0</v>
      </c>
      <c r="E470" s="18">
        <v>1</v>
      </c>
      <c r="F470" s="18">
        <v>12</v>
      </c>
      <c r="G470" s="18" t="b">
        <v>0</v>
      </c>
      <c r="H470" s="18">
        <v>5</v>
      </c>
      <c r="I470" s="18">
        <v>1</v>
      </c>
      <c r="J470" s="18">
        <v>0.22</v>
      </c>
      <c r="K470">
        <v>0.18179999999999999</v>
      </c>
      <c r="L470">
        <v>0.27</v>
      </c>
      <c r="M470" s="18">
        <v>0.58209999999999995</v>
      </c>
      <c r="N470" s="18">
        <v>11</v>
      </c>
      <c r="O470" s="18">
        <v>67</v>
      </c>
      <c r="P470">
        <v>78</v>
      </c>
      <c r="Q470" s="18" t="s">
        <v>34</v>
      </c>
      <c r="R470" s="18" t="s">
        <v>35</v>
      </c>
      <c r="S470" s="18" t="s">
        <v>36</v>
      </c>
      <c r="T470" s="18" t="s">
        <v>45</v>
      </c>
      <c r="U470" s="18">
        <v>2011</v>
      </c>
      <c r="V470" s="16">
        <f t="shared" si="14"/>
        <v>40587</v>
      </c>
      <c r="W470" s="18" t="str">
        <f t="shared" si="15"/>
        <v>Weekday</v>
      </c>
    </row>
    <row r="471" spans="1:23" x14ac:dyDescent="0.25">
      <c r="A471" s="19">
        <v>469</v>
      </c>
      <c r="B471" s="20">
        <v>40564</v>
      </c>
      <c r="C471" s="18">
        <v>1</v>
      </c>
      <c r="D471" s="18">
        <v>0</v>
      </c>
      <c r="E471" s="18">
        <v>1</v>
      </c>
      <c r="F471" s="18">
        <v>13</v>
      </c>
      <c r="G471" s="18" t="b">
        <v>0</v>
      </c>
      <c r="H471" s="18">
        <v>5</v>
      </c>
      <c r="I471" s="18">
        <v>1</v>
      </c>
      <c r="J471" s="18">
        <v>0.2</v>
      </c>
      <c r="K471">
        <v>0.1515</v>
      </c>
      <c r="L471">
        <v>0.21</v>
      </c>
      <c r="M471" s="18">
        <v>0.58209999999999995</v>
      </c>
      <c r="N471" s="18">
        <v>8</v>
      </c>
      <c r="O471" s="18">
        <v>65</v>
      </c>
      <c r="P471">
        <v>73</v>
      </c>
      <c r="Q471" s="18" t="s">
        <v>34</v>
      </c>
      <c r="R471" s="18" t="s">
        <v>35</v>
      </c>
      <c r="S471" s="18" t="s">
        <v>36</v>
      </c>
      <c r="T471" s="18" t="s">
        <v>45</v>
      </c>
      <c r="U471" s="18">
        <v>2011</v>
      </c>
      <c r="V471" s="16">
        <f t="shared" si="14"/>
        <v>40587</v>
      </c>
      <c r="W471" s="18" t="str">
        <f t="shared" si="15"/>
        <v>Weekday</v>
      </c>
    </row>
    <row r="472" spans="1:23" x14ac:dyDescent="0.25">
      <c r="A472" s="19">
        <v>470</v>
      </c>
      <c r="B472" s="20">
        <v>40564</v>
      </c>
      <c r="C472" s="18">
        <v>1</v>
      </c>
      <c r="D472" s="18">
        <v>0</v>
      </c>
      <c r="E472" s="18">
        <v>1</v>
      </c>
      <c r="F472" s="18">
        <v>14</v>
      </c>
      <c r="G472" s="18" t="b">
        <v>0</v>
      </c>
      <c r="H472" s="18">
        <v>5</v>
      </c>
      <c r="I472" s="18">
        <v>1</v>
      </c>
      <c r="J472" s="18">
        <v>0.2</v>
      </c>
      <c r="K472">
        <v>0.1515</v>
      </c>
      <c r="L472">
        <v>0.25</v>
      </c>
      <c r="M472" s="18">
        <v>0.52239999999999998</v>
      </c>
      <c r="N472" s="18">
        <v>6</v>
      </c>
      <c r="O472" s="18">
        <v>56</v>
      </c>
      <c r="P472">
        <v>62</v>
      </c>
      <c r="Q472" s="18" t="s">
        <v>34</v>
      </c>
      <c r="R472" s="18" t="s">
        <v>35</v>
      </c>
      <c r="S472" s="18" t="s">
        <v>36</v>
      </c>
      <c r="T472" s="18" t="s">
        <v>45</v>
      </c>
      <c r="U472" s="18">
        <v>2011</v>
      </c>
      <c r="V472" s="16">
        <f t="shared" si="14"/>
        <v>40587</v>
      </c>
      <c r="W472" s="18" t="str">
        <f t="shared" si="15"/>
        <v>Weekday</v>
      </c>
    </row>
    <row r="473" spans="1:23" x14ac:dyDescent="0.25">
      <c r="A473" s="19">
        <v>471</v>
      </c>
      <c r="B473" s="20">
        <v>40564</v>
      </c>
      <c r="C473" s="18">
        <v>1</v>
      </c>
      <c r="D473" s="18">
        <v>0</v>
      </c>
      <c r="E473" s="18">
        <v>1</v>
      </c>
      <c r="F473" s="18">
        <v>15</v>
      </c>
      <c r="G473" s="18" t="b">
        <v>0</v>
      </c>
      <c r="H473" s="18">
        <v>5</v>
      </c>
      <c r="I473" s="18">
        <v>1</v>
      </c>
      <c r="J473" s="18">
        <v>0.16</v>
      </c>
      <c r="K473">
        <v>0.1212</v>
      </c>
      <c r="L473">
        <v>0.26</v>
      </c>
      <c r="M473" s="18">
        <v>0.44779999999999998</v>
      </c>
      <c r="N473" s="18">
        <v>4</v>
      </c>
      <c r="O473" s="18">
        <v>61</v>
      </c>
      <c r="P473">
        <v>65</v>
      </c>
      <c r="Q473" s="18" t="s">
        <v>34</v>
      </c>
      <c r="R473" s="18" t="s">
        <v>35</v>
      </c>
      <c r="S473" s="18" t="s">
        <v>36</v>
      </c>
      <c r="T473" s="18" t="s">
        <v>45</v>
      </c>
      <c r="U473" s="18">
        <v>2011</v>
      </c>
      <c r="V473" s="16">
        <f t="shared" si="14"/>
        <v>40587</v>
      </c>
      <c r="W473" s="18" t="str">
        <f t="shared" si="15"/>
        <v>Weekday</v>
      </c>
    </row>
    <row r="474" spans="1:23" x14ac:dyDescent="0.25">
      <c r="A474" s="19">
        <v>472</v>
      </c>
      <c r="B474" s="20">
        <v>40564</v>
      </c>
      <c r="C474" s="18">
        <v>1</v>
      </c>
      <c r="D474" s="18">
        <v>0</v>
      </c>
      <c r="E474" s="18">
        <v>1</v>
      </c>
      <c r="F474" s="18">
        <v>16</v>
      </c>
      <c r="G474" s="18" t="b">
        <v>0</v>
      </c>
      <c r="H474" s="18">
        <v>5</v>
      </c>
      <c r="I474" s="18">
        <v>1</v>
      </c>
      <c r="J474" s="18">
        <v>0.16</v>
      </c>
      <c r="K474">
        <v>0.13639999999999999</v>
      </c>
      <c r="L474">
        <v>0.26</v>
      </c>
      <c r="M474" s="18">
        <v>0.35820000000000002</v>
      </c>
      <c r="N474" s="18">
        <v>0</v>
      </c>
      <c r="O474" s="18">
        <v>97</v>
      </c>
      <c r="P474">
        <v>97</v>
      </c>
      <c r="Q474" s="18" t="s">
        <v>34</v>
      </c>
      <c r="R474" s="18" t="s">
        <v>35</v>
      </c>
      <c r="S474" s="18" t="s">
        <v>36</v>
      </c>
      <c r="T474" s="18" t="s">
        <v>45</v>
      </c>
      <c r="U474" s="18">
        <v>2011</v>
      </c>
      <c r="V474" s="16">
        <f t="shared" si="14"/>
        <v>40587</v>
      </c>
      <c r="W474" s="18" t="str">
        <f t="shared" si="15"/>
        <v>Weekday</v>
      </c>
    </row>
    <row r="475" spans="1:23" x14ac:dyDescent="0.25">
      <c r="A475" s="19">
        <v>473</v>
      </c>
      <c r="B475" s="20">
        <v>40564</v>
      </c>
      <c r="C475" s="18">
        <v>1</v>
      </c>
      <c r="D475" s="18">
        <v>0</v>
      </c>
      <c r="E475" s="18">
        <v>1</v>
      </c>
      <c r="F475" s="18">
        <v>17</v>
      </c>
      <c r="G475" s="18" t="b">
        <v>0</v>
      </c>
      <c r="H475" s="18">
        <v>5</v>
      </c>
      <c r="I475" s="18">
        <v>1</v>
      </c>
      <c r="J475" s="18">
        <v>0.14000000000000001</v>
      </c>
      <c r="K475">
        <v>0.1212</v>
      </c>
      <c r="L475">
        <v>0.28000000000000003</v>
      </c>
      <c r="M475" s="18">
        <v>0.35820000000000002</v>
      </c>
      <c r="N475" s="18">
        <v>10</v>
      </c>
      <c r="O475" s="18">
        <v>151</v>
      </c>
      <c r="P475">
        <v>161</v>
      </c>
      <c r="Q475" s="18" t="s">
        <v>34</v>
      </c>
      <c r="R475" s="18" t="s">
        <v>35</v>
      </c>
      <c r="S475" s="18" t="s">
        <v>36</v>
      </c>
      <c r="T475" s="18" t="s">
        <v>45</v>
      </c>
      <c r="U475" s="18">
        <v>2011</v>
      </c>
      <c r="V475" s="16">
        <f t="shared" si="14"/>
        <v>40587</v>
      </c>
      <c r="W475" s="18" t="str">
        <f t="shared" si="15"/>
        <v>Weekday</v>
      </c>
    </row>
    <row r="476" spans="1:23" x14ac:dyDescent="0.25">
      <c r="A476" s="19">
        <v>474</v>
      </c>
      <c r="B476" s="20">
        <v>40564</v>
      </c>
      <c r="C476" s="18">
        <v>1</v>
      </c>
      <c r="D476" s="18">
        <v>0</v>
      </c>
      <c r="E476" s="18">
        <v>1</v>
      </c>
      <c r="F476" s="18">
        <v>18</v>
      </c>
      <c r="G476" s="18" t="b">
        <v>0</v>
      </c>
      <c r="H476" s="18">
        <v>5</v>
      </c>
      <c r="I476" s="18">
        <v>1</v>
      </c>
      <c r="J476" s="18">
        <v>0.12</v>
      </c>
      <c r="K476">
        <v>0.1212</v>
      </c>
      <c r="L476">
        <v>0.3</v>
      </c>
      <c r="M476" s="18">
        <v>0.25369999999999998</v>
      </c>
      <c r="N476" s="18">
        <v>1</v>
      </c>
      <c r="O476" s="18">
        <v>119</v>
      </c>
      <c r="P476">
        <v>120</v>
      </c>
      <c r="Q476" s="18" t="s">
        <v>34</v>
      </c>
      <c r="R476" s="18" t="s">
        <v>35</v>
      </c>
      <c r="S476" s="18" t="s">
        <v>36</v>
      </c>
      <c r="T476" s="18" t="s">
        <v>45</v>
      </c>
      <c r="U476" s="18">
        <v>2011</v>
      </c>
      <c r="V476" s="16">
        <f t="shared" si="14"/>
        <v>40587</v>
      </c>
      <c r="W476" s="18" t="str">
        <f t="shared" si="15"/>
        <v>Weekday</v>
      </c>
    </row>
    <row r="477" spans="1:23" x14ac:dyDescent="0.25">
      <c r="A477" s="19">
        <v>475</v>
      </c>
      <c r="B477" s="20">
        <v>40564</v>
      </c>
      <c r="C477" s="18">
        <v>1</v>
      </c>
      <c r="D477" s="18">
        <v>0</v>
      </c>
      <c r="E477" s="18">
        <v>1</v>
      </c>
      <c r="F477" s="18">
        <v>19</v>
      </c>
      <c r="G477" s="18" t="b">
        <v>0</v>
      </c>
      <c r="H477" s="18">
        <v>5</v>
      </c>
      <c r="I477" s="18">
        <v>1</v>
      </c>
      <c r="J477" s="18">
        <v>0.12</v>
      </c>
      <c r="K477">
        <v>0.1061</v>
      </c>
      <c r="L477">
        <v>0.3</v>
      </c>
      <c r="M477" s="18">
        <v>0.32840000000000003</v>
      </c>
      <c r="N477" s="18">
        <v>3</v>
      </c>
      <c r="O477" s="18">
        <v>93</v>
      </c>
      <c r="P477">
        <v>96</v>
      </c>
      <c r="Q477" s="18" t="s">
        <v>34</v>
      </c>
      <c r="R477" s="18" t="s">
        <v>35</v>
      </c>
      <c r="S477" s="18" t="s">
        <v>36</v>
      </c>
      <c r="T477" s="18" t="s">
        <v>45</v>
      </c>
      <c r="U477" s="18">
        <v>2011</v>
      </c>
      <c r="V477" s="16">
        <f t="shared" si="14"/>
        <v>40587</v>
      </c>
      <c r="W477" s="18" t="str">
        <f t="shared" si="15"/>
        <v>Weekday</v>
      </c>
    </row>
    <row r="478" spans="1:23" x14ac:dyDescent="0.25">
      <c r="A478" s="19">
        <v>476</v>
      </c>
      <c r="B478" s="20">
        <v>40564</v>
      </c>
      <c r="C478" s="18">
        <v>1</v>
      </c>
      <c r="D478" s="18">
        <v>0</v>
      </c>
      <c r="E478" s="18">
        <v>1</v>
      </c>
      <c r="F478" s="18">
        <v>20</v>
      </c>
      <c r="G478" s="18" t="b">
        <v>0</v>
      </c>
      <c r="H478" s="18">
        <v>5</v>
      </c>
      <c r="I478" s="18">
        <v>1</v>
      </c>
      <c r="J478" s="18">
        <v>0.1</v>
      </c>
      <c r="K478">
        <v>7.5800000000000006E-2</v>
      </c>
      <c r="L478">
        <v>0.33</v>
      </c>
      <c r="M478" s="18">
        <v>0.41789999999999999</v>
      </c>
      <c r="N478" s="18">
        <v>1</v>
      </c>
      <c r="O478" s="18">
        <v>52</v>
      </c>
      <c r="P478">
        <v>53</v>
      </c>
      <c r="Q478" s="18" t="s">
        <v>34</v>
      </c>
      <c r="R478" s="18" t="s">
        <v>35</v>
      </c>
      <c r="S478" s="18" t="s">
        <v>36</v>
      </c>
      <c r="T478" s="18" t="s">
        <v>45</v>
      </c>
      <c r="U478" s="18">
        <v>2011</v>
      </c>
      <c r="V478" s="16">
        <f t="shared" si="14"/>
        <v>40587</v>
      </c>
      <c r="W478" s="18" t="str">
        <f t="shared" si="15"/>
        <v>Weekday</v>
      </c>
    </row>
    <row r="479" spans="1:23" x14ac:dyDescent="0.25">
      <c r="A479" s="19">
        <v>477</v>
      </c>
      <c r="B479" s="20">
        <v>40564</v>
      </c>
      <c r="C479" s="18">
        <v>1</v>
      </c>
      <c r="D479" s="18">
        <v>0</v>
      </c>
      <c r="E479" s="18">
        <v>1</v>
      </c>
      <c r="F479" s="18">
        <v>21</v>
      </c>
      <c r="G479" s="18" t="b">
        <v>0</v>
      </c>
      <c r="H479" s="18">
        <v>5</v>
      </c>
      <c r="I479" s="18">
        <v>1</v>
      </c>
      <c r="J479" s="18">
        <v>0.08</v>
      </c>
      <c r="K479">
        <v>7.5800000000000006E-2</v>
      </c>
      <c r="L479">
        <v>0.38</v>
      </c>
      <c r="M479" s="18">
        <v>0.28360000000000002</v>
      </c>
      <c r="N479" s="18">
        <v>0</v>
      </c>
      <c r="O479" s="18">
        <v>41</v>
      </c>
      <c r="P479">
        <v>41</v>
      </c>
      <c r="Q479" s="18" t="s">
        <v>34</v>
      </c>
      <c r="R479" s="18" t="s">
        <v>35</v>
      </c>
      <c r="S479" s="18" t="s">
        <v>36</v>
      </c>
      <c r="T479" s="18" t="s">
        <v>45</v>
      </c>
      <c r="U479" s="18">
        <v>2011</v>
      </c>
      <c r="V479" s="16">
        <f t="shared" si="14"/>
        <v>40587</v>
      </c>
      <c r="W479" s="18" t="str">
        <f t="shared" si="15"/>
        <v>Weekday</v>
      </c>
    </row>
    <row r="480" spans="1:23" x14ac:dyDescent="0.25">
      <c r="A480" s="19">
        <v>478</v>
      </c>
      <c r="B480" s="20">
        <v>40564</v>
      </c>
      <c r="C480" s="18">
        <v>1</v>
      </c>
      <c r="D480" s="18">
        <v>0</v>
      </c>
      <c r="E480" s="18">
        <v>1</v>
      </c>
      <c r="F480" s="18">
        <v>22</v>
      </c>
      <c r="G480" s="18" t="b">
        <v>0</v>
      </c>
      <c r="H480" s="18">
        <v>5</v>
      </c>
      <c r="I480" s="18">
        <v>1</v>
      </c>
      <c r="J480" s="18">
        <v>0.06</v>
      </c>
      <c r="K480">
        <v>3.0300000000000001E-2</v>
      </c>
      <c r="L480">
        <v>0.41</v>
      </c>
      <c r="M480" s="18">
        <v>0.3881</v>
      </c>
      <c r="N480" s="18">
        <v>1</v>
      </c>
      <c r="O480" s="18">
        <v>33</v>
      </c>
      <c r="P480">
        <v>34</v>
      </c>
      <c r="Q480" s="18" t="s">
        <v>34</v>
      </c>
      <c r="R480" s="18" t="s">
        <v>35</v>
      </c>
      <c r="S480" s="18" t="s">
        <v>36</v>
      </c>
      <c r="T480" s="18" t="s">
        <v>45</v>
      </c>
      <c r="U480" s="18">
        <v>2011</v>
      </c>
      <c r="V480" s="16">
        <f t="shared" si="14"/>
        <v>40587</v>
      </c>
      <c r="W480" s="18" t="str">
        <f t="shared" si="15"/>
        <v>Weekday</v>
      </c>
    </row>
    <row r="481" spans="1:23" x14ac:dyDescent="0.25">
      <c r="A481" s="19">
        <v>479</v>
      </c>
      <c r="B481" s="20">
        <v>40564</v>
      </c>
      <c r="C481" s="18">
        <v>1</v>
      </c>
      <c r="D481" s="18">
        <v>0</v>
      </c>
      <c r="E481" s="18">
        <v>1</v>
      </c>
      <c r="F481" s="18">
        <v>23</v>
      </c>
      <c r="G481" s="18" t="b">
        <v>0</v>
      </c>
      <c r="H481" s="18">
        <v>5</v>
      </c>
      <c r="I481" s="18">
        <v>1</v>
      </c>
      <c r="J481" s="18">
        <v>0.06</v>
      </c>
      <c r="K481">
        <v>4.5499999999999999E-2</v>
      </c>
      <c r="L481">
        <v>0.38</v>
      </c>
      <c r="M481" s="18">
        <v>0.32840000000000003</v>
      </c>
      <c r="N481" s="18">
        <v>0</v>
      </c>
      <c r="O481" s="18">
        <v>27</v>
      </c>
      <c r="P481">
        <v>27</v>
      </c>
      <c r="Q481" s="18" t="s">
        <v>34</v>
      </c>
      <c r="R481" s="18" t="s">
        <v>35</v>
      </c>
      <c r="S481" s="18" t="s">
        <v>36</v>
      </c>
      <c r="T481" s="18" t="s">
        <v>45</v>
      </c>
      <c r="U481" s="18">
        <v>2011</v>
      </c>
      <c r="V481" s="16">
        <f t="shared" si="14"/>
        <v>40587</v>
      </c>
      <c r="W481" s="18" t="str">
        <f t="shared" si="15"/>
        <v>Weekday</v>
      </c>
    </row>
    <row r="482" spans="1:23" x14ac:dyDescent="0.25">
      <c r="A482" s="19">
        <v>480</v>
      </c>
      <c r="B482" s="20">
        <v>40565</v>
      </c>
      <c r="C482" s="18">
        <v>1</v>
      </c>
      <c r="D482" s="18">
        <v>0</v>
      </c>
      <c r="E482" s="18">
        <v>1</v>
      </c>
      <c r="F482" s="18">
        <v>0</v>
      </c>
      <c r="G482" s="18" t="b">
        <v>0</v>
      </c>
      <c r="H482" s="18">
        <v>6</v>
      </c>
      <c r="I482" s="18">
        <v>1</v>
      </c>
      <c r="J482" s="18">
        <v>0.04</v>
      </c>
      <c r="K482">
        <v>3.0300000000000001E-2</v>
      </c>
      <c r="L482">
        <v>0.45</v>
      </c>
      <c r="M482" s="18">
        <v>0.25369999999999998</v>
      </c>
      <c r="N482" s="18">
        <v>0</v>
      </c>
      <c r="O482" s="18">
        <v>13</v>
      </c>
      <c r="P482">
        <v>13</v>
      </c>
      <c r="Q482" s="18" t="s">
        <v>34</v>
      </c>
      <c r="R482" s="18" t="s">
        <v>35</v>
      </c>
      <c r="S482" s="18" t="s">
        <v>36</v>
      </c>
      <c r="T482" s="18" t="s">
        <v>37</v>
      </c>
      <c r="U482" s="18">
        <v>2011</v>
      </c>
      <c r="V482" s="16">
        <f t="shared" si="14"/>
        <v>40587</v>
      </c>
      <c r="W482" s="18" t="str">
        <f t="shared" si="15"/>
        <v>Weedend</v>
      </c>
    </row>
    <row r="483" spans="1:23" x14ac:dyDescent="0.25">
      <c r="A483" s="19">
        <v>481</v>
      </c>
      <c r="B483" s="20">
        <v>40565</v>
      </c>
      <c r="C483" s="18">
        <v>1</v>
      </c>
      <c r="D483" s="18">
        <v>0</v>
      </c>
      <c r="E483" s="18">
        <v>1</v>
      </c>
      <c r="F483" s="18">
        <v>1</v>
      </c>
      <c r="G483" s="18" t="b">
        <v>0</v>
      </c>
      <c r="H483" s="18">
        <v>6</v>
      </c>
      <c r="I483" s="18">
        <v>2</v>
      </c>
      <c r="J483" s="18">
        <v>0.04</v>
      </c>
      <c r="K483">
        <v>0</v>
      </c>
      <c r="L483">
        <v>0.41</v>
      </c>
      <c r="M483" s="18">
        <v>0.3881</v>
      </c>
      <c r="N483" s="18">
        <v>3</v>
      </c>
      <c r="O483" s="18">
        <v>9</v>
      </c>
      <c r="P483">
        <v>12</v>
      </c>
      <c r="Q483" s="18" t="s">
        <v>34</v>
      </c>
      <c r="R483" s="18" t="s">
        <v>35</v>
      </c>
      <c r="S483" s="18" t="s">
        <v>38</v>
      </c>
      <c r="T483" s="18" t="s">
        <v>37</v>
      </c>
      <c r="U483" s="18">
        <v>2011</v>
      </c>
      <c r="V483" s="16">
        <f t="shared" si="14"/>
        <v>40587</v>
      </c>
      <c r="W483" s="18" t="str">
        <f t="shared" si="15"/>
        <v>Weedend</v>
      </c>
    </row>
    <row r="484" spans="1:23" x14ac:dyDescent="0.25">
      <c r="A484" s="19">
        <v>482</v>
      </c>
      <c r="B484" s="20">
        <v>40565</v>
      </c>
      <c r="C484" s="18">
        <v>1</v>
      </c>
      <c r="D484" s="18">
        <v>0</v>
      </c>
      <c r="E484" s="18">
        <v>1</v>
      </c>
      <c r="F484" s="18">
        <v>2</v>
      </c>
      <c r="G484" s="18" t="b">
        <v>0</v>
      </c>
      <c r="H484" s="18">
        <v>6</v>
      </c>
      <c r="I484" s="18">
        <v>2</v>
      </c>
      <c r="J484" s="18">
        <v>0.04</v>
      </c>
      <c r="K484">
        <v>3.0300000000000001E-2</v>
      </c>
      <c r="L484">
        <v>0.41</v>
      </c>
      <c r="M484" s="18">
        <v>0.25369999999999998</v>
      </c>
      <c r="N484" s="18">
        <v>0</v>
      </c>
      <c r="O484" s="18">
        <v>11</v>
      </c>
      <c r="P484">
        <v>11</v>
      </c>
      <c r="Q484" s="18" t="s">
        <v>34</v>
      </c>
      <c r="R484" s="18" t="s">
        <v>35</v>
      </c>
      <c r="S484" s="18" t="s">
        <v>38</v>
      </c>
      <c r="T484" s="18" t="s">
        <v>37</v>
      </c>
      <c r="U484" s="18">
        <v>2011</v>
      </c>
      <c r="V484" s="16">
        <f t="shared" si="14"/>
        <v>40587</v>
      </c>
      <c r="W484" s="18" t="str">
        <f t="shared" si="15"/>
        <v>Weedend</v>
      </c>
    </row>
    <row r="485" spans="1:23" x14ac:dyDescent="0.25">
      <c r="A485" s="19">
        <v>483</v>
      </c>
      <c r="B485" s="20">
        <v>40565</v>
      </c>
      <c r="C485" s="18">
        <v>1</v>
      </c>
      <c r="D485" s="18">
        <v>0</v>
      </c>
      <c r="E485" s="18">
        <v>1</v>
      </c>
      <c r="F485" s="18">
        <v>3</v>
      </c>
      <c r="G485" s="18" t="b">
        <v>0</v>
      </c>
      <c r="H485" s="18">
        <v>6</v>
      </c>
      <c r="I485" s="18">
        <v>2</v>
      </c>
      <c r="J485" s="18">
        <v>0.04</v>
      </c>
      <c r="K485">
        <v>3.0300000000000001E-2</v>
      </c>
      <c r="L485">
        <v>0.41</v>
      </c>
      <c r="M485" s="18">
        <v>0.28360000000000002</v>
      </c>
      <c r="N485" s="18">
        <v>1</v>
      </c>
      <c r="O485" s="18">
        <v>6</v>
      </c>
      <c r="P485">
        <v>7</v>
      </c>
      <c r="Q485" s="18" t="s">
        <v>34</v>
      </c>
      <c r="R485" s="18" t="s">
        <v>35</v>
      </c>
      <c r="S485" s="18" t="s">
        <v>38</v>
      </c>
      <c r="T485" s="18" t="s">
        <v>37</v>
      </c>
      <c r="U485" s="18">
        <v>2011</v>
      </c>
      <c r="V485" s="16">
        <f t="shared" si="14"/>
        <v>40587</v>
      </c>
      <c r="W485" s="18" t="str">
        <f t="shared" si="15"/>
        <v>Weedend</v>
      </c>
    </row>
    <row r="486" spans="1:23" x14ac:dyDescent="0.25">
      <c r="A486" s="19">
        <v>484</v>
      </c>
      <c r="B486" s="20">
        <v>40565</v>
      </c>
      <c r="C486" s="18">
        <v>1</v>
      </c>
      <c r="D486" s="18">
        <v>0</v>
      </c>
      <c r="E486" s="18">
        <v>1</v>
      </c>
      <c r="F486" s="18">
        <v>4</v>
      </c>
      <c r="G486" s="18" t="b">
        <v>0</v>
      </c>
      <c r="H486" s="18">
        <v>6</v>
      </c>
      <c r="I486" s="18">
        <v>2</v>
      </c>
      <c r="J486" s="18">
        <v>0.02</v>
      </c>
      <c r="K486">
        <v>1.52E-2</v>
      </c>
      <c r="L486">
        <v>0.48</v>
      </c>
      <c r="M486" s="18">
        <v>0.29849999999999999</v>
      </c>
      <c r="N486" s="18">
        <v>0</v>
      </c>
      <c r="O486" s="18">
        <v>3</v>
      </c>
      <c r="P486">
        <v>3</v>
      </c>
      <c r="Q486" s="18" t="s">
        <v>34</v>
      </c>
      <c r="R486" s="18" t="s">
        <v>35</v>
      </c>
      <c r="S486" s="18" t="s">
        <v>38</v>
      </c>
      <c r="T486" s="18" t="s">
        <v>37</v>
      </c>
      <c r="U486" s="18">
        <v>2011</v>
      </c>
      <c r="V486" s="16">
        <f t="shared" si="14"/>
        <v>40587</v>
      </c>
      <c r="W486" s="18" t="str">
        <f t="shared" si="15"/>
        <v>Weedend</v>
      </c>
    </row>
    <row r="487" spans="1:23" x14ac:dyDescent="0.25">
      <c r="A487" s="19">
        <v>485</v>
      </c>
      <c r="B487" s="20">
        <v>40565</v>
      </c>
      <c r="C487" s="18">
        <v>1</v>
      </c>
      <c r="D487" s="18">
        <v>0</v>
      </c>
      <c r="E487" s="18">
        <v>1</v>
      </c>
      <c r="F487" s="18">
        <v>6</v>
      </c>
      <c r="G487" s="18" t="b">
        <v>0</v>
      </c>
      <c r="H487" s="18">
        <v>6</v>
      </c>
      <c r="I487" s="18">
        <v>2</v>
      </c>
      <c r="J487" s="18">
        <v>0.02</v>
      </c>
      <c r="K487">
        <v>3.0300000000000001E-2</v>
      </c>
      <c r="L487">
        <v>0.44</v>
      </c>
      <c r="M487" s="18">
        <v>0.22389999999999999</v>
      </c>
      <c r="N487" s="18">
        <v>0</v>
      </c>
      <c r="O487" s="18">
        <v>2</v>
      </c>
      <c r="P487">
        <v>2</v>
      </c>
      <c r="Q487" s="18" t="s">
        <v>34</v>
      </c>
      <c r="R487" s="18" t="s">
        <v>35</v>
      </c>
      <c r="S487" s="18" t="s">
        <v>38</v>
      </c>
      <c r="T487" s="18" t="s">
        <v>37</v>
      </c>
      <c r="U487" s="18">
        <v>2011</v>
      </c>
      <c r="V487" s="16">
        <f t="shared" si="14"/>
        <v>40587</v>
      </c>
      <c r="W487" s="18" t="str">
        <f t="shared" si="15"/>
        <v>Weedend</v>
      </c>
    </row>
    <row r="488" spans="1:23" x14ac:dyDescent="0.25">
      <c r="A488" s="19">
        <v>486</v>
      </c>
      <c r="B488" s="20">
        <v>40565</v>
      </c>
      <c r="C488" s="18">
        <v>1</v>
      </c>
      <c r="D488" s="18">
        <v>0</v>
      </c>
      <c r="E488" s="18">
        <v>1</v>
      </c>
      <c r="F488" s="18">
        <v>7</v>
      </c>
      <c r="G488" s="18" t="b">
        <v>0</v>
      </c>
      <c r="H488" s="18">
        <v>6</v>
      </c>
      <c r="I488" s="18">
        <v>1</v>
      </c>
      <c r="J488" s="18">
        <v>0.02</v>
      </c>
      <c r="K488">
        <v>1.52E-2</v>
      </c>
      <c r="L488">
        <v>0.44</v>
      </c>
      <c r="M488" s="18">
        <v>0.28360000000000002</v>
      </c>
      <c r="N488" s="18">
        <v>0</v>
      </c>
      <c r="O488" s="18">
        <v>8</v>
      </c>
      <c r="P488">
        <v>8</v>
      </c>
      <c r="Q488" s="18" t="s">
        <v>34</v>
      </c>
      <c r="R488" s="18" t="s">
        <v>35</v>
      </c>
      <c r="S488" s="18" t="s">
        <v>36</v>
      </c>
      <c r="T488" s="18" t="s">
        <v>37</v>
      </c>
      <c r="U488" s="18">
        <v>2011</v>
      </c>
      <c r="V488" s="16">
        <f t="shared" si="14"/>
        <v>40587</v>
      </c>
      <c r="W488" s="18" t="str">
        <f t="shared" si="15"/>
        <v>Weedend</v>
      </c>
    </row>
    <row r="489" spans="1:23" x14ac:dyDescent="0.25">
      <c r="A489" s="19">
        <v>487</v>
      </c>
      <c r="B489" s="20">
        <v>40565</v>
      </c>
      <c r="C489" s="18">
        <v>1</v>
      </c>
      <c r="D489" s="18">
        <v>0</v>
      </c>
      <c r="E489" s="18">
        <v>1</v>
      </c>
      <c r="F489" s="18">
        <v>8</v>
      </c>
      <c r="G489" s="18" t="b">
        <v>0</v>
      </c>
      <c r="H489" s="18">
        <v>6</v>
      </c>
      <c r="I489" s="18">
        <v>1</v>
      </c>
      <c r="J489" s="18">
        <v>0.02</v>
      </c>
      <c r="K489">
        <v>0</v>
      </c>
      <c r="L489">
        <v>0.44</v>
      </c>
      <c r="M489" s="18">
        <v>0.32840000000000003</v>
      </c>
      <c r="N489" s="18">
        <v>1</v>
      </c>
      <c r="O489" s="18">
        <v>26</v>
      </c>
      <c r="P489">
        <v>27</v>
      </c>
      <c r="Q489" s="18" t="s">
        <v>34</v>
      </c>
      <c r="R489" s="18" t="s">
        <v>35</v>
      </c>
      <c r="S489" s="18" t="s">
        <v>36</v>
      </c>
      <c r="T489" s="18" t="s">
        <v>37</v>
      </c>
      <c r="U489" s="18">
        <v>2011</v>
      </c>
      <c r="V489" s="16">
        <f t="shared" si="14"/>
        <v>40587</v>
      </c>
      <c r="W489" s="18" t="str">
        <f t="shared" si="15"/>
        <v>Weedend</v>
      </c>
    </row>
    <row r="490" spans="1:23" x14ac:dyDescent="0.25">
      <c r="A490" s="19">
        <v>488</v>
      </c>
      <c r="B490" s="20">
        <v>40565</v>
      </c>
      <c r="C490" s="18">
        <v>1</v>
      </c>
      <c r="D490" s="18">
        <v>0</v>
      </c>
      <c r="E490" s="18">
        <v>1</v>
      </c>
      <c r="F490" s="18">
        <v>9</v>
      </c>
      <c r="G490" s="18" t="b">
        <v>0</v>
      </c>
      <c r="H490" s="18">
        <v>6</v>
      </c>
      <c r="I490" s="18">
        <v>1</v>
      </c>
      <c r="J490" s="18">
        <v>0.04</v>
      </c>
      <c r="K490">
        <v>3.0300000000000001E-2</v>
      </c>
      <c r="L490">
        <v>0.41</v>
      </c>
      <c r="M490" s="18">
        <v>0.25369999999999998</v>
      </c>
      <c r="N490" s="18">
        <v>3</v>
      </c>
      <c r="O490" s="18">
        <v>37</v>
      </c>
      <c r="P490">
        <v>40</v>
      </c>
      <c r="Q490" s="18" t="s">
        <v>34</v>
      </c>
      <c r="R490" s="18" t="s">
        <v>35</v>
      </c>
      <c r="S490" s="18" t="s">
        <v>36</v>
      </c>
      <c r="T490" s="18" t="s">
        <v>37</v>
      </c>
      <c r="U490" s="18">
        <v>2011</v>
      </c>
      <c r="V490" s="16">
        <f t="shared" si="14"/>
        <v>40587</v>
      </c>
      <c r="W490" s="18" t="str">
        <f t="shared" si="15"/>
        <v>Weedend</v>
      </c>
    </row>
    <row r="491" spans="1:23" x14ac:dyDescent="0.25">
      <c r="A491" s="19">
        <v>489</v>
      </c>
      <c r="B491" s="20">
        <v>40565</v>
      </c>
      <c r="C491" s="18">
        <v>1</v>
      </c>
      <c r="D491" s="18">
        <v>0</v>
      </c>
      <c r="E491" s="18">
        <v>1</v>
      </c>
      <c r="F491" s="18">
        <v>10</v>
      </c>
      <c r="G491" s="18" t="b">
        <v>0</v>
      </c>
      <c r="H491" s="18">
        <v>6</v>
      </c>
      <c r="I491" s="18">
        <v>2</v>
      </c>
      <c r="J491" s="18">
        <v>0.04</v>
      </c>
      <c r="K491">
        <v>6.0600000000000001E-2</v>
      </c>
      <c r="L491">
        <v>0.41</v>
      </c>
      <c r="M491" s="18">
        <v>0.16420000000000001</v>
      </c>
      <c r="N491" s="18">
        <v>3</v>
      </c>
      <c r="O491" s="18">
        <v>50</v>
      </c>
      <c r="P491">
        <v>53</v>
      </c>
      <c r="Q491" s="18" t="s">
        <v>34</v>
      </c>
      <c r="R491" s="18" t="s">
        <v>35</v>
      </c>
      <c r="S491" s="18" t="s">
        <v>38</v>
      </c>
      <c r="T491" s="18" t="s">
        <v>37</v>
      </c>
      <c r="U491" s="18">
        <v>2011</v>
      </c>
      <c r="V491" s="16">
        <f t="shared" si="14"/>
        <v>40587</v>
      </c>
      <c r="W491" s="18" t="str">
        <f t="shared" si="15"/>
        <v>Weedend</v>
      </c>
    </row>
    <row r="492" spans="1:23" x14ac:dyDescent="0.25">
      <c r="A492" s="19">
        <v>490</v>
      </c>
      <c r="B492" s="20">
        <v>40565</v>
      </c>
      <c r="C492" s="18">
        <v>1</v>
      </c>
      <c r="D492" s="18">
        <v>0</v>
      </c>
      <c r="E492" s="18">
        <v>1</v>
      </c>
      <c r="F492" s="18">
        <v>11</v>
      </c>
      <c r="G492" s="18" t="b">
        <v>0</v>
      </c>
      <c r="H492" s="18">
        <v>6</v>
      </c>
      <c r="I492" s="18">
        <v>2</v>
      </c>
      <c r="J492" s="18">
        <v>0.06</v>
      </c>
      <c r="K492">
        <v>7.5800000000000006E-2</v>
      </c>
      <c r="L492">
        <v>0.38</v>
      </c>
      <c r="M492" s="18">
        <v>0.1343</v>
      </c>
      <c r="N492" s="18">
        <v>4</v>
      </c>
      <c r="O492" s="18">
        <v>59</v>
      </c>
      <c r="P492">
        <v>63</v>
      </c>
      <c r="Q492" s="18" t="s">
        <v>34</v>
      </c>
      <c r="R492" s="18" t="s">
        <v>35</v>
      </c>
      <c r="S492" s="18" t="s">
        <v>38</v>
      </c>
      <c r="T492" s="18" t="s">
        <v>37</v>
      </c>
      <c r="U492" s="18">
        <v>2011</v>
      </c>
      <c r="V492" s="16">
        <f t="shared" si="14"/>
        <v>40587</v>
      </c>
      <c r="W492" s="18" t="str">
        <f t="shared" si="15"/>
        <v>Weedend</v>
      </c>
    </row>
    <row r="493" spans="1:23" x14ac:dyDescent="0.25">
      <c r="A493" s="19">
        <v>491</v>
      </c>
      <c r="B493" s="20">
        <v>40565</v>
      </c>
      <c r="C493" s="18">
        <v>1</v>
      </c>
      <c r="D493" s="18">
        <v>0</v>
      </c>
      <c r="E493" s="18">
        <v>1</v>
      </c>
      <c r="F493" s="18">
        <v>12</v>
      </c>
      <c r="G493" s="18" t="b">
        <v>0</v>
      </c>
      <c r="H493" s="18">
        <v>6</v>
      </c>
      <c r="I493" s="18">
        <v>2</v>
      </c>
      <c r="J493" s="18">
        <v>0.06</v>
      </c>
      <c r="K493">
        <v>0.1061</v>
      </c>
      <c r="L493">
        <v>0.38</v>
      </c>
      <c r="M493" s="18">
        <v>0.1045</v>
      </c>
      <c r="N493" s="18">
        <v>10</v>
      </c>
      <c r="O493" s="18">
        <v>60</v>
      </c>
      <c r="P493">
        <v>70</v>
      </c>
      <c r="Q493" s="18" t="s">
        <v>34</v>
      </c>
      <c r="R493" s="18" t="s">
        <v>35</v>
      </c>
      <c r="S493" s="18" t="s">
        <v>38</v>
      </c>
      <c r="T493" s="18" t="s">
        <v>37</v>
      </c>
      <c r="U493" s="18">
        <v>2011</v>
      </c>
      <c r="V493" s="16">
        <f t="shared" si="14"/>
        <v>40587</v>
      </c>
      <c r="W493" s="18" t="str">
        <f t="shared" si="15"/>
        <v>Weedend</v>
      </c>
    </row>
    <row r="494" spans="1:23" x14ac:dyDescent="0.25">
      <c r="A494" s="19">
        <v>492</v>
      </c>
      <c r="B494" s="20">
        <v>40565</v>
      </c>
      <c r="C494" s="18">
        <v>1</v>
      </c>
      <c r="D494" s="18">
        <v>0</v>
      </c>
      <c r="E494" s="18">
        <v>1</v>
      </c>
      <c r="F494" s="18">
        <v>13</v>
      </c>
      <c r="G494" s="18" t="b">
        <v>0</v>
      </c>
      <c r="H494" s="18">
        <v>6</v>
      </c>
      <c r="I494" s="18">
        <v>1</v>
      </c>
      <c r="J494" s="18">
        <v>0.08</v>
      </c>
      <c r="K494">
        <v>0.16669999999999999</v>
      </c>
      <c r="L494">
        <v>0.35</v>
      </c>
      <c r="M494" s="18">
        <v>0</v>
      </c>
      <c r="N494" s="18">
        <v>12</v>
      </c>
      <c r="O494" s="18">
        <v>72</v>
      </c>
      <c r="P494">
        <v>84</v>
      </c>
      <c r="Q494" s="18" t="s">
        <v>34</v>
      </c>
      <c r="R494" s="18" t="s">
        <v>35</v>
      </c>
      <c r="S494" s="18" t="s">
        <v>36</v>
      </c>
      <c r="T494" s="18" t="s">
        <v>37</v>
      </c>
      <c r="U494" s="18">
        <v>2011</v>
      </c>
      <c r="V494" s="16">
        <f t="shared" si="14"/>
        <v>40587</v>
      </c>
      <c r="W494" s="18" t="str">
        <f t="shared" si="15"/>
        <v>Weedend</v>
      </c>
    </row>
    <row r="495" spans="1:23" x14ac:dyDescent="0.25">
      <c r="A495" s="19">
        <v>493</v>
      </c>
      <c r="B495" s="20">
        <v>40565</v>
      </c>
      <c r="C495" s="18">
        <v>1</v>
      </c>
      <c r="D495" s="18">
        <v>0</v>
      </c>
      <c r="E495" s="18">
        <v>1</v>
      </c>
      <c r="F495" s="18">
        <v>14</v>
      </c>
      <c r="G495" s="18" t="b">
        <v>0</v>
      </c>
      <c r="H495" s="18">
        <v>6</v>
      </c>
      <c r="I495" s="18">
        <v>1</v>
      </c>
      <c r="J495" s="18">
        <v>0.1</v>
      </c>
      <c r="K495">
        <v>0.13639999999999999</v>
      </c>
      <c r="L495">
        <v>0.33</v>
      </c>
      <c r="M495" s="18">
        <v>0.1045</v>
      </c>
      <c r="N495" s="18">
        <v>11</v>
      </c>
      <c r="O495" s="18">
        <v>64</v>
      </c>
      <c r="P495">
        <v>75</v>
      </c>
      <c r="Q495" s="18" t="s">
        <v>34</v>
      </c>
      <c r="R495" s="18" t="s">
        <v>35</v>
      </c>
      <c r="S495" s="18" t="s">
        <v>36</v>
      </c>
      <c r="T495" s="18" t="s">
        <v>37</v>
      </c>
      <c r="U495" s="18">
        <v>2011</v>
      </c>
      <c r="V495" s="16">
        <f t="shared" si="14"/>
        <v>40587</v>
      </c>
      <c r="W495" s="18" t="str">
        <f t="shared" si="15"/>
        <v>Weedend</v>
      </c>
    </row>
    <row r="496" spans="1:23" x14ac:dyDescent="0.25">
      <c r="A496" s="19">
        <v>494</v>
      </c>
      <c r="B496" s="20">
        <v>40565</v>
      </c>
      <c r="C496" s="18">
        <v>1</v>
      </c>
      <c r="D496" s="18">
        <v>0</v>
      </c>
      <c r="E496" s="18">
        <v>1</v>
      </c>
      <c r="F496" s="18">
        <v>15</v>
      </c>
      <c r="G496" s="18" t="b">
        <v>0</v>
      </c>
      <c r="H496" s="18">
        <v>6</v>
      </c>
      <c r="I496" s="18">
        <v>1</v>
      </c>
      <c r="J496" s="18">
        <v>0.12</v>
      </c>
      <c r="K496">
        <v>0.1515</v>
      </c>
      <c r="L496">
        <v>0.28000000000000003</v>
      </c>
      <c r="M496" s="18">
        <v>0</v>
      </c>
      <c r="N496" s="18">
        <v>10</v>
      </c>
      <c r="O496" s="18">
        <v>93</v>
      </c>
      <c r="P496">
        <v>103</v>
      </c>
      <c r="Q496" s="18" t="s">
        <v>34</v>
      </c>
      <c r="R496" s="18" t="s">
        <v>35</v>
      </c>
      <c r="S496" s="18" t="s">
        <v>36</v>
      </c>
      <c r="T496" s="18" t="s">
        <v>37</v>
      </c>
      <c r="U496" s="18">
        <v>2011</v>
      </c>
      <c r="V496" s="16">
        <f t="shared" si="14"/>
        <v>40587</v>
      </c>
      <c r="W496" s="18" t="str">
        <f t="shared" si="15"/>
        <v>Weedend</v>
      </c>
    </row>
    <row r="497" spans="1:23" x14ac:dyDescent="0.25">
      <c r="A497" s="19">
        <v>495</v>
      </c>
      <c r="B497" s="20">
        <v>40565</v>
      </c>
      <c r="C497" s="18">
        <v>1</v>
      </c>
      <c r="D497" s="18">
        <v>0</v>
      </c>
      <c r="E497" s="18">
        <v>1</v>
      </c>
      <c r="F497" s="18">
        <v>16</v>
      </c>
      <c r="G497" s="18" t="b">
        <v>0</v>
      </c>
      <c r="H497" s="18">
        <v>6</v>
      </c>
      <c r="I497" s="18">
        <v>1</v>
      </c>
      <c r="J497" s="18">
        <v>0.12</v>
      </c>
      <c r="K497">
        <v>0.13639999999999999</v>
      </c>
      <c r="L497">
        <v>0.28000000000000003</v>
      </c>
      <c r="M497" s="18">
        <v>0.19400000000000001</v>
      </c>
      <c r="N497" s="18">
        <v>11</v>
      </c>
      <c r="O497" s="18">
        <v>72</v>
      </c>
      <c r="P497">
        <v>83</v>
      </c>
      <c r="Q497" s="18" t="s">
        <v>34</v>
      </c>
      <c r="R497" s="18" t="s">
        <v>35</v>
      </c>
      <c r="S497" s="18" t="s">
        <v>36</v>
      </c>
      <c r="T497" s="18" t="s">
        <v>37</v>
      </c>
      <c r="U497" s="18">
        <v>2011</v>
      </c>
      <c r="V497" s="16">
        <f t="shared" si="14"/>
        <v>40587</v>
      </c>
      <c r="W497" s="18" t="str">
        <f t="shared" si="15"/>
        <v>Weedend</v>
      </c>
    </row>
    <row r="498" spans="1:23" x14ac:dyDescent="0.25">
      <c r="A498" s="19">
        <v>496</v>
      </c>
      <c r="B498" s="20">
        <v>40565</v>
      </c>
      <c r="C498" s="18">
        <v>1</v>
      </c>
      <c r="D498" s="18">
        <v>0</v>
      </c>
      <c r="E498" s="18">
        <v>1</v>
      </c>
      <c r="F498" s="18">
        <v>17</v>
      </c>
      <c r="G498" s="18" t="b">
        <v>0</v>
      </c>
      <c r="H498" s="18">
        <v>6</v>
      </c>
      <c r="I498" s="18">
        <v>1</v>
      </c>
      <c r="J498" s="18">
        <v>0.12</v>
      </c>
      <c r="K498">
        <v>0.19700000000000001</v>
      </c>
      <c r="L498">
        <v>0.28000000000000003</v>
      </c>
      <c r="M498" s="18">
        <v>0</v>
      </c>
      <c r="N498" s="18">
        <v>8</v>
      </c>
      <c r="O498" s="18">
        <v>59</v>
      </c>
      <c r="P498">
        <v>67</v>
      </c>
      <c r="Q498" s="18" t="s">
        <v>34</v>
      </c>
      <c r="R498" s="18" t="s">
        <v>35</v>
      </c>
      <c r="S498" s="18" t="s">
        <v>36</v>
      </c>
      <c r="T498" s="18" t="s">
        <v>37</v>
      </c>
      <c r="U498" s="18">
        <v>2011</v>
      </c>
      <c r="V498" s="16">
        <f t="shared" si="14"/>
        <v>40587</v>
      </c>
      <c r="W498" s="18" t="str">
        <f t="shared" si="15"/>
        <v>Weedend</v>
      </c>
    </row>
    <row r="499" spans="1:23" x14ac:dyDescent="0.25">
      <c r="A499" s="19">
        <v>497</v>
      </c>
      <c r="B499" s="20">
        <v>40565</v>
      </c>
      <c r="C499" s="18">
        <v>1</v>
      </c>
      <c r="D499" s="18">
        <v>0</v>
      </c>
      <c r="E499" s="18">
        <v>1</v>
      </c>
      <c r="F499" s="18">
        <v>18</v>
      </c>
      <c r="G499" s="18" t="b">
        <v>0</v>
      </c>
      <c r="H499" s="18">
        <v>6</v>
      </c>
      <c r="I499" s="18">
        <v>1</v>
      </c>
      <c r="J499" s="18">
        <v>0.08</v>
      </c>
      <c r="K499">
        <v>9.0899999999999995E-2</v>
      </c>
      <c r="L499">
        <v>0.35</v>
      </c>
      <c r="M499" s="18">
        <v>0.19400000000000001</v>
      </c>
      <c r="N499" s="18">
        <v>0</v>
      </c>
      <c r="O499" s="18">
        <v>54</v>
      </c>
      <c r="P499">
        <v>54</v>
      </c>
      <c r="Q499" s="18" t="s">
        <v>34</v>
      </c>
      <c r="R499" s="18" t="s">
        <v>35</v>
      </c>
      <c r="S499" s="18" t="s">
        <v>36</v>
      </c>
      <c r="T499" s="18" t="s">
        <v>37</v>
      </c>
      <c r="U499" s="18">
        <v>2011</v>
      </c>
      <c r="V499" s="16">
        <f t="shared" si="14"/>
        <v>40587</v>
      </c>
      <c r="W499" s="18" t="str">
        <f t="shared" si="15"/>
        <v>Weedend</v>
      </c>
    </row>
    <row r="500" spans="1:23" x14ac:dyDescent="0.25">
      <c r="A500" s="19">
        <v>498</v>
      </c>
      <c r="B500" s="20">
        <v>40565</v>
      </c>
      <c r="C500" s="18">
        <v>1</v>
      </c>
      <c r="D500" s="18">
        <v>0</v>
      </c>
      <c r="E500" s="18">
        <v>1</v>
      </c>
      <c r="F500" s="18">
        <v>19</v>
      </c>
      <c r="G500" s="18" t="b">
        <v>0</v>
      </c>
      <c r="H500" s="18">
        <v>6</v>
      </c>
      <c r="I500" s="18">
        <v>1</v>
      </c>
      <c r="J500" s="18">
        <v>0.08</v>
      </c>
      <c r="K500">
        <v>0.1061</v>
      </c>
      <c r="L500">
        <v>0.35</v>
      </c>
      <c r="M500" s="18">
        <v>0.1343</v>
      </c>
      <c r="N500" s="18">
        <v>6</v>
      </c>
      <c r="O500" s="18">
        <v>53</v>
      </c>
      <c r="P500">
        <v>59</v>
      </c>
      <c r="Q500" s="18" t="s">
        <v>34</v>
      </c>
      <c r="R500" s="18" t="s">
        <v>35</v>
      </c>
      <c r="S500" s="18" t="s">
        <v>36</v>
      </c>
      <c r="T500" s="18" t="s">
        <v>37</v>
      </c>
      <c r="U500" s="18">
        <v>2011</v>
      </c>
      <c r="V500" s="16">
        <f t="shared" si="14"/>
        <v>40587</v>
      </c>
      <c r="W500" s="18" t="str">
        <f t="shared" si="15"/>
        <v>Weedend</v>
      </c>
    </row>
    <row r="501" spans="1:23" x14ac:dyDescent="0.25">
      <c r="A501" s="19">
        <v>499</v>
      </c>
      <c r="B501" s="20">
        <v>40565</v>
      </c>
      <c r="C501" s="18">
        <v>1</v>
      </c>
      <c r="D501" s="18">
        <v>0</v>
      </c>
      <c r="E501" s="18">
        <v>1</v>
      </c>
      <c r="F501" s="18">
        <v>20</v>
      </c>
      <c r="G501" s="18" t="b">
        <v>0</v>
      </c>
      <c r="H501" s="18">
        <v>6</v>
      </c>
      <c r="I501" s="18">
        <v>1</v>
      </c>
      <c r="J501" s="18">
        <v>0.06</v>
      </c>
      <c r="K501">
        <v>7.5800000000000006E-2</v>
      </c>
      <c r="L501">
        <v>0.45</v>
      </c>
      <c r="M501" s="18">
        <v>0.16420000000000001</v>
      </c>
      <c r="N501" s="18">
        <v>1</v>
      </c>
      <c r="O501" s="18">
        <v>44</v>
      </c>
      <c r="P501">
        <v>45</v>
      </c>
      <c r="Q501" s="18" t="s">
        <v>34</v>
      </c>
      <c r="R501" s="18" t="s">
        <v>35</v>
      </c>
      <c r="S501" s="18" t="s">
        <v>36</v>
      </c>
      <c r="T501" s="18" t="s">
        <v>37</v>
      </c>
      <c r="U501" s="18">
        <v>2011</v>
      </c>
      <c r="V501" s="16">
        <f t="shared" si="14"/>
        <v>40587</v>
      </c>
      <c r="W501" s="18" t="str">
        <f t="shared" si="15"/>
        <v>Weedend</v>
      </c>
    </row>
    <row r="502" spans="1:23" x14ac:dyDescent="0.25">
      <c r="A502" s="19">
        <v>500</v>
      </c>
      <c r="B502" s="20">
        <v>40565</v>
      </c>
      <c r="C502" s="18">
        <v>1</v>
      </c>
      <c r="D502" s="18">
        <v>0</v>
      </c>
      <c r="E502" s="18">
        <v>1</v>
      </c>
      <c r="F502" s="18">
        <v>21</v>
      </c>
      <c r="G502" s="18" t="b">
        <v>0</v>
      </c>
      <c r="H502" s="18">
        <v>6</v>
      </c>
      <c r="I502" s="18">
        <v>1</v>
      </c>
      <c r="J502" s="18">
        <v>0.06</v>
      </c>
      <c r="K502">
        <v>0.1061</v>
      </c>
      <c r="L502">
        <v>0.41</v>
      </c>
      <c r="M502" s="18">
        <v>8.9599999999999999E-2</v>
      </c>
      <c r="N502" s="18">
        <v>0</v>
      </c>
      <c r="O502" s="18">
        <v>39</v>
      </c>
      <c r="P502">
        <v>39</v>
      </c>
      <c r="Q502" s="18" t="s">
        <v>34</v>
      </c>
      <c r="R502" s="18" t="s">
        <v>35</v>
      </c>
      <c r="S502" s="18" t="s">
        <v>36</v>
      </c>
      <c r="T502" s="18" t="s">
        <v>37</v>
      </c>
      <c r="U502" s="18">
        <v>2011</v>
      </c>
      <c r="V502" s="16">
        <f t="shared" si="14"/>
        <v>40587</v>
      </c>
      <c r="W502" s="18" t="str">
        <f t="shared" si="15"/>
        <v>Weedend</v>
      </c>
    </row>
    <row r="503" spans="1:23" x14ac:dyDescent="0.25">
      <c r="A503" s="19">
        <v>501</v>
      </c>
      <c r="B503" s="20">
        <v>40565</v>
      </c>
      <c r="C503" s="18">
        <v>1</v>
      </c>
      <c r="D503" s="18">
        <v>0</v>
      </c>
      <c r="E503" s="18">
        <v>1</v>
      </c>
      <c r="F503" s="18">
        <v>22</v>
      </c>
      <c r="G503" s="18" t="b">
        <v>0</v>
      </c>
      <c r="H503" s="18">
        <v>6</v>
      </c>
      <c r="I503" s="18">
        <v>1</v>
      </c>
      <c r="J503" s="18">
        <v>0.06</v>
      </c>
      <c r="K503">
        <v>0.1515</v>
      </c>
      <c r="L503">
        <v>0.49</v>
      </c>
      <c r="M503" s="18">
        <v>0</v>
      </c>
      <c r="N503" s="18">
        <v>7</v>
      </c>
      <c r="O503" s="18">
        <v>23</v>
      </c>
      <c r="P503">
        <v>30</v>
      </c>
      <c r="Q503" s="18" t="s">
        <v>34</v>
      </c>
      <c r="R503" s="18" t="s">
        <v>35</v>
      </c>
      <c r="S503" s="18" t="s">
        <v>36</v>
      </c>
      <c r="T503" s="18" t="s">
        <v>37</v>
      </c>
      <c r="U503" s="18">
        <v>2011</v>
      </c>
      <c r="V503" s="16">
        <f t="shared" si="14"/>
        <v>40587</v>
      </c>
      <c r="W503" s="18" t="str">
        <f t="shared" si="15"/>
        <v>Weedend</v>
      </c>
    </row>
    <row r="504" spans="1:23" x14ac:dyDescent="0.25">
      <c r="A504" s="19">
        <v>502</v>
      </c>
      <c r="B504" s="20">
        <v>40565</v>
      </c>
      <c r="C504" s="18">
        <v>1</v>
      </c>
      <c r="D504" s="18">
        <v>0</v>
      </c>
      <c r="E504" s="18">
        <v>1</v>
      </c>
      <c r="F504" s="18">
        <v>23</v>
      </c>
      <c r="G504" s="18" t="b">
        <v>0</v>
      </c>
      <c r="H504" s="18">
        <v>6</v>
      </c>
      <c r="I504" s="18">
        <v>1</v>
      </c>
      <c r="J504" s="18">
        <v>0.04</v>
      </c>
      <c r="K504">
        <v>7.5800000000000006E-2</v>
      </c>
      <c r="L504">
        <v>0.56999999999999995</v>
      </c>
      <c r="M504" s="18">
        <v>0.1045</v>
      </c>
      <c r="N504" s="18">
        <v>2</v>
      </c>
      <c r="O504" s="18">
        <v>31</v>
      </c>
      <c r="P504">
        <v>33</v>
      </c>
      <c r="Q504" s="18" t="s">
        <v>34</v>
      </c>
      <c r="R504" s="18" t="s">
        <v>35</v>
      </c>
      <c r="S504" s="18" t="s">
        <v>36</v>
      </c>
      <c r="T504" s="18" t="s">
        <v>37</v>
      </c>
      <c r="U504" s="18">
        <v>2011</v>
      </c>
      <c r="V504" s="16">
        <f t="shared" si="14"/>
        <v>40587</v>
      </c>
      <c r="W504" s="18" t="str">
        <f t="shared" si="15"/>
        <v>Weedend</v>
      </c>
    </row>
    <row r="505" spans="1:23" x14ac:dyDescent="0.25">
      <c r="A505" s="19">
        <v>503</v>
      </c>
      <c r="B505" s="20">
        <v>40566</v>
      </c>
      <c r="C505" s="18">
        <v>1</v>
      </c>
      <c r="D505" s="18">
        <v>0</v>
      </c>
      <c r="E505" s="18">
        <v>1</v>
      </c>
      <c r="F505" s="18">
        <v>0</v>
      </c>
      <c r="G505" s="18" t="b">
        <v>0</v>
      </c>
      <c r="H505" s="18">
        <v>0</v>
      </c>
      <c r="I505" s="18">
        <v>1</v>
      </c>
      <c r="J505" s="18">
        <v>0.04</v>
      </c>
      <c r="K505">
        <v>7.5800000000000006E-2</v>
      </c>
      <c r="L505">
        <v>0.56999999999999995</v>
      </c>
      <c r="M505" s="18">
        <v>0.1045</v>
      </c>
      <c r="N505" s="18">
        <v>2</v>
      </c>
      <c r="O505" s="18">
        <v>20</v>
      </c>
      <c r="P505">
        <v>22</v>
      </c>
      <c r="Q505" s="18" t="s">
        <v>34</v>
      </c>
      <c r="R505" s="18" t="s">
        <v>35</v>
      </c>
      <c r="S505" s="18" t="s">
        <v>36</v>
      </c>
      <c r="T505" s="18" t="s">
        <v>40</v>
      </c>
      <c r="U505" s="18">
        <v>2011</v>
      </c>
      <c r="V505" s="16">
        <f t="shared" si="14"/>
        <v>40587</v>
      </c>
      <c r="W505" s="18" t="str">
        <f t="shared" si="15"/>
        <v>Weedend</v>
      </c>
    </row>
    <row r="506" spans="1:23" x14ac:dyDescent="0.25">
      <c r="A506" s="19">
        <v>504</v>
      </c>
      <c r="B506" s="20">
        <v>40566</v>
      </c>
      <c r="C506" s="18">
        <v>1</v>
      </c>
      <c r="D506" s="18">
        <v>0</v>
      </c>
      <c r="E506" s="18">
        <v>1</v>
      </c>
      <c r="F506" s="18">
        <v>1</v>
      </c>
      <c r="G506" s="18" t="b">
        <v>0</v>
      </c>
      <c r="H506" s="18">
        <v>0</v>
      </c>
      <c r="I506" s="18">
        <v>1</v>
      </c>
      <c r="J506" s="18">
        <v>0.04</v>
      </c>
      <c r="K506">
        <v>7.5800000000000006E-2</v>
      </c>
      <c r="L506">
        <v>0.56999999999999995</v>
      </c>
      <c r="M506" s="18">
        <v>0.1045</v>
      </c>
      <c r="N506" s="18">
        <v>1</v>
      </c>
      <c r="O506" s="18">
        <v>12</v>
      </c>
      <c r="P506">
        <v>13</v>
      </c>
      <c r="Q506" s="18" t="s">
        <v>34</v>
      </c>
      <c r="R506" s="18" t="s">
        <v>35</v>
      </c>
      <c r="S506" s="18" t="s">
        <v>36</v>
      </c>
      <c r="T506" s="18" t="s">
        <v>40</v>
      </c>
      <c r="U506" s="18">
        <v>2011</v>
      </c>
      <c r="V506" s="16">
        <f t="shared" si="14"/>
        <v>40587</v>
      </c>
      <c r="W506" s="18" t="str">
        <f t="shared" si="15"/>
        <v>Weedend</v>
      </c>
    </row>
    <row r="507" spans="1:23" x14ac:dyDescent="0.25">
      <c r="A507" s="19">
        <v>505</v>
      </c>
      <c r="B507" s="20">
        <v>40566</v>
      </c>
      <c r="C507" s="18">
        <v>1</v>
      </c>
      <c r="D507" s="18">
        <v>0</v>
      </c>
      <c r="E507" s="18">
        <v>1</v>
      </c>
      <c r="F507" s="18">
        <v>2</v>
      </c>
      <c r="G507" s="18" t="b">
        <v>0</v>
      </c>
      <c r="H507" s="18">
        <v>0</v>
      </c>
      <c r="I507" s="18">
        <v>1</v>
      </c>
      <c r="J507" s="18">
        <v>0.02</v>
      </c>
      <c r="K507">
        <v>6.0600000000000001E-2</v>
      </c>
      <c r="L507">
        <v>0.62</v>
      </c>
      <c r="M507" s="18">
        <v>0.1343</v>
      </c>
      <c r="N507" s="18">
        <v>3</v>
      </c>
      <c r="O507" s="18">
        <v>15</v>
      </c>
      <c r="P507">
        <v>18</v>
      </c>
      <c r="Q507" s="18" t="s">
        <v>34</v>
      </c>
      <c r="R507" s="18" t="s">
        <v>35</v>
      </c>
      <c r="S507" s="18" t="s">
        <v>36</v>
      </c>
      <c r="T507" s="18" t="s">
        <v>40</v>
      </c>
      <c r="U507" s="18">
        <v>2011</v>
      </c>
      <c r="V507" s="16">
        <f t="shared" si="14"/>
        <v>40587</v>
      </c>
      <c r="W507" s="18" t="str">
        <f t="shared" si="15"/>
        <v>Weedend</v>
      </c>
    </row>
    <row r="508" spans="1:23" x14ac:dyDescent="0.25">
      <c r="A508" s="19">
        <v>506</v>
      </c>
      <c r="B508" s="20">
        <v>40566</v>
      </c>
      <c r="C508" s="18">
        <v>1</v>
      </c>
      <c r="D508" s="18">
        <v>0</v>
      </c>
      <c r="E508" s="18">
        <v>1</v>
      </c>
      <c r="F508" s="18">
        <v>3</v>
      </c>
      <c r="G508" s="18" t="b">
        <v>0</v>
      </c>
      <c r="H508" s="18">
        <v>0</v>
      </c>
      <c r="I508" s="18">
        <v>1</v>
      </c>
      <c r="J508" s="18">
        <v>0.02</v>
      </c>
      <c r="K508">
        <v>6.0600000000000001E-2</v>
      </c>
      <c r="L508">
        <v>0.62</v>
      </c>
      <c r="M508" s="18">
        <v>0.1343</v>
      </c>
      <c r="N508" s="18">
        <v>1</v>
      </c>
      <c r="O508" s="18">
        <v>4</v>
      </c>
      <c r="P508">
        <v>5</v>
      </c>
      <c r="Q508" s="18" t="s">
        <v>34</v>
      </c>
      <c r="R508" s="18" t="s">
        <v>35</v>
      </c>
      <c r="S508" s="18" t="s">
        <v>36</v>
      </c>
      <c r="T508" s="18" t="s">
        <v>40</v>
      </c>
      <c r="U508" s="18">
        <v>2011</v>
      </c>
      <c r="V508" s="16">
        <f t="shared" si="14"/>
        <v>40587</v>
      </c>
      <c r="W508" s="18" t="str">
        <f t="shared" si="15"/>
        <v>Weedend</v>
      </c>
    </row>
    <row r="509" spans="1:23" x14ac:dyDescent="0.25">
      <c r="A509" s="19">
        <v>507</v>
      </c>
      <c r="B509" s="20">
        <v>40566</v>
      </c>
      <c r="C509" s="18">
        <v>1</v>
      </c>
      <c r="D509" s="18">
        <v>0</v>
      </c>
      <c r="E509" s="18">
        <v>1</v>
      </c>
      <c r="F509" s="18">
        <v>5</v>
      </c>
      <c r="G509" s="18" t="b">
        <v>0</v>
      </c>
      <c r="H509" s="18">
        <v>0</v>
      </c>
      <c r="I509" s="18">
        <v>2</v>
      </c>
      <c r="J509" s="18">
        <v>0.04</v>
      </c>
      <c r="K509">
        <v>7.5800000000000006E-2</v>
      </c>
      <c r="L509">
        <v>0.56999999999999995</v>
      </c>
      <c r="M509" s="18">
        <v>0.1045</v>
      </c>
      <c r="N509" s="18">
        <v>0</v>
      </c>
      <c r="O509" s="18">
        <v>3</v>
      </c>
      <c r="P509">
        <v>3</v>
      </c>
      <c r="Q509" s="18" t="s">
        <v>34</v>
      </c>
      <c r="R509" s="18" t="s">
        <v>35</v>
      </c>
      <c r="S509" s="18" t="s">
        <v>38</v>
      </c>
      <c r="T509" s="18" t="s">
        <v>40</v>
      </c>
      <c r="U509" s="18">
        <v>2011</v>
      </c>
      <c r="V509" s="16">
        <f t="shared" si="14"/>
        <v>40587</v>
      </c>
      <c r="W509" s="18" t="str">
        <f t="shared" si="15"/>
        <v>Weedend</v>
      </c>
    </row>
    <row r="510" spans="1:23" x14ac:dyDescent="0.25">
      <c r="A510" s="19">
        <v>508</v>
      </c>
      <c r="B510" s="20">
        <v>40566</v>
      </c>
      <c r="C510" s="18">
        <v>1</v>
      </c>
      <c r="D510" s="18">
        <v>0</v>
      </c>
      <c r="E510" s="18">
        <v>1</v>
      </c>
      <c r="F510" s="18">
        <v>6</v>
      </c>
      <c r="G510" s="18" t="b">
        <v>0</v>
      </c>
      <c r="H510" s="18">
        <v>0</v>
      </c>
      <c r="I510" s="18">
        <v>2</v>
      </c>
      <c r="J510" s="18">
        <v>0.04</v>
      </c>
      <c r="K510">
        <v>7.5800000000000006E-2</v>
      </c>
      <c r="L510">
        <v>0.56999999999999995</v>
      </c>
      <c r="M510" s="18">
        <v>0.1045</v>
      </c>
      <c r="N510" s="18">
        <v>0</v>
      </c>
      <c r="O510" s="18">
        <v>1</v>
      </c>
      <c r="P510">
        <v>1</v>
      </c>
      <c r="Q510" s="18" t="s">
        <v>34</v>
      </c>
      <c r="R510" s="18" t="s">
        <v>35</v>
      </c>
      <c r="S510" s="18" t="s">
        <v>38</v>
      </c>
      <c r="T510" s="18" t="s">
        <v>40</v>
      </c>
      <c r="U510" s="18">
        <v>2011</v>
      </c>
      <c r="V510" s="16">
        <f t="shared" si="14"/>
        <v>40587</v>
      </c>
      <c r="W510" s="18" t="str">
        <f t="shared" si="15"/>
        <v>Weedend</v>
      </c>
    </row>
    <row r="511" spans="1:23" x14ac:dyDescent="0.25">
      <c r="A511" s="19">
        <v>509</v>
      </c>
      <c r="B511" s="20">
        <v>40566</v>
      </c>
      <c r="C511" s="18">
        <v>1</v>
      </c>
      <c r="D511" s="18">
        <v>0</v>
      </c>
      <c r="E511" s="18">
        <v>1</v>
      </c>
      <c r="F511" s="18">
        <v>7</v>
      </c>
      <c r="G511" s="18" t="b">
        <v>0</v>
      </c>
      <c r="H511" s="18">
        <v>0</v>
      </c>
      <c r="I511" s="18">
        <v>1</v>
      </c>
      <c r="J511" s="18">
        <v>0.08</v>
      </c>
      <c r="K511">
        <v>0.1061</v>
      </c>
      <c r="L511">
        <v>0.57999999999999996</v>
      </c>
      <c r="M511" s="18">
        <v>0.16420000000000001</v>
      </c>
      <c r="N511" s="18">
        <v>1</v>
      </c>
      <c r="O511" s="18">
        <v>1</v>
      </c>
      <c r="P511">
        <v>2</v>
      </c>
      <c r="Q511" s="18" t="s">
        <v>34</v>
      </c>
      <c r="R511" s="18" t="s">
        <v>35</v>
      </c>
      <c r="S511" s="18" t="s">
        <v>36</v>
      </c>
      <c r="T511" s="18" t="s">
        <v>40</v>
      </c>
      <c r="U511" s="18">
        <v>2011</v>
      </c>
      <c r="V511" s="16">
        <f t="shared" si="14"/>
        <v>40587</v>
      </c>
      <c r="W511" s="18" t="str">
        <f t="shared" si="15"/>
        <v>Weedend</v>
      </c>
    </row>
    <row r="512" spans="1:23" x14ac:dyDescent="0.25">
      <c r="A512" s="19">
        <v>510</v>
      </c>
      <c r="B512" s="20">
        <v>40566</v>
      </c>
      <c r="C512" s="18">
        <v>1</v>
      </c>
      <c r="D512" s="18">
        <v>0</v>
      </c>
      <c r="E512" s="18">
        <v>1</v>
      </c>
      <c r="F512" s="18">
        <v>8</v>
      </c>
      <c r="G512" s="18" t="b">
        <v>0</v>
      </c>
      <c r="H512" s="18">
        <v>0</v>
      </c>
      <c r="I512" s="18">
        <v>1</v>
      </c>
      <c r="J512" s="18">
        <v>0.06</v>
      </c>
      <c r="K512">
        <v>7.5800000000000006E-2</v>
      </c>
      <c r="L512">
        <v>0.62</v>
      </c>
      <c r="M512" s="18">
        <v>0.16420000000000001</v>
      </c>
      <c r="N512" s="18">
        <v>2</v>
      </c>
      <c r="O512" s="18">
        <v>17</v>
      </c>
      <c r="P512">
        <v>19</v>
      </c>
      <c r="Q512" s="18" t="s">
        <v>34</v>
      </c>
      <c r="R512" s="18" t="s">
        <v>35</v>
      </c>
      <c r="S512" s="18" t="s">
        <v>36</v>
      </c>
      <c r="T512" s="18" t="s">
        <v>40</v>
      </c>
      <c r="U512" s="18">
        <v>2011</v>
      </c>
      <c r="V512" s="16">
        <f t="shared" si="14"/>
        <v>40587</v>
      </c>
      <c r="W512" s="18" t="str">
        <f t="shared" si="15"/>
        <v>Weedend</v>
      </c>
    </row>
    <row r="513" spans="1:23" x14ac:dyDescent="0.25">
      <c r="A513" s="19">
        <v>511</v>
      </c>
      <c r="B513" s="20">
        <v>40566</v>
      </c>
      <c r="C513" s="18">
        <v>1</v>
      </c>
      <c r="D513" s="18">
        <v>0</v>
      </c>
      <c r="E513" s="18">
        <v>1</v>
      </c>
      <c r="F513" s="18">
        <v>9</v>
      </c>
      <c r="G513" s="18" t="b">
        <v>0</v>
      </c>
      <c r="H513" s="18">
        <v>0</v>
      </c>
      <c r="I513" s="18">
        <v>1</v>
      </c>
      <c r="J513" s="18">
        <v>0.1</v>
      </c>
      <c r="K513">
        <v>7.5800000000000006E-2</v>
      </c>
      <c r="L513">
        <v>0.54</v>
      </c>
      <c r="M513" s="18">
        <v>0.35820000000000002</v>
      </c>
      <c r="N513" s="18">
        <v>3</v>
      </c>
      <c r="O513" s="18">
        <v>25</v>
      </c>
      <c r="P513">
        <v>28</v>
      </c>
      <c r="Q513" s="18" t="s">
        <v>34</v>
      </c>
      <c r="R513" s="18" t="s">
        <v>35</v>
      </c>
      <c r="S513" s="18" t="s">
        <v>36</v>
      </c>
      <c r="T513" s="18" t="s">
        <v>40</v>
      </c>
      <c r="U513" s="18">
        <v>2011</v>
      </c>
      <c r="V513" s="16">
        <f t="shared" si="14"/>
        <v>40587</v>
      </c>
      <c r="W513" s="18" t="str">
        <f t="shared" si="15"/>
        <v>Weedend</v>
      </c>
    </row>
    <row r="514" spans="1:23" x14ac:dyDescent="0.25">
      <c r="A514" s="19">
        <v>512</v>
      </c>
      <c r="B514" s="20">
        <v>40566</v>
      </c>
      <c r="C514" s="18">
        <v>1</v>
      </c>
      <c r="D514" s="18">
        <v>0</v>
      </c>
      <c r="E514" s="18">
        <v>1</v>
      </c>
      <c r="F514" s="18">
        <v>10</v>
      </c>
      <c r="G514" s="18" t="b">
        <v>0</v>
      </c>
      <c r="H514" s="18">
        <v>0</v>
      </c>
      <c r="I514" s="18">
        <v>1</v>
      </c>
      <c r="J514" s="18">
        <v>0.14000000000000001</v>
      </c>
      <c r="K514">
        <v>0.1061</v>
      </c>
      <c r="L514">
        <v>0.46</v>
      </c>
      <c r="M514" s="18">
        <v>0.3881</v>
      </c>
      <c r="N514" s="18">
        <v>7</v>
      </c>
      <c r="O514" s="18">
        <v>51</v>
      </c>
      <c r="P514">
        <v>58</v>
      </c>
      <c r="Q514" s="18" t="s">
        <v>34</v>
      </c>
      <c r="R514" s="18" t="s">
        <v>35</v>
      </c>
      <c r="S514" s="18" t="s">
        <v>36</v>
      </c>
      <c r="T514" s="18" t="s">
        <v>40</v>
      </c>
      <c r="U514" s="18">
        <v>2011</v>
      </c>
      <c r="V514" s="16">
        <f t="shared" si="14"/>
        <v>40587</v>
      </c>
      <c r="W514" s="18" t="str">
        <f t="shared" si="15"/>
        <v>Weedend</v>
      </c>
    </row>
    <row r="515" spans="1:23" x14ac:dyDescent="0.25">
      <c r="A515" s="19">
        <v>513</v>
      </c>
      <c r="B515" s="20">
        <v>40566</v>
      </c>
      <c r="C515" s="18">
        <v>1</v>
      </c>
      <c r="D515" s="18">
        <v>0</v>
      </c>
      <c r="E515" s="18">
        <v>1</v>
      </c>
      <c r="F515" s="18">
        <v>11</v>
      </c>
      <c r="G515" s="18" t="b">
        <v>0</v>
      </c>
      <c r="H515" s="18">
        <v>0</v>
      </c>
      <c r="I515" s="18">
        <v>1</v>
      </c>
      <c r="J515" s="18">
        <v>0.14000000000000001</v>
      </c>
      <c r="K515">
        <v>0.13639999999999999</v>
      </c>
      <c r="L515">
        <v>0.43</v>
      </c>
      <c r="M515" s="18">
        <v>0.22389999999999999</v>
      </c>
      <c r="N515" s="18">
        <v>22</v>
      </c>
      <c r="O515" s="18">
        <v>77</v>
      </c>
      <c r="P515">
        <v>99</v>
      </c>
      <c r="Q515" s="18" t="s">
        <v>34</v>
      </c>
      <c r="R515" s="18" t="s">
        <v>35</v>
      </c>
      <c r="S515" s="18" t="s">
        <v>36</v>
      </c>
      <c r="T515" s="18" t="s">
        <v>40</v>
      </c>
      <c r="U515" s="18">
        <v>2011</v>
      </c>
      <c r="V515" s="16">
        <f t="shared" ref="V515:V578" si="16">INDEX(B515:B1513,MATCH(MAX(K515:K1513),K515:K1513,0))</f>
        <v>40587</v>
      </c>
      <c r="W515" s="18" t="str">
        <f t="shared" ref="W515:W578" si="17">IF(G515=TRUE,"Holiday",IF(OR(H515=0,H515=6),"Weedend","Weekday"))</f>
        <v>Weedend</v>
      </c>
    </row>
    <row r="516" spans="1:23" x14ac:dyDescent="0.25">
      <c r="A516" s="19">
        <v>514</v>
      </c>
      <c r="B516" s="20">
        <v>40566</v>
      </c>
      <c r="C516" s="18">
        <v>1</v>
      </c>
      <c r="D516" s="18">
        <v>0</v>
      </c>
      <c r="E516" s="18">
        <v>1</v>
      </c>
      <c r="F516" s="18">
        <v>12</v>
      </c>
      <c r="G516" s="18" t="b">
        <v>0</v>
      </c>
      <c r="H516" s="18">
        <v>0</v>
      </c>
      <c r="I516" s="18">
        <v>1</v>
      </c>
      <c r="J516" s="18">
        <v>0.16</v>
      </c>
      <c r="K516">
        <v>0.1212</v>
      </c>
      <c r="L516">
        <v>0.37</v>
      </c>
      <c r="M516" s="18">
        <v>0.4627</v>
      </c>
      <c r="N516" s="18">
        <v>24</v>
      </c>
      <c r="O516" s="18">
        <v>92</v>
      </c>
      <c r="P516">
        <v>116</v>
      </c>
      <c r="Q516" s="18" t="s">
        <v>34</v>
      </c>
      <c r="R516" s="18" t="s">
        <v>35</v>
      </c>
      <c r="S516" s="18" t="s">
        <v>36</v>
      </c>
      <c r="T516" s="18" t="s">
        <v>40</v>
      </c>
      <c r="U516" s="18">
        <v>2011</v>
      </c>
      <c r="V516" s="16">
        <f t="shared" si="16"/>
        <v>40587</v>
      </c>
      <c r="W516" s="18" t="str">
        <f t="shared" si="17"/>
        <v>Weedend</v>
      </c>
    </row>
    <row r="517" spans="1:23" x14ac:dyDescent="0.25">
      <c r="A517" s="19">
        <v>515</v>
      </c>
      <c r="B517" s="20">
        <v>40566</v>
      </c>
      <c r="C517" s="18">
        <v>1</v>
      </c>
      <c r="D517" s="18">
        <v>0</v>
      </c>
      <c r="E517" s="18">
        <v>1</v>
      </c>
      <c r="F517" s="18">
        <v>13</v>
      </c>
      <c r="G517" s="18" t="b">
        <v>0</v>
      </c>
      <c r="H517" s="18">
        <v>0</v>
      </c>
      <c r="I517" s="18">
        <v>1</v>
      </c>
      <c r="J517" s="18">
        <v>0.14000000000000001</v>
      </c>
      <c r="K517">
        <v>0.1061</v>
      </c>
      <c r="L517">
        <v>0.33</v>
      </c>
      <c r="M517" s="18">
        <v>0.3881</v>
      </c>
      <c r="N517" s="18">
        <v>12</v>
      </c>
      <c r="O517" s="18">
        <v>75</v>
      </c>
      <c r="P517">
        <v>87</v>
      </c>
      <c r="Q517" s="18" t="s">
        <v>34</v>
      </c>
      <c r="R517" s="18" t="s">
        <v>35</v>
      </c>
      <c r="S517" s="18" t="s">
        <v>36</v>
      </c>
      <c r="T517" s="18" t="s">
        <v>40</v>
      </c>
      <c r="U517" s="18">
        <v>2011</v>
      </c>
      <c r="V517" s="16">
        <f t="shared" si="16"/>
        <v>40587</v>
      </c>
      <c r="W517" s="18" t="str">
        <f t="shared" si="17"/>
        <v>Weedend</v>
      </c>
    </row>
    <row r="518" spans="1:23" x14ac:dyDescent="0.25">
      <c r="A518" s="19">
        <v>516</v>
      </c>
      <c r="B518" s="20">
        <v>40566</v>
      </c>
      <c r="C518" s="18">
        <v>1</v>
      </c>
      <c r="D518" s="18">
        <v>0</v>
      </c>
      <c r="E518" s="18">
        <v>1</v>
      </c>
      <c r="F518" s="18">
        <v>14</v>
      </c>
      <c r="G518" s="18" t="b">
        <v>0</v>
      </c>
      <c r="H518" s="18">
        <v>0</v>
      </c>
      <c r="I518" s="18">
        <v>1</v>
      </c>
      <c r="J518" s="18">
        <v>0.16</v>
      </c>
      <c r="K518">
        <v>0.13639999999999999</v>
      </c>
      <c r="L518">
        <v>0.28000000000000003</v>
      </c>
      <c r="M518" s="18">
        <v>0.35820000000000002</v>
      </c>
      <c r="N518" s="18">
        <v>17</v>
      </c>
      <c r="O518" s="18">
        <v>93</v>
      </c>
      <c r="P518">
        <v>110</v>
      </c>
      <c r="Q518" s="18" t="s">
        <v>34</v>
      </c>
      <c r="R518" s="18" t="s">
        <v>35</v>
      </c>
      <c r="S518" s="18" t="s">
        <v>36</v>
      </c>
      <c r="T518" s="18" t="s">
        <v>40</v>
      </c>
      <c r="U518" s="18">
        <v>2011</v>
      </c>
      <c r="V518" s="16">
        <f t="shared" si="16"/>
        <v>40587</v>
      </c>
      <c r="W518" s="18" t="str">
        <f t="shared" si="17"/>
        <v>Weedend</v>
      </c>
    </row>
    <row r="519" spans="1:23" x14ac:dyDescent="0.25">
      <c r="A519" s="19">
        <v>517</v>
      </c>
      <c r="B519" s="20">
        <v>40566</v>
      </c>
      <c r="C519" s="18">
        <v>1</v>
      </c>
      <c r="D519" s="18">
        <v>0</v>
      </c>
      <c r="E519" s="18">
        <v>1</v>
      </c>
      <c r="F519" s="18">
        <v>15</v>
      </c>
      <c r="G519" s="18" t="b">
        <v>0</v>
      </c>
      <c r="H519" s="18">
        <v>0</v>
      </c>
      <c r="I519" s="18">
        <v>1</v>
      </c>
      <c r="J519" s="18">
        <v>0.16</v>
      </c>
      <c r="K519">
        <v>0.13639999999999999</v>
      </c>
      <c r="L519">
        <v>0.28000000000000003</v>
      </c>
      <c r="M519" s="18">
        <v>0.35820000000000002</v>
      </c>
      <c r="N519" s="18">
        <v>13</v>
      </c>
      <c r="O519" s="18">
        <v>64</v>
      </c>
      <c r="P519">
        <v>77</v>
      </c>
      <c r="Q519" s="18" t="s">
        <v>34</v>
      </c>
      <c r="R519" s="18" t="s">
        <v>35</v>
      </c>
      <c r="S519" s="18" t="s">
        <v>36</v>
      </c>
      <c r="T519" s="18" t="s">
        <v>40</v>
      </c>
      <c r="U519" s="18">
        <v>2011</v>
      </c>
      <c r="V519" s="16">
        <f t="shared" si="16"/>
        <v>40587</v>
      </c>
      <c r="W519" s="18" t="str">
        <f t="shared" si="17"/>
        <v>Weedend</v>
      </c>
    </row>
    <row r="520" spans="1:23" x14ac:dyDescent="0.25">
      <c r="A520" s="19">
        <v>518</v>
      </c>
      <c r="B520" s="20">
        <v>40566</v>
      </c>
      <c r="C520" s="18">
        <v>1</v>
      </c>
      <c r="D520" s="18">
        <v>0</v>
      </c>
      <c r="E520" s="18">
        <v>1</v>
      </c>
      <c r="F520" s="18">
        <v>16</v>
      </c>
      <c r="G520" s="18" t="b">
        <v>0</v>
      </c>
      <c r="H520" s="18">
        <v>0</v>
      </c>
      <c r="I520" s="18">
        <v>1</v>
      </c>
      <c r="J520" s="18">
        <v>0.16</v>
      </c>
      <c r="K520">
        <v>0.13639999999999999</v>
      </c>
      <c r="L520">
        <v>0.26</v>
      </c>
      <c r="M520" s="18">
        <v>0.32840000000000003</v>
      </c>
      <c r="N520" s="18">
        <v>9</v>
      </c>
      <c r="O520" s="18">
        <v>56</v>
      </c>
      <c r="P520">
        <v>65</v>
      </c>
      <c r="Q520" s="18" t="s">
        <v>34</v>
      </c>
      <c r="R520" s="18" t="s">
        <v>35</v>
      </c>
      <c r="S520" s="18" t="s">
        <v>36</v>
      </c>
      <c r="T520" s="18" t="s">
        <v>40</v>
      </c>
      <c r="U520" s="18">
        <v>2011</v>
      </c>
      <c r="V520" s="16">
        <f t="shared" si="16"/>
        <v>40587</v>
      </c>
      <c r="W520" s="18" t="str">
        <f t="shared" si="17"/>
        <v>Weedend</v>
      </c>
    </row>
    <row r="521" spans="1:23" x14ac:dyDescent="0.25">
      <c r="A521" s="19">
        <v>519</v>
      </c>
      <c r="B521" s="20">
        <v>40566</v>
      </c>
      <c r="C521" s="18">
        <v>1</v>
      </c>
      <c r="D521" s="18">
        <v>0</v>
      </c>
      <c r="E521" s="18">
        <v>1</v>
      </c>
      <c r="F521" s="18">
        <v>17</v>
      </c>
      <c r="G521" s="18" t="b">
        <v>0</v>
      </c>
      <c r="H521" s="18">
        <v>0</v>
      </c>
      <c r="I521" s="18">
        <v>1</v>
      </c>
      <c r="J521" s="18">
        <v>0.14000000000000001</v>
      </c>
      <c r="K521">
        <v>0.1061</v>
      </c>
      <c r="L521">
        <v>0.26</v>
      </c>
      <c r="M521" s="18">
        <v>0.3881</v>
      </c>
      <c r="N521" s="18">
        <v>5</v>
      </c>
      <c r="O521" s="18">
        <v>50</v>
      </c>
      <c r="P521">
        <v>55</v>
      </c>
      <c r="Q521" s="18" t="s">
        <v>34</v>
      </c>
      <c r="R521" s="18" t="s">
        <v>35</v>
      </c>
      <c r="S521" s="18" t="s">
        <v>36</v>
      </c>
      <c r="T521" s="18" t="s">
        <v>40</v>
      </c>
      <c r="U521" s="18">
        <v>2011</v>
      </c>
      <c r="V521" s="16">
        <f t="shared" si="16"/>
        <v>40587</v>
      </c>
      <c r="W521" s="18" t="str">
        <f t="shared" si="17"/>
        <v>Weedend</v>
      </c>
    </row>
    <row r="522" spans="1:23" x14ac:dyDescent="0.25">
      <c r="A522" s="19">
        <v>520</v>
      </c>
      <c r="B522" s="20">
        <v>40566</v>
      </c>
      <c r="C522" s="18">
        <v>1</v>
      </c>
      <c r="D522" s="18">
        <v>0</v>
      </c>
      <c r="E522" s="18">
        <v>1</v>
      </c>
      <c r="F522" s="18">
        <v>18</v>
      </c>
      <c r="G522" s="18" t="b">
        <v>0</v>
      </c>
      <c r="H522" s="18">
        <v>0</v>
      </c>
      <c r="I522" s="18">
        <v>1</v>
      </c>
      <c r="J522" s="18">
        <v>0.12</v>
      </c>
      <c r="K522">
        <v>0.1212</v>
      </c>
      <c r="L522">
        <v>0.3</v>
      </c>
      <c r="M522" s="18">
        <v>0.25369999999999998</v>
      </c>
      <c r="N522" s="18">
        <v>5</v>
      </c>
      <c r="O522" s="18">
        <v>44</v>
      </c>
      <c r="P522">
        <v>49</v>
      </c>
      <c r="Q522" s="18" t="s">
        <v>34</v>
      </c>
      <c r="R522" s="18" t="s">
        <v>35</v>
      </c>
      <c r="S522" s="18" t="s">
        <v>36</v>
      </c>
      <c r="T522" s="18" t="s">
        <v>40</v>
      </c>
      <c r="U522" s="18">
        <v>2011</v>
      </c>
      <c r="V522" s="16">
        <f t="shared" si="16"/>
        <v>40587</v>
      </c>
      <c r="W522" s="18" t="str">
        <f t="shared" si="17"/>
        <v>Weedend</v>
      </c>
    </row>
    <row r="523" spans="1:23" x14ac:dyDescent="0.25">
      <c r="A523" s="19">
        <v>521</v>
      </c>
      <c r="B523" s="20">
        <v>40566</v>
      </c>
      <c r="C523" s="18">
        <v>1</v>
      </c>
      <c r="D523" s="18">
        <v>0</v>
      </c>
      <c r="E523" s="18">
        <v>1</v>
      </c>
      <c r="F523" s="18">
        <v>19</v>
      </c>
      <c r="G523" s="18" t="b">
        <v>0</v>
      </c>
      <c r="H523" s="18">
        <v>0</v>
      </c>
      <c r="I523" s="18">
        <v>1</v>
      </c>
      <c r="J523" s="18">
        <v>0.12</v>
      </c>
      <c r="K523">
        <v>0.1212</v>
      </c>
      <c r="L523">
        <v>0.3</v>
      </c>
      <c r="M523" s="18">
        <v>0.28360000000000002</v>
      </c>
      <c r="N523" s="18">
        <v>5</v>
      </c>
      <c r="O523" s="18">
        <v>45</v>
      </c>
      <c r="P523">
        <v>50</v>
      </c>
      <c r="Q523" s="18" t="s">
        <v>34</v>
      </c>
      <c r="R523" s="18" t="s">
        <v>35</v>
      </c>
      <c r="S523" s="18" t="s">
        <v>36</v>
      </c>
      <c r="T523" s="18" t="s">
        <v>40</v>
      </c>
      <c r="U523" s="18">
        <v>2011</v>
      </c>
      <c r="V523" s="16">
        <f t="shared" si="16"/>
        <v>40587</v>
      </c>
      <c r="W523" s="18" t="str">
        <f t="shared" si="17"/>
        <v>Weedend</v>
      </c>
    </row>
    <row r="524" spans="1:23" x14ac:dyDescent="0.25">
      <c r="A524" s="19">
        <v>522</v>
      </c>
      <c r="B524" s="20">
        <v>40566</v>
      </c>
      <c r="C524" s="18">
        <v>1</v>
      </c>
      <c r="D524" s="18">
        <v>0</v>
      </c>
      <c r="E524" s="18">
        <v>1</v>
      </c>
      <c r="F524" s="18">
        <v>20</v>
      </c>
      <c r="G524" s="18" t="b">
        <v>0</v>
      </c>
      <c r="H524" s="18">
        <v>0</v>
      </c>
      <c r="I524" s="18">
        <v>1</v>
      </c>
      <c r="J524" s="18">
        <v>0.1</v>
      </c>
      <c r="K524">
        <v>0.1061</v>
      </c>
      <c r="L524">
        <v>0.36</v>
      </c>
      <c r="M524" s="18">
        <v>0.25369999999999998</v>
      </c>
      <c r="N524" s="18">
        <v>4</v>
      </c>
      <c r="O524" s="18">
        <v>31</v>
      </c>
      <c r="P524">
        <v>35</v>
      </c>
      <c r="Q524" s="18" t="s">
        <v>34</v>
      </c>
      <c r="R524" s="18" t="s">
        <v>35</v>
      </c>
      <c r="S524" s="18" t="s">
        <v>36</v>
      </c>
      <c r="T524" s="18" t="s">
        <v>40</v>
      </c>
      <c r="U524" s="18">
        <v>2011</v>
      </c>
      <c r="V524" s="16">
        <f t="shared" si="16"/>
        <v>40587</v>
      </c>
      <c r="W524" s="18" t="str">
        <f t="shared" si="17"/>
        <v>Weedend</v>
      </c>
    </row>
    <row r="525" spans="1:23" x14ac:dyDescent="0.25">
      <c r="A525" s="19">
        <v>523</v>
      </c>
      <c r="B525" s="20">
        <v>40566</v>
      </c>
      <c r="C525" s="18">
        <v>1</v>
      </c>
      <c r="D525" s="18">
        <v>0</v>
      </c>
      <c r="E525" s="18">
        <v>1</v>
      </c>
      <c r="F525" s="18">
        <v>21</v>
      </c>
      <c r="G525" s="18" t="b">
        <v>0</v>
      </c>
      <c r="H525" s="18">
        <v>0</v>
      </c>
      <c r="I525" s="18">
        <v>1</v>
      </c>
      <c r="J525" s="18">
        <v>0.1</v>
      </c>
      <c r="K525">
        <v>0.1061</v>
      </c>
      <c r="L525">
        <v>0.36</v>
      </c>
      <c r="M525" s="18">
        <v>0.19400000000000001</v>
      </c>
      <c r="N525" s="18">
        <v>5</v>
      </c>
      <c r="O525" s="18">
        <v>20</v>
      </c>
      <c r="P525">
        <v>25</v>
      </c>
      <c r="Q525" s="18" t="s">
        <v>34</v>
      </c>
      <c r="R525" s="18" t="s">
        <v>35</v>
      </c>
      <c r="S525" s="18" t="s">
        <v>36</v>
      </c>
      <c r="T525" s="18" t="s">
        <v>40</v>
      </c>
      <c r="U525" s="18">
        <v>2011</v>
      </c>
      <c r="V525" s="16">
        <f t="shared" si="16"/>
        <v>40587</v>
      </c>
      <c r="W525" s="18" t="str">
        <f t="shared" si="17"/>
        <v>Weedend</v>
      </c>
    </row>
    <row r="526" spans="1:23" x14ac:dyDescent="0.25">
      <c r="A526" s="19">
        <v>524</v>
      </c>
      <c r="B526" s="20">
        <v>40566</v>
      </c>
      <c r="C526" s="18">
        <v>1</v>
      </c>
      <c r="D526" s="18">
        <v>0</v>
      </c>
      <c r="E526" s="18">
        <v>1</v>
      </c>
      <c r="F526" s="18">
        <v>22</v>
      </c>
      <c r="G526" s="18" t="b">
        <v>0</v>
      </c>
      <c r="H526" s="18">
        <v>0</v>
      </c>
      <c r="I526" s="18">
        <v>1</v>
      </c>
      <c r="J526" s="18">
        <v>0.08</v>
      </c>
      <c r="K526">
        <v>9.0899999999999995E-2</v>
      </c>
      <c r="L526">
        <v>0.38</v>
      </c>
      <c r="M526" s="18">
        <v>0.19400000000000001</v>
      </c>
      <c r="N526" s="18">
        <v>5</v>
      </c>
      <c r="O526" s="18">
        <v>23</v>
      </c>
      <c r="P526">
        <v>28</v>
      </c>
      <c r="Q526" s="18" t="s">
        <v>34</v>
      </c>
      <c r="R526" s="18" t="s">
        <v>35</v>
      </c>
      <c r="S526" s="18" t="s">
        <v>36</v>
      </c>
      <c r="T526" s="18" t="s">
        <v>40</v>
      </c>
      <c r="U526" s="18">
        <v>2011</v>
      </c>
      <c r="V526" s="16">
        <f t="shared" si="16"/>
        <v>40587</v>
      </c>
      <c r="W526" s="18" t="str">
        <f t="shared" si="17"/>
        <v>Weedend</v>
      </c>
    </row>
    <row r="527" spans="1:23" x14ac:dyDescent="0.25">
      <c r="A527" s="19">
        <v>525</v>
      </c>
      <c r="B527" s="20">
        <v>40566</v>
      </c>
      <c r="C527" s="18">
        <v>1</v>
      </c>
      <c r="D527" s="18">
        <v>0</v>
      </c>
      <c r="E527" s="18">
        <v>1</v>
      </c>
      <c r="F527" s="18">
        <v>23</v>
      </c>
      <c r="G527" s="18" t="b">
        <v>0</v>
      </c>
      <c r="H527" s="18">
        <v>0</v>
      </c>
      <c r="I527" s="18">
        <v>1</v>
      </c>
      <c r="J527" s="18">
        <v>0.06</v>
      </c>
      <c r="K527">
        <v>6.0600000000000001E-2</v>
      </c>
      <c r="L527">
        <v>0.41</v>
      </c>
      <c r="M527" s="18">
        <v>0.22389999999999999</v>
      </c>
      <c r="N527" s="18">
        <v>4</v>
      </c>
      <c r="O527" s="18">
        <v>17</v>
      </c>
      <c r="P527">
        <v>21</v>
      </c>
      <c r="Q527" s="18" t="s">
        <v>34</v>
      </c>
      <c r="R527" s="18" t="s">
        <v>35</v>
      </c>
      <c r="S527" s="18" t="s">
        <v>36</v>
      </c>
      <c r="T527" s="18" t="s">
        <v>40</v>
      </c>
      <c r="U527" s="18">
        <v>2011</v>
      </c>
      <c r="V527" s="16">
        <f t="shared" si="16"/>
        <v>40587</v>
      </c>
      <c r="W527" s="18" t="str">
        <f t="shared" si="17"/>
        <v>Weedend</v>
      </c>
    </row>
    <row r="528" spans="1:23" x14ac:dyDescent="0.25">
      <c r="A528" s="19">
        <v>526</v>
      </c>
      <c r="B528" s="20">
        <v>40567</v>
      </c>
      <c r="C528" s="18">
        <v>1</v>
      </c>
      <c r="D528" s="18">
        <v>0</v>
      </c>
      <c r="E528" s="18">
        <v>1</v>
      </c>
      <c r="F528" s="18">
        <v>0</v>
      </c>
      <c r="G528" s="18" t="b">
        <v>0</v>
      </c>
      <c r="H528" s="18">
        <v>1</v>
      </c>
      <c r="I528" s="18">
        <v>1</v>
      </c>
      <c r="J528" s="18">
        <v>0.06</v>
      </c>
      <c r="K528">
        <v>6.0600000000000001E-2</v>
      </c>
      <c r="L528">
        <v>0.41</v>
      </c>
      <c r="M528" s="18">
        <v>0.19400000000000001</v>
      </c>
      <c r="N528" s="18">
        <v>0</v>
      </c>
      <c r="O528" s="18">
        <v>7</v>
      </c>
      <c r="P528">
        <v>7</v>
      </c>
      <c r="Q528" s="18" t="s">
        <v>34</v>
      </c>
      <c r="R528" s="18" t="s">
        <v>35</v>
      </c>
      <c r="S528" s="18" t="s">
        <v>36</v>
      </c>
      <c r="T528" s="18" t="s">
        <v>41</v>
      </c>
      <c r="U528" s="18">
        <v>2011</v>
      </c>
      <c r="V528" s="16">
        <f t="shared" si="16"/>
        <v>40587</v>
      </c>
      <c r="W528" s="18" t="str">
        <f t="shared" si="17"/>
        <v>Weekday</v>
      </c>
    </row>
    <row r="529" spans="1:23" x14ac:dyDescent="0.25">
      <c r="A529" s="19">
        <v>527</v>
      </c>
      <c r="B529" s="20">
        <v>40567</v>
      </c>
      <c r="C529" s="18">
        <v>1</v>
      </c>
      <c r="D529" s="18">
        <v>0</v>
      </c>
      <c r="E529" s="18">
        <v>1</v>
      </c>
      <c r="F529" s="18">
        <v>1</v>
      </c>
      <c r="G529" s="18" t="b">
        <v>0</v>
      </c>
      <c r="H529" s="18">
        <v>1</v>
      </c>
      <c r="I529" s="18">
        <v>1</v>
      </c>
      <c r="J529" s="18">
        <v>0.04</v>
      </c>
      <c r="K529">
        <v>4.5499999999999999E-2</v>
      </c>
      <c r="L529">
        <v>0.45</v>
      </c>
      <c r="M529" s="18">
        <v>0.19400000000000001</v>
      </c>
      <c r="N529" s="18">
        <v>0</v>
      </c>
      <c r="O529" s="18">
        <v>1</v>
      </c>
      <c r="P529">
        <v>1</v>
      </c>
      <c r="Q529" s="18" t="s">
        <v>34</v>
      </c>
      <c r="R529" s="18" t="s">
        <v>35</v>
      </c>
      <c r="S529" s="18" t="s">
        <v>36</v>
      </c>
      <c r="T529" s="18" t="s">
        <v>41</v>
      </c>
      <c r="U529" s="18">
        <v>2011</v>
      </c>
      <c r="V529" s="16">
        <f t="shared" si="16"/>
        <v>40587</v>
      </c>
      <c r="W529" s="18" t="str">
        <f t="shared" si="17"/>
        <v>Weekday</v>
      </c>
    </row>
    <row r="530" spans="1:23" x14ac:dyDescent="0.25">
      <c r="A530" s="19">
        <v>528</v>
      </c>
      <c r="B530" s="20">
        <v>40567</v>
      </c>
      <c r="C530" s="18">
        <v>1</v>
      </c>
      <c r="D530" s="18">
        <v>0</v>
      </c>
      <c r="E530" s="18">
        <v>1</v>
      </c>
      <c r="F530" s="18">
        <v>3</v>
      </c>
      <c r="G530" s="18" t="b">
        <v>0</v>
      </c>
      <c r="H530" s="18">
        <v>1</v>
      </c>
      <c r="I530" s="18">
        <v>1</v>
      </c>
      <c r="J530" s="18">
        <v>0.04</v>
      </c>
      <c r="K530">
        <v>3.0300000000000001E-2</v>
      </c>
      <c r="L530">
        <v>0.45</v>
      </c>
      <c r="M530" s="18">
        <v>0.25369999999999998</v>
      </c>
      <c r="N530" s="18">
        <v>0</v>
      </c>
      <c r="O530" s="18">
        <v>1</v>
      </c>
      <c r="P530">
        <v>1</v>
      </c>
      <c r="Q530" s="18" t="s">
        <v>34</v>
      </c>
      <c r="R530" s="18" t="s">
        <v>35</v>
      </c>
      <c r="S530" s="18" t="s">
        <v>36</v>
      </c>
      <c r="T530" s="18" t="s">
        <v>41</v>
      </c>
      <c r="U530" s="18">
        <v>2011</v>
      </c>
      <c r="V530" s="16">
        <f t="shared" si="16"/>
        <v>40587</v>
      </c>
      <c r="W530" s="18" t="str">
        <f t="shared" si="17"/>
        <v>Weekday</v>
      </c>
    </row>
    <row r="531" spans="1:23" x14ac:dyDescent="0.25">
      <c r="A531" s="19">
        <v>529</v>
      </c>
      <c r="B531" s="20">
        <v>40567</v>
      </c>
      <c r="C531" s="18">
        <v>1</v>
      </c>
      <c r="D531" s="18">
        <v>0</v>
      </c>
      <c r="E531" s="18">
        <v>1</v>
      </c>
      <c r="F531" s="18">
        <v>4</v>
      </c>
      <c r="G531" s="18" t="b">
        <v>0</v>
      </c>
      <c r="H531" s="18">
        <v>1</v>
      </c>
      <c r="I531" s="18">
        <v>1</v>
      </c>
      <c r="J531" s="18">
        <v>0.02</v>
      </c>
      <c r="K531">
        <v>6.0600000000000001E-2</v>
      </c>
      <c r="L531">
        <v>0.48</v>
      </c>
      <c r="M531" s="18">
        <v>0.1343</v>
      </c>
      <c r="N531" s="18">
        <v>0</v>
      </c>
      <c r="O531" s="18">
        <v>1</v>
      </c>
      <c r="P531">
        <v>1</v>
      </c>
      <c r="Q531" s="18" t="s">
        <v>34</v>
      </c>
      <c r="R531" s="18" t="s">
        <v>35</v>
      </c>
      <c r="S531" s="18" t="s">
        <v>36</v>
      </c>
      <c r="T531" s="18" t="s">
        <v>41</v>
      </c>
      <c r="U531" s="18">
        <v>2011</v>
      </c>
      <c r="V531" s="16">
        <f t="shared" si="16"/>
        <v>40587</v>
      </c>
      <c r="W531" s="18" t="str">
        <f t="shared" si="17"/>
        <v>Weekday</v>
      </c>
    </row>
    <row r="532" spans="1:23" x14ac:dyDescent="0.25">
      <c r="A532" s="19">
        <v>530</v>
      </c>
      <c r="B532" s="20">
        <v>40567</v>
      </c>
      <c r="C532" s="18">
        <v>1</v>
      </c>
      <c r="D532" s="18">
        <v>0</v>
      </c>
      <c r="E532" s="18">
        <v>1</v>
      </c>
      <c r="F532" s="18">
        <v>5</v>
      </c>
      <c r="G532" s="18" t="b">
        <v>0</v>
      </c>
      <c r="H532" s="18">
        <v>1</v>
      </c>
      <c r="I532" s="18">
        <v>1</v>
      </c>
      <c r="J532" s="18">
        <v>0.02</v>
      </c>
      <c r="K532">
        <v>6.0600000000000001E-2</v>
      </c>
      <c r="L532">
        <v>0.48</v>
      </c>
      <c r="M532" s="18">
        <v>0.1343</v>
      </c>
      <c r="N532" s="18">
        <v>0</v>
      </c>
      <c r="O532" s="18">
        <v>5</v>
      </c>
      <c r="P532">
        <v>5</v>
      </c>
      <c r="Q532" s="18" t="s">
        <v>34</v>
      </c>
      <c r="R532" s="18" t="s">
        <v>35</v>
      </c>
      <c r="S532" s="18" t="s">
        <v>36</v>
      </c>
      <c r="T532" s="18" t="s">
        <v>41</v>
      </c>
      <c r="U532" s="18">
        <v>2011</v>
      </c>
      <c r="V532" s="16">
        <f t="shared" si="16"/>
        <v>40587</v>
      </c>
      <c r="W532" s="18" t="str">
        <f t="shared" si="17"/>
        <v>Weekday</v>
      </c>
    </row>
    <row r="533" spans="1:23" x14ac:dyDescent="0.25">
      <c r="A533" s="19">
        <v>531</v>
      </c>
      <c r="B533" s="20">
        <v>40567</v>
      </c>
      <c r="C533" s="18">
        <v>1</v>
      </c>
      <c r="D533" s="18">
        <v>0</v>
      </c>
      <c r="E533" s="18">
        <v>1</v>
      </c>
      <c r="F533" s="18">
        <v>6</v>
      </c>
      <c r="G533" s="18" t="b">
        <v>0</v>
      </c>
      <c r="H533" s="18">
        <v>1</v>
      </c>
      <c r="I533" s="18">
        <v>1</v>
      </c>
      <c r="J533" s="18">
        <v>0.02</v>
      </c>
      <c r="K533">
        <v>7.5800000000000006E-2</v>
      </c>
      <c r="L533">
        <v>0.48</v>
      </c>
      <c r="M533" s="18">
        <v>8.9599999999999999E-2</v>
      </c>
      <c r="N533" s="18">
        <v>0</v>
      </c>
      <c r="O533" s="18">
        <v>15</v>
      </c>
      <c r="P533">
        <v>15</v>
      </c>
      <c r="Q533" s="18" t="s">
        <v>34</v>
      </c>
      <c r="R533" s="18" t="s">
        <v>35</v>
      </c>
      <c r="S533" s="18" t="s">
        <v>36</v>
      </c>
      <c r="T533" s="18" t="s">
        <v>41</v>
      </c>
      <c r="U533" s="18">
        <v>2011</v>
      </c>
      <c r="V533" s="16">
        <f t="shared" si="16"/>
        <v>40587</v>
      </c>
      <c r="W533" s="18" t="str">
        <f t="shared" si="17"/>
        <v>Weekday</v>
      </c>
    </row>
    <row r="534" spans="1:23" x14ac:dyDescent="0.25">
      <c r="A534" s="19">
        <v>532</v>
      </c>
      <c r="B534" s="20">
        <v>40567</v>
      </c>
      <c r="C534" s="18">
        <v>1</v>
      </c>
      <c r="D534" s="18">
        <v>0</v>
      </c>
      <c r="E534" s="18">
        <v>1</v>
      </c>
      <c r="F534" s="18">
        <v>7</v>
      </c>
      <c r="G534" s="18" t="b">
        <v>0</v>
      </c>
      <c r="H534" s="18">
        <v>1</v>
      </c>
      <c r="I534" s="18">
        <v>1</v>
      </c>
      <c r="J534" s="18">
        <v>0.02</v>
      </c>
      <c r="K534">
        <v>0.1212</v>
      </c>
      <c r="L534">
        <v>0.48</v>
      </c>
      <c r="M534" s="18">
        <v>0</v>
      </c>
      <c r="N534" s="18">
        <v>5</v>
      </c>
      <c r="O534" s="18">
        <v>79</v>
      </c>
      <c r="P534">
        <v>84</v>
      </c>
      <c r="Q534" s="18" t="s">
        <v>34</v>
      </c>
      <c r="R534" s="18" t="s">
        <v>35</v>
      </c>
      <c r="S534" s="18" t="s">
        <v>36</v>
      </c>
      <c r="T534" s="18" t="s">
        <v>41</v>
      </c>
      <c r="U534" s="18">
        <v>2011</v>
      </c>
      <c r="V534" s="16">
        <f t="shared" si="16"/>
        <v>40587</v>
      </c>
      <c r="W534" s="18" t="str">
        <f t="shared" si="17"/>
        <v>Weekday</v>
      </c>
    </row>
    <row r="535" spans="1:23" x14ac:dyDescent="0.25">
      <c r="A535" s="19">
        <v>533</v>
      </c>
      <c r="B535" s="20">
        <v>40567</v>
      </c>
      <c r="C535" s="18">
        <v>1</v>
      </c>
      <c r="D535" s="18">
        <v>0</v>
      </c>
      <c r="E535" s="18">
        <v>1</v>
      </c>
      <c r="F535" s="18">
        <v>8</v>
      </c>
      <c r="G535" s="18" t="b">
        <v>0</v>
      </c>
      <c r="H535" s="18">
        <v>1</v>
      </c>
      <c r="I535" s="18">
        <v>1</v>
      </c>
      <c r="J535" s="18">
        <v>0.04</v>
      </c>
      <c r="K535">
        <v>0.13639999999999999</v>
      </c>
      <c r="L535">
        <v>0.49</v>
      </c>
      <c r="M535" s="18">
        <v>0</v>
      </c>
      <c r="N535" s="18">
        <v>6</v>
      </c>
      <c r="O535" s="18">
        <v>171</v>
      </c>
      <c r="P535">
        <v>177</v>
      </c>
      <c r="Q535" s="18" t="s">
        <v>34</v>
      </c>
      <c r="R535" s="18" t="s">
        <v>35</v>
      </c>
      <c r="S535" s="18" t="s">
        <v>36</v>
      </c>
      <c r="T535" s="18" t="s">
        <v>41</v>
      </c>
      <c r="U535" s="18">
        <v>2011</v>
      </c>
      <c r="V535" s="16">
        <f t="shared" si="16"/>
        <v>40587</v>
      </c>
      <c r="W535" s="18" t="str">
        <f t="shared" si="17"/>
        <v>Weekday</v>
      </c>
    </row>
    <row r="536" spans="1:23" x14ac:dyDescent="0.25">
      <c r="A536" s="19">
        <v>534</v>
      </c>
      <c r="B536" s="20">
        <v>40567</v>
      </c>
      <c r="C536" s="18">
        <v>1</v>
      </c>
      <c r="D536" s="18">
        <v>0</v>
      </c>
      <c r="E536" s="18">
        <v>1</v>
      </c>
      <c r="F536" s="18">
        <v>9</v>
      </c>
      <c r="G536" s="18" t="b">
        <v>0</v>
      </c>
      <c r="H536" s="18">
        <v>1</v>
      </c>
      <c r="I536" s="18">
        <v>1</v>
      </c>
      <c r="J536" s="18">
        <v>0.06</v>
      </c>
      <c r="K536">
        <v>0.1515</v>
      </c>
      <c r="L536">
        <v>0.41</v>
      </c>
      <c r="M536" s="18">
        <v>0</v>
      </c>
      <c r="N536" s="18">
        <v>4</v>
      </c>
      <c r="O536" s="18">
        <v>98</v>
      </c>
      <c r="P536">
        <v>102</v>
      </c>
      <c r="Q536" s="18" t="s">
        <v>34</v>
      </c>
      <c r="R536" s="18" t="s">
        <v>35</v>
      </c>
      <c r="S536" s="18" t="s">
        <v>36</v>
      </c>
      <c r="T536" s="18" t="s">
        <v>41</v>
      </c>
      <c r="U536" s="18">
        <v>2011</v>
      </c>
      <c r="V536" s="16">
        <f t="shared" si="16"/>
        <v>40587</v>
      </c>
      <c r="W536" s="18" t="str">
        <f t="shared" si="17"/>
        <v>Weekday</v>
      </c>
    </row>
    <row r="537" spans="1:23" x14ac:dyDescent="0.25">
      <c r="A537" s="19">
        <v>535</v>
      </c>
      <c r="B537" s="20">
        <v>40567</v>
      </c>
      <c r="C537" s="18">
        <v>1</v>
      </c>
      <c r="D537" s="18">
        <v>0</v>
      </c>
      <c r="E537" s="18">
        <v>1</v>
      </c>
      <c r="F537" s="18">
        <v>10</v>
      </c>
      <c r="G537" s="18" t="b">
        <v>0</v>
      </c>
      <c r="H537" s="18">
        <v>1</v>
      </c>
      <c r="I537" s="18">
        <v>1</v>
      </c>
      <c r="J537" s="18">
        <v>0.1</v>
      </c>
      <c r="K537">
        <v>0.13639999999999999</v>
      </c>
      <c r="L537">
        <v>0.42</v>
      </c>
      <c r="M537" s="18">
        <v>0</v>
      </c>
      <c r="N537" s="18">
        <v>6</v>
      </c>
      <c r="O537" s="18">
        <v>34</v>
      </c>
      <c r="P537">
        <v>40</v>
      </c>
      <c r="Q537" s="18" t="s">
        <v>34</v>
      </c>
      <c r="R537" s="18" t="s">
        <v>35</v>
      </c>
      <c r="S537" s="18" t="s">
        <v>36</v>
      </c>
      <c r="T537" s="18" t="s">
        <v>41</v>
      </c>
      <c r="U537" s="18">
        <v>2011</v>
      </c>
      <c r="V537" s="16">
        <f t="shared" si="16"/>
        <v>40587</v>
      </c>
      <c r="W537" s="18" t="str">
        <f t="shared" si="17"/>
        <v>Weekday</v>
      </c>
    </row>
    <row r="538" spans="1:23" x14ac:dyDescent="0.25">
      <c r="A538" s="19">
        <v>536</v>
      </c>
      <c r="B538" s="20">
        <v>40567</v>
      </c>
      <c r="C538" s="18">
        <v>1</v>
      </c>
      <c r="D538" s="18">
        <v>0</v>
      </c>
      <c r="E538" s="18">
        <v>1</v>
      </c>
      <c r="F538" s="18">
        <v>11</v>
      </c>
      <c r="G538" s="18" t="b">
        <v>0</v>
      </c>
      <c r="H538" s="18">
        <v>1</v>
      </c>
      <c r="I538" s="18">
        <v>1</v>
      </c>
      <c r="J538" s="18">
        <v>0.1</v>
      </c>
      <c r="K538">
        <v>0.1212</v>
      </c>
      <c r="L538">
        <v>0.46</v>
      </c>
      <c r="M538" s="18">
        <v>0.1343</v>
      </c>
      <c r="N538" s="18">
        <v>3</v>
      </c>
      <c r="O538" s="18">
        <v>43</v>
      </c>
      <c r="P538">
        <v>46</v>
      </c>
      <c r="Q538" s="18" t="s">
        <v>34</v>
      </c>
      <c r="R538" s="18" t="s">
        <v>35</v>
      </c>
      <c r="S538" s="18" t="s">
        <v>36</v>
      </c>
      <c r="T538" s="18" t="s">
        <v>41</v>
      </c>
      <c r="U538" s="18">
        <v>2011</v>
      </c>
      <c r="V538" s="16">
        <f t="shared" si="16"/>
        <v>40587</v>
      </c>
      <c r="W538" s="18" t="str">
        <f t="shared" si="17"/>
        <v>Weekday</v>
      </c>
    </row>
    <row r="539" spans="1:23" x14ac:dyDescent="0.25">
      <c r="A539" s="19">
        <v>537</v>
      </c>
      <c r="B539" s="20">
        <v>40567</v>
      </c>
      <c r="C539" s="18">
        <v>1</v>
      </c>
      <c r="D539" s="18">
        <v>0</v>
      </c>
      <c r="E539" s="18">
        <v>1</v>
      </c>
      <c r="F539" s="18">
        <v>12</v>
      </c>
      <c r="G539" s="18" t="b">
        <v>0</v>
      </c>
      <c r="H539" s="18">
        <v>1</v>
      </c>
      <c r="I539" s="18">
        <v>2</v>
      </c>
      <c r="J539" s="18">
        <v>0.12</v>
      </c>
      <c r="K539">
        <v>0.13639999999999999</v>
      </c>
      <c r="L539">
        <v>0.42</v>
      </c>
      <c r="M539" s="18">
        <v>0.19400000000000001</v>
      </c>
      <c r="N539" s="18">
        <v>11</v>
      </c>
      <c r="O539" s="18">
        <v>52</v>
      </c>
      <c r="P539">
        <v>63</v>
      </c>
      <c r="Q539" s="18" t="s">
        <v>34</v>
      </c>
      <c r="R539" s="18" t="s">
        <v>35</v>
      </c>
      <c r="S539" s="18" t="s">
        <v>38</v>
      </c>
      <c r="T539" s="18" t="s">
        <v>41</v>
      </c>
      <c r="U539" s="18">
        <v>2011</v>
      </c>
      <c r="V539" s="16">
        <f t="shared" si="16"/>
        <v>40587</v>
      </c>
      <c r="W539" s="18" t="str">
        <f t="shared" si="17"/>
        <v>Weekday</v>
      </c>
    </row>
    <row r="540" spans="1:23" x14ac:dyDescent="0.25">
      <c r="A540" s="19">
        <v>538</v>
      </c>
      <c r="B540" s="20">
        <v>40567</v>
      </c>
      <c r="C540" s="18">
        <v>1</v>
      </c>
      <c r="D540" s="18">
        <v>0</v>
      </c>
      <c r="E540" s="18">
        <v>1</v>
      </c>
      <c r="F540" s="18">
        <v>13</v>
      </c>
      <c r="G540" s="18" t="b">
        <v>0</v>
      </c>
      <c r="H540" s="18">
        <v>1</v>
      </c>
      <c r="I540" s="18">
        <v>2</v>
      </c>
      <c r="J540" s="18">
        <v>0.14000000000000001</v>
      </c>
      <c r="K540">
        <v>0.13639999999999999</v>
      </c>
      <c r="L540">
        <v>0.43</v>
      </c>
      <c r="M540" s="18">
        <v>0.22389999999999999</v>
      </c>
      <c r="N540" s="18">
        <v>6</v>
      </c>
      <c r="O540" s="18">
        <v>54</v>
      </c>
      <c r="P540">
        <v>60</v>
      </c>
      <c r="Q540" s="18" t="s">
        <v>34</v>
      </c>
      <c r="R540" s="18" t="s">
        <v>35</v>
      </c>
      <c r="S540" s="18" t="s">
        <v>38</v>
      </c>
      <c r="T540" s="18" t="s">
        <v>41</v>
      </c>
      <c r="U540" s="18">
        <v>2011</v>
      </c>
      <c r="V540" s="16">
        <f t="shared" si="16"/>
        <v>40587</v>
      </c>
      <c r="W540" s="18" t="str">
        <f t="shared" si="17"/>
        <v>Weekday</v>
      </c>
    </row>
    <row r="541" spans="1:23" x14ac:dyDescent="0.25">
      <c r="A541" s="19">
        <v>539</v>
      </c>
      <c r="B541" s="20">
        <v>40567</v>
      </c>
      <c r="C541" s="18">
        <v>1</v>
      </c>
      <c r="D541" s="18">
        <v>0</v>
      </c>
      <c r="E541" s="18">
        <v>1</v>
      </c>
      <c r="F541" s="18">
        <v>14</v>
      </c>
      <c r="G541" s="18" t="b">
        <v>0</v>
      </c>
      <c r="H541" s="18">
        <v>1</v>
      </c>
      <c r="I541" s="18">
        <v>2</v>
      </c>
      <c r="J541" s="18">
        <v>0.14000000000000001</v>
      </c>
      <c r="K541">
        <v>0.13639999999999999</v>
      </c>
      <c r="L541">
        <v>0.46</v>
      </c>
      <c r="M541" s="18">
        <v>0.22389999999999999</v>
      </c>
      <c r="N541" s="18">
        <v>2</v>
      </c>
      <c r="O541" s="18">
        <v>43</v>
      </c>
      <c r="P541">
        <v>45</v>
      </c>
      <c r="Q541" s="18" t="s">
        <v>34</v>
      </c>
      <c r="R541" s="18" t="s">
        <v>35</v>
      </c>
      <c r="S541" s="18" t="s">
        <v>38</v>
      </c>
      <c r="T541" s="18" t="s">
        <v>41</v>
      </c>
      <c r="U541" s="18">
        <v>2011</v>
      </c>
      <c r="V541" s="16">
        <f t="shared" si="16"/>
        <v>40587</v>
      </c>
      <c r="W541" s="18" t="str">
        <f t="shared" si="17"/>
        <v>Weekday</v>
      </c>
    </row>
    <row r="542" spans="1:23" x14ac:dyDescent="0.25">
      <c r="A542" s="19">
        <v>540</v>
      </c>
      <c r="B542" s="20">
        <v>40567</v>
      </c>
      <c r="C542" s="18">
        <v>1</v>
      </c>
      <c r="D542" s="18">
        <v>0</v>
      </c>
      <c r="E542" s="18">
        <v>1</v>
      </c>
      <c r="F542" s="18">
        <v>15</v>
      </c>
      <c r="G542" s="18" t="b">
        <v>0</v>
      </c>
      <c r="H542" s="18">
        <v>1</v>
      </c>
      <c r="I542" s="18">
        <v>1</v>
      </c>
      <c r="J542" s="18">
        <v>0.16</v>
      </c>
      <c r="K542">
        <v>0.16669999999999999</v>
      </c>
      <c r="L542">
        <v>0.4</v>
      </c>
      <c r="M542" s="18">
        <v>0.16420000000000001</v>
      </c>
      <c r="N542" s="18">
        <v>7</v>
      </c>
      <c r="O542" s="18">
        <v>50</v>
      </c>
      <c r="P542">
        <v>57</v>
      </c>
      <c r="Q542" s="18" t="s">
        <v>34</v>
      </c>
      <c r="R542" s="18" t="s">
        <v>35</v>
      </c>
      <c r="S542" s="18" t="s">
        <v>36</v>
      </c>
      <c r="T542" s="18" t="s">
        <v>41</v>
      </c>
      <c r="U542" s="18">
        <v>2011</v>
      </c>
      <c r="V542" s="16">
        <f t="shared" si="16"/>
        <v>40587</v>
      </c>
      <c r="W542" s="18" t="str">
        <f t="shared" si="17"/>
        <v>Weekday</v>
      </c>
    </row>
    <row r="543" spans="1:23" x14ac:dyDescent="0.25">
      <c r="A543" s="19">
        <v>541</v>
      </c>
      <c r="B543" s="20">
        <v>40567</v>
      </c>
      <c r="C543" s="18">
        <v>1</v>
      </c>
      <c r="D543" s="18">
        <v>0</v>
      </c>
      <c r="E543" s="18">
        <v>1</v>
      </c>
      <c r="F543" s="18">
        <v>16</v>
      </c>
      <c r="G543" s="18" t="b">
        <v>0</v>
      </c>
      <c r="H543" s="18">
        <v>1</v>
      </c>
      <c r="I543" s="18">
        <v>1</v>
      </c>
      <c r="J543" s="18">
        <v>0.16</v>
      </c>
      <c r="K543">
        <v>0.1515</v>
      </c>
      <c r="L543">
        <v>0.47</v>
      </c>
      <c r="M543" s="18">
        <v>0.25369999999999998</v>
      </c>
      <c r="N543" s="18">
        <v>4</v>
      </c>
      <c r="O543" s="18">
        <v>66</v>
      </c>
      <c r="P543">
        <v>70</v>
      </c>
      <c r="Q543" s="18" t="s">
        <v>34</v>
      </c>
      <c r="R543" s="18" t="s">
        <v>35</v>
      </c>
      <c r="S543" s="18" t="s">
        <v>36</v>
      </c>
      <c r="T543" s="18" t="s">
        <v>41</v>
      </c>
      <c r="U543" s="18">
        <v>2011</v>
      </c>
      <c r="V543" s="16">
        <f t="shared" si="16"/>
        <v>40587</v>
      </c>
      <c r="W543" s="18" t="str">
        <f t="shared" si="17"/>
        <v>Weekday</v>
      </c>
    </row>
    <row r="544" spans="1:23" x14ac:dyDescent="0.25">
      <c r="A544" s="19">
        <v>542</v>
      </c>
      <c r="B544" s="20">
        <v>40567</v>
      </c>
      <c r="C544" s="18">
        <v>1</v>
      </c>
      <c r="D544" s="18">
        <v>0</v>
      </c>
      <c r="E544" s="18">
        <v>1</v>
      </c>
      <c r="F544" s="18">
        <v>17</v>
      </c>
      <c r="G544" s="18" t="b">
        <v>0</v>
      </c>
      <c r="H544" s="18">
        <v>1</v>
      </c>
      <c r="I544" s="18">
        <v>1</v>
      </c>
      <c r="J544" s="18">
        <v>0.14000000000000001</v>
      </c>
      <c r="K544">
        <v>0.1212</v>
      </c>
      <c r="L544">
        <v>0.5</v>
      </c>
      <c r="M544" s="18">
        <v>0.25369999999999998</v>
      </c>
      <c r="N544" s="18">
        <v>6</v>
      </c>
      <c r="O544" s="18">
        <v>178</v>
      </c>
      <c r="P544">
        <v>184</v>
      </c>
      <c r="Q544" s="18" t="s">
        <v>34</v>
      </c>
      <c r="R544" s="18" t="s">
        <v>35</v>
      </c>
      <c r="S544" s="18" t="s">
        <v>36</v>
      </c>
      <c r="T544" s="18" t="s">
        <v>41</v>
      </c>
      <c r="U544" s="18">
        <v>2011</v>
      </c>
      <c r="V544" s="16">
        <f t="shared" si="16"/>
        <v>40587</v>
      </c>
      <c r="W544" s="18" t="str">
        <f t="shared" si="17"/>
        <v>Weekday</v>
      </c>
    </row>
    <row r="545" spans="1:23" x14ac:dyDescent="0.25">
      <c r="A545" s="19">
        <v>543</v>
      </c>
      <c r="B545" s="20">
        <v>40567</v>
      </c>
      <c r="C545" s="18">
        <v>1</v>
      </c>
      <c r="D545" s="18">
        <v>0</v>
      </c>
      <c r="E545" s="18">
        <v>1</v>
      </c>
      <c r="F545" s="18">
        <v>18</v>
      </c>
      <c r="G545" s="18" t="b">
        <v>0</v>
      </c>
      <c r="H545" s="18">
        <v>1</v>
      </c>
      <c r="I545" s="18">
        <v>1</v>
      </c>
      <c r="J545" s="18">
        <v>0.14000000000000001</v>
      </c>
      <c r="K545">
        <v>0.13639999999999999</v>
      </c>
      <c r="L545">
        <v>0.59</v>
      </c>
      <c r="M545" s="18">
        <v>0.19400000000000001</v>
      </c>
      <c r="N545" s="18">
        <v>8</v>
      </c>
      <c r="O545" s="18">
        <v>145</v>
      </c>
      <c r="P545">
        <v>153</v>
      </c>
      <c r="Q545" s="18" t="s">
        <v>34</v>
      </c>
      <c r="R545" s="18" t="s">
        <v>35</v>
      </c>
      <c r="S545" s="18" t="s">
        <v>36</v>
      </c>
      <c r="T545" s="18" t="s">
        <v>41</v>
      </c>
      <c r="U545" s="18">
        <v>2011</v>
      </c>
      <c r="V545" s="16">
        <f t="shared" si="16"/>
        <v>40587</v>
      </c>
      <c r="W545" s="18" t="str">
        <f t="shared" si="17"/>
        <v>Weekday</v>
      </c>
    </row>
    <row r="546" spans="1:23" x14ac:dyDescent="0.25">
      <c r="A546" s="19">
        <v>544</v>
      </c>
      <c r="B546" s="20">
        <v>40567</v>
      </c>
      <c r="C546" s="18">
        <v>1</v>
      </c>
      <c r="D546" s="18">
        <v>0</v>
      </c>
      <c r="E546" s="18">
        <v>1</v>
      </c>
      <c r="F546" s="18">
        <v>19</v>
      </c>
      <c r="G546" s="18" t="b">
        <v>0</v>
      </c>
      <c r="H546" s="18">
        <v>1</v>
      </c>
      <c r="I546" s="18">
        <v>1</v>
      </c>
      <c r="J546" s="18">
        <v>0.14000000000000001</v>
      </c>
      <c r="K546">
        <v>0.1515</v>
      </c>
      <c r="L546">
        <v>0.54</v>
      </c>
      <c r="M546" s="18">
        <v>0.16420000000000001</v>
      </c>
      <c r="N546" s="18">
        <v>5</v>
      </c>
      <c r="O546" s="18">
        <v>101</v>
      </c>
      <c r="P546">
        <v>106</v>
      </c>
      <c r="Q546" s="18" t="s">
        <v>34</v>
      </c>
      <c r="R546" s="18" t="s">
        <v>35</v>
      </c>
      <c r="S546" s="18" t="s">
        <v>36</v>
      </c>
      <c r="T546" s="18" t="s">
        <v>41</v>
      </c>
      <c r="U546" s="18">
        <v>2011</v>
      </c>
      <c r="V546" s="16">
        <f t="shared" si="16"/>
        <v>40587</v>
      </c>
      <c r="W546" s="18" t="str">
        <f t="shared" si="17"/>
        <v>Weekday</v>
      </c>
    </row>
    <row r="547" spans="1:23" x14ac:dyDescent="0.25">
      <c r="A547" s="19">
        <v>545</v>
      </c>
      <c r="B547" s="20">
        <v>40567</v>
      </c>
      <c r="C547" s="18">
        <v>1</v>
      </c>
      <c r="D547" s="18">
        <v>0</v>
      </c>
      <c r="E547" s="18">
        <v>1</v>
      </c>
      <c r="F547" s="18">
        <v>20</v>
      </c>
      <c r="G547" s="18" t="b">
        <v>0</v>
      </c>
      <c r="H547" s="18">
        <v>1</v>
      </c>
      <c r="I547" s="18">
        <v>1</v>
      </c>
      <c r="J547" s="18">
        <v>0.14000000000000001</v>
      </c>
      <c r="K547">
        <v>0.13639999999999999</v>
      </c>
      <c r="L547">
        <v>0.59</v>
      </c>
      <c r="M547" s="18">
        <v>0.19400000000000001</v>
      </c>
      <c r="N547" s="18">
        <v>1</v>
      </c>
      <c r="O547" s="18">
        <v>80</v>
      </c>
      <c r="P547">
        <v>81</v>
      </c>
      <c r="Q547" s="18" t="s">
        <v>34</v>
      </c>
      <c r="R547" s="18" t="s">
        <v>35</v>
      </c>
      <c r="S547" s="18" t="s">
        <v>36</v>
      </c>
      <c r="T547" s="18" t="s">
        <v>41</v>
      </c>
      <c r="U547" s="18">
        <v>2011</v>
      </c>
      <c r="V547" s="16">
        <f t="shared" si="16"/>
        <v>40587</v>
      </c>
      <c r="W547" s="18" t="str">
        <f t="shared" si="17"/>
        <v>Weekday</v>
      </c>
    </row>
    <row r="548" spans="1:23" x14ac:dyDescent="0.25">
      <c r="A548" s="19">
        <v>546</v>
      </c>
      <c r="B548" s="20">
        <v>40567</v>
      </c>
      <c r="C548" s="18">
        <v>1</v>
      </c>
      <c r="D548" s="18">
        <v>0</v>
      </c>
      <c r="E548" s="18">
        <v>1</v>
      </c>
      <c r="F548" s="18">
        <v>21</v>
      </c>
      <c r="G548" s="18" t="b">
        <v>0</v>
      </c>
      <c r="H548" s="18">
        <v>1</v>
      </c>
      <c r="I548" s="18">
        <v>1</v>
      </c>
      <c r="J548" s="18">
        <v>0.14000000000000001</v>
      </c>
      <c r="K548">
        <v>0.1515</v>
      </c>
      <c r="L548">
        <v>0.63</v>
      </c>
      <c r="M548" s="18">
        <v>0.16420000000000001</v>
      </c>
      <c r="N548" s="18">
        <v>6</v>
      </c>
      <c r="O548" s="18">
        <v>53</v>
      </c>
      <c r="P548">
        <v>59</v>
      </c>
      <c r="Q548" s="18" t="s">
        <v>34</v>
      </c>
      <c r="R548" s="18" t="s">
        <v>35</v>
      </c>
      <c r="S548" s="18" t="s">
        <v>36</v>
      </c>
      <c r="T548" s="18" t="s">
        <v>41</v>
      </c>
      <c r="U548" s="18">
        <v>2011</v>
      </c>
      <c r="V548" s="16">
        <f t="shared" si="16"/>
        <v>40587</v>
      </c>
      <c r="W548" s="18" t="str">
        <f t="shared" si="17"/>
        <v>Weekday</v>
      </c>
    </row>
    <row r="549" spans="1:23" x14ac:dyDescent="0.25">
      <c r="A549" s="19">
        <v>547</v>
      </c>
      <c r="B549" s="20">
        <v>40567</v>
      </c>
      <c r="C549" s="18">
        <v>1</v>
      </c>
      <c r="D549" s="18">
        <v>0</v>
      </c>
      <c r="E549" s="18">
        <v>1</v>
      </c>
      <c r="F549" s="18">
        <v>22</v>
      </c>
      <c r="G549" s="18" t="b">
        <v>0</v>
      </c>
      <c r="H549" s="18">
        <v>1</v>
      </c>
      <c r="I549" s="18">
        <v>2</v>
      </c>
      <c r="J549" s="18">
        <v>0.14000000000000001</v>
      </c>
      <c r="K549">
        <v>0.13639999999999999</v>
      </c>
      <c r="L549">
        <v>0.63</v>
      </c>
      <c r="M549" s="18">
        <v>0.22389999999999999</v>
      </c>
      <c r="N549" s="18">
        <v>3</v>
      </c>
      <c r="O549" s="18">
        <v>32</v>
      </c>
      <c r="P549">
        <v>35</v>
      </c>
      <c r="Q549" s="18" t="s">
        <v>34</v>
      </c>
      <c r="R549" s="18" t="s">
        <v>35</v>
      </c>
      <c r="S549" s="18" t="s">
        <v>38</v>
      </c>
      <c r="T549" s="18" t="s">
        <v>41</v>
      </c>
      <c r="U549" s="18">
        <v>2011</v>
      </c>
      <c r="V549" s="16">
        <f t="shared" si="16"/>
        <v>40587</v>
      </c>
      <c r="W549" s="18" t="str">
        <f t="shared" si="17"/>
        <v>Weekday</v>
      </c>
    </row>
    <row r="550" spans="1:23" x14ac:dyDescent="0.25">
      <c r="A550" s="19">
        <v>548</v>
      </c>
      <c r="B550" s="20">
        <v>40567</v>
      </c>
      <c r="C550" s="18">
        <v>1</v>
      </c>
      <c r="D550" s="18">
        <v>0</v>
      </c>
      <c r="E550" s="18">
        <v>1</v>
      </c>
      <c r="F550" s="18">
        <v>23</v>
      </c>
      <c r="G550" s="18" t="b">
        <v>0</v>
      </c>
      <c r="H550" s="18">
        <v>1</v>
      </c>
      <c r="I550" s="18">
        <v>2</v>
      </c>
      <c r="J550" s="18">
        <v>0.16</v>
      </c>
      <c r="K550">
        <v>0.1515</v>
      </c>
      <c r="L550">
        <v>0.64</v>
      </c>
      <c r="M550" s="18">
        <v>0.25369999999999998</v>
      </c>
      <c r="N550" s="18">
        <v>3</v>
      </c>
      <c r="O550" s="18">
        <v>21</v>
      </c>
      <c r="P550">
        <v>24</v>
      </c>
      <c r="Q550" s="18" t="s">
        <v>34</v>
      </c>
      <c r="R550" s="18" t="s">
        <v>35</v>
      </c>
      <c r="S550" s="18" t="s">
        <v>38</v>
      </c>
      <c r="T550" s="18" t="s">
        <v>41</v>
      </c>
      <c r="U550" s="18">
        <v>2011</v>
      </c>
      <c r="V550" s="16">
        <f t="shared" si="16"/>
        <v>40587</v>
      </c>
      <c r="W550" s="18" t="str">
        <f t="shared" si="17"/>
        <v>Weekday</v>
      </c>
    </row>
    <row r="551" spans="1:23" x14ac:dyDescent="0.25">
      <c r="A551" s="19">
        <v>549</v>
      </c>
      <c r="B551" s="20">
        <v>40568</v>
      </c>
      <c r="C551" s="18">
        <v>1</v>
      </c>
      <c r="D551" s="18">
        <v>0</v>
      </c>
      <c r="E551" s="18">
        <v>1</v>
      </c>
      <c r="F551" s="18">
        <v>0</v>
      </c>
      <c r="G551" s="18" t="b">
        <v>0</v>
      </c>
      <c r="H551" s="18">
        <v>2</v>
      </c>
      <c r="I551" s="18">
        <v>2</v>
      </c>
      <c r="J551" s="18">
        <v>0.16</v>
      </c>
      <c r="K551">
        <v>0.13639999999999999</v>
      </c>
      <c r="L551">
        <v>0.69</v>
      </c>
      <c r="M551" s="18">
        <v>0.28360000000000002</v>
      </c>
      <c r="N551" s="18">
        <v>3</v>
      </c>
      <c r="O551" s="18">
        <v>6</v>
      </c>
      <c r="P551">
        <v>9</v>
      </c>
      <c r="Q551" s="18" t="s">
        <v>34</v>
      </c>
      <c r="R551" s="18" t="s">
        <v>35</v>
      </c>
      <c r="S551" s="18" t="s">
        <v>38</v>
      </c>
      <c r="T551" s="18" t="s">
        <v>42</v>
      </c>
      <c r="U551" s="18">
        <v>2011</v>
      </c>
      <c r="V551" s="16">
        <f t="shared" si="16"/>
        <v>40587</v>
      </c>
      <c r="W551" s="18" t="str">
        <f t="shared" si="17"/>
        <v>Weekday</v>
      </c>
    </row>
    <row r="552" spans="1:23" x14ac:dyDescent="0.25">
      <c r="A552" s="19">
        <v>550</v>
      </c>
      <c r="B552" s="20">
        <v>40568</v>
      </c>
      <c r="C552" s="18">
        <v>1</v>
      </c>
      <c r="D552" s="18">
        <v>0</v>
      </c>
      <c r="E552" s="18">
        <v>1</v>
      </c>
      <c r="F552" s="18">
        <v>1</v>
      </c>
      <c r="G552" s="18" t="b">
        <v>0</v>
      </c>
      <c r="H552" s="18">
        <v>2</v>
      </c>
      <c r="I552" s="18">
        <v>2</v>
      </c>
      <c r="J552" s="18">
        <v>0.16</v>
      </c>
      <c r="K552">
        <v>0.16669999999999999</v>
      </c>
      <c r="L552">
        <v>0.69</v>
      </c>
      <c r="M552" s="18">
        <v>0.16420000000000001</v>
      </c>
      <c r="N552" s="18">
        <v>0</v>
      </c>
      <c r="O552" s="18">
        <v>5</v>
      </c>
      <c r="P552">
        <v>5</v>
      </c>
      <c r="Q552" s="18" t="s">
        <v>34</v>
      </c>
      <c r="R552" s="18" t="s">
        <v>35</v>
      </c>
      <c r="S552" s="18" t="s">
        <v>38</v>
      </c>
      <c r="T552" s="18" t="s">
        <v>42</v>
      </c>
      <c r="U552" s="18">
        <v>2011</v>
      </c>
      <c r="V552" s="16">
        <f t="shared" si="16"/>
        <v>40587</v>
      </c>
      <c r="W552" s="18" t="str">
        <f t="shared" si="17"/>
        <v>Weekday</v>
      </c>
    </row>
    <row r="553" spans="1:23" x14ac:dyDescent="0.25">
      <c r="A553" s="19">
        <v>551</v>
      </c>
      <c r="B553" s="20">
        <v>40568</v>
      </c>
      <c r="C553" s="18">
        <v>1</v>
      </c>
      <c r="D553" s="18">
        <v>0</v>
      </c>
      <c r="E553" s="18">
        <v>1</v>
      </c>
      <c r="F553" s="18">
        <v>2</v>
      </c>
      <c r="G553" s="18" t="b">
        <v>0</v>
      </c>
      <c r="H553" s="18">
        <v>2</v>
      </c>
      <c r="I553" s="18">
        <v>1</v>
      </c>
      <c r="J553" s="18">
        <v>0.16</v>
      </c>
      <c r="K553">
        <v>0.1515</v>
      </c>
      <c r="L553">
        <v>0.69</v>
      </c>
      <c r="M553" s="18">
        <v>0.22389999999999999</v>
      </c>
      <c r="N553" s="18">
        <v>0</v>
      </c>
      <c r="O553" s="18">
        <v>2</v>
      </c>
      <c r="P553">
        <v>2</v>
      </c>
      <c r="Q553" s="18" t="s">
        <v>34</v>
      </c>
      <c r="R553" s="18" t="s">
        <v>35</v>
      </c>
      <c r="S553" s="18" t="s">
        <v>36</v>
      </c>
      <c r="T553" s="18" t="s">
        <v>42</v>
      </c>
      <c r="U553" s="18">
        <v>2011</v>
      </c>
      <c r="V553" s="16">
        <f t="shared" si="16"/>
        <v>40587</v>
      </c>
      <c r="W553" s="18" t="str">
        <f t="shared" si="17"/>
        <v>Weekday</v>
      </c>
    </row>
    <row r="554" spans="1:23" x14ac:dyDescent="0.25">
      <c r="A554" s="19">
        <v>552</v>
      </c>
      <c r="B554" s="20">
        <v>40568</v>
      </c>
      <c r="C554" s="18">
        <v>1</v>
      </c>
      <c r="D554" s="18">
        <v>0</v>
      </c>
      <c r="E554" s="18">
        <v>1</v>
      </c>
      <c r="F554" s="18">
        <v>4</v>
      </c>
      <c r="G554" s="18" t="b">
        <v>0</v>
      </c>
      <c r="H554" s="18">
        <v>2</v>
      </c>
      <c r="I554" s="18">
        <v>1</v>
      </c>
      <c r="J554" s="18">
        <v>0.14000000000000001</v>
      </c>
      <c r="K554">
        <v>0.16669999999999999</v>
      </c>
      <c r="L554">
        <v>0.74</v>
      </c>
      <c r="M554" s="18">
        <v>0.1045</v>
      </c>
      <c r="N554" s="18">
        <v>0</v>
      </c>
      <c r="O554" s="18">
        <v>1</v>
      </c>
      <c r="P554">
        <v>1</v>
      </c>
      <c r="Q554" s="18" t="s">
        <v>34</v>
      </c>
      <c r="R554" s="18" t="s">
        <v>35</v>
      </c>
      <c r="S554" s="18" t="s">
        <v>36</v>
      </c>
      <c r="T554" s="18" t="s">
        <v>42</v>
      </c>
      <c r="U554" s="18">
        <v>2011</v>
      </c>
      <c r="V554" s="16">
        <f t="shared" si="16"/>
        <v>40587</v>
      </c>
      <c r="W554" s="18" t="str">
        <f t="shared" si="17"/>
        <v>Weekday</v>
      </c>
    </row>
    <row r="555" spans="1:23" x14ac:dyDescent="0.25">
      <c r="A555" s="19">
        <v>553</v>
      </c>
      <c r="B555" s="20">
        <v>40568</v>
      </c>
      <c r="C555" s="18">
        <v>1</v>
      </c>
      <c r="D555" s="18">
        <v>0</v>
      </c>
      <c r="E555" s="18">
        <v>1</v>
      </c>
      <c r="F555" s="18">
        <v>5</v>
      </c>
      <c r="G555" s="18" t="b">
        <v>0</v>
      </c>
      <c r="H555" s="18">
        <v>2</v>
      </c>
      <c r="I555" s="18">
        <v>1</v>
      </c>
      <c r="J555" s="18">
        <v>0.14000000000000001</v>
      </c>
      <c r="K555">
        <v>0.13639999999999999</v>
      </c>
      <c r="L555">
        <v>0.74</v>
      </c>
      <c r="M555" s="18">
        <v>0.22389999999999999</v>
      </c>
      <c r="N555" s="18">
        <v>0</v>
      </c>
      <c r="O555" s="18">
        <v>9</v>
      </c>
      <c r="P555">
        <v>9</v>
      </c>
      <c r="Q555" s="18" t="s">
        <v>34</v>
      </c>
      <c r="R555" s="18" t="s">
        <v>35</v>
      </c>
      <c r="S555" s="18" t="s">
        <v>36</v>
      </c>
      <c r="T555" s="18" t="s">
        <v>42</v>
      </c>
      <c r="U555" s="18">
        <v>2011</v>
      </c>
      <c r="V555" s="16">
        <f t="shared" si="16"/>
        <v>40587</v>
      </c>
      <c r="W555" s="18" t="str">
        <f t="shared" si="17"/>
        <v>Weekday</v>
      </c>
    </row>
    <row r="556" spans="1:23" x14ac:dyDescent="0.25">
      <c r="A556" s="19">
        <v>554</v>
      </c>
      <c r="B556" s="20">
        <v>40568</v>
      </c>
      <c r="C556" s="18">
        <v>1</v>
      </c>
      <c r="D556" s="18">
        <v>0</v>
      </c>
      <c r="E556" s="18">
        <v>1</v>
      </c>
      <c r="F556" s="18">
        <v>6</v>
      </c>
      <c r="G556" s="18" t="b">
        <v>0</v>
      </c>
      <c r="H556" s="18">
        <v>2</v>
      </c>
      <c r="I556" s="18">
        <v>1</v>
      </c>
      <c r="J556" s="18">
        <v>0.16</v>
      </c>
      <c r="K556">
        <v>0.18179999999999999</v>
      </c>
      <c r="L556">
        <v>0.74</v>
      </c>
      <c r="M556" s="18">
        <v>0.1045</v>
      </c>
      <c r="N556" s="18">
        <v>1</v>
      </c>
      <c r="O556" s="18">
        <v>35</v>
      </c>
      <c r="P556">
        <v>36</v>
      </c>
      <c r="Q556" s="18" t="s">
        <v>34</v>
      </c>
      <c r="R556" s="18" t="s">
        <v>35</v>
      </c>
      <c r="S556" s="18" t="s">
        <v>36</v>
      </c>
      <c r="T556" s="18" t="s">
        <v>42</v>
      </c>
      <c r="U556" s="18">
        <v>2011</v>
      </c>
      <c r="V556" s="16">
        <f t="shared" si="16"/>
        <v>40587</v>
      </c>
      <c r="W556" s="18" t="str">
        <f t="shared" si="17"/>
        <v>Weekday</v>
      </c>
    </row>
    <row r="557" spans="1:23" x14ac:dyDescent="0.25">
      <c r="A557" s="19">
        <v>555</v>
      </c>
      <c r="B557" s="20">
        <v>40568</v>
      </c>
      <c r="C557" s="18">
        <v>1</v>
      </c>
      <c r="D557" s="18">
        <v>0</v>
      </c>
      <c r="E557" s="18">
        <v>1</v>
      </c>
      <c r="F557" s="18">
        <v>7</v>
      </c>
      <c r="G557" s="18" t="b">
        <v>0</v>
      </c>
      <c r="H557" s="18">
        <v>2</v>
      </c>
      <c r="I557" s="18">
        <v>1</v>
      </c>
      <c r="J557" s="18">
        <v>0.16</v>
      </c>
      <c r="K557">
        <v>0.1515</v>
      </c>
      <c r="L557">
        <v>0.74</v>
      </c>
      <c r="M557" s="18">
        <v>0.22389999999999999</v>
      </c>
      <c r="N557" s="18">
        <v>5</v>
      </c>
      <c r="O557" s="18">
        <v>103</v>
      </c>
      <c r="P557">
        <v>108</v>
      </c>
      <c r="Q557" s="18" t="s">
        <v>34</v>
      </c>
      <c r="R557" s="18" t="s">
        <v>35</v>
      </c>
      <c r="S557" s="18" t="s">
        <v>36</v>
      </c>
      <c r="T557" s="18" t="s">
        <v>42</v>
      </c>
      <c r="U557" s="18">
        <v>2011</v>
      </c>
      <c r="V557" s="16">
        <f t="shared" si="16"/>
        <v>40587</v>
      </c>
      <c r="W557" s="18" t="str">
        <f t="shared" si="17"/>
        <v>Weekday</v>
      </c>
    </row>
    <row r="558" spans="1:23" x14ac:dyDescent="0.25">
      <c r="A558" s="19">
        <v>556</v>
      </c>
      <c r="B558" s="20">
        <v>40568</v>
      </c>
      <c r="C558" s="18">
        <v>1</v>
      </c>
      <c r="D558" s="18">
        <v>0</v>
      </c>
      <c r="E558" s="18">
        <v>1</v>
      </c>
      <c r="F558" s="18">
        <v>8</v>
      </c>
      <c r="G558" s="18" t="b">
        <v>0</v>
      </c>
      <c r="H558" s="18">
        <v>2</v>
      </c>
      <c r="I558" s="18">
        <v>2</v>
      </c>
      <c r="J558" s="18">
        <v>0.16</v>
      </c>
      <c r="K558">
        <v>0.18179999999999999</v>
      </c>
      <c r="L558">
        <v>0.74</v>
      </c>
      <c r="M558" s="18">
        <v>0.1343</v>
      </c>
      <c r="N558" s="18">
        <v>5</v>
      </c>
      <c r="O558" s="18">
        <v>233</v>
      </c>
      <c r="P558">
        <v>238</v>
      </c>
      <c r="Q558" s="18" t="s">
        <v>34</v>
      </c>
      <c r="R558" s="18" t="s">
        <v>35</v>
      </c>
      <c r="S558" s="18" t="s">
        <v>38</v>
      </c>
      <c r="T558" s="18" t="s">
        <v>42</v>
      </c>
      <c r="U558" s="18">
        <v>2011</v>
      </c>
      <c r="V558" s="16">
        <f t="shared" si="16"/>
        <v>40587</v>
      </c>
      <c r="W558" s="18" t="str">
        <f t="shared" si="17"/>
        <v>Weekday</v>
      </c>
    </row>
    <row r="559" spans="1:23" x14ac:dyDescent="0.25">
      <c r="A559" s="19">
        <v>557</v>
      </c>
      <c r="B559" s="20">
        <v>40568</v>
      </c>
      <c r="C559" s="18">
        <v>1</v>
      </c>
      <c r="D559" s="18">
        <v>0</v>
      </c>
      <c r="E559" s="18">
        <v>1</v>
      </c>
      <c r="F559" s="18">
        <v>9</v>
      </c>
      <c r="G559" s="18" t="b">
        <v>0</v>
      </c>
      <c r="H559" s="18">
        <v>2</v>
      </c>
      <c r="I559" s="18">
        <v>2</v>
      </c>
      <c r="J559" s="18">
        <v>0.2</v>
      </c>
      <c r="K559">
        <v>0.2273</v>
      </c>
      <c r="L559">
        <v>0.64</v>
      </c>
      <c r="M559" s="18">
        <v>8.9599999999999999E-2</v>
      </c>
      <c r="N559" s="18">
        <v>10</v>
      </c>
      <c r="O559" s="18">
        <v>134</v>
      </c>
      <c r="P559">
        <v>144</v>
      </c>
      <c r="Q559" s="18" t="s">
        <v>34</v>
      </c>
      <c r="R559" s="18" t="s">
        <v>35</v>
      </c>
      <c r="S559" s="18" t="s">
        <v>38</v>
      </c>
      <c r="T559" s="18" t="s">
        <v>42</v>
      </c>
      <c r="U559" s="18">
        <v>2011</v>
      </c>
      <c r="V559" s="16">
        <f t="shared" si="16"/>
        <v>40587</v>
      </c>
      <c r="W559" s="18" t="str">
        <f t="shared" si="17"/>
        <v>Weekday</v>
      </c>
    </row>
    <row r="560" spans="1:23" x14ac:dyDescent="0.25">
      <c r="A560" s="19">
        <v>558</v>
      </c>
      <c r="B560" s="20">
        <v>40568</v>
      </c>
      <c r="C560" s="18">
        <v>1</v>
      </c>
      <c r="D560" s="18">
        <v>0</v>
      </c>
      <c r="E560" s="18">
        <v>1</v>
      </c>
      <c r="F560" s="18">
        <v>10</v>
      </c>
      <c r="G560" s="18" t="b">
        <v>0</v>
      </c>
      <c r="H560" s="18">
        <v>2</v>
      </c>
      <c r="I560" s="18">
        <v>2</v>
      </c>
      <c r="J560" s="18">
        <v>0.22</v>
      </c>
      <c r="K560">
        <v>0.2424</v>
      </c>
      <c r="L560">
        <v>0.6</v>
      </c>
      <c r="M560" s="18">
        <v>0.1045</v>
      </c>
      <c r="N560" s="18">
        <v>6</v>
      </c>
      <c r="O560" s="18">
        <v>49</v>
      </c>
      <c r="P560">
        <v>55</v>
      </c>
      <c r="Q560" s="18" t="s">
        <v>34</v>
      </c>
      <c r="R560" s="18" t="s">
        <v>35</v>
      </c>
      <c r="S560" s="18" t="s">
        <v>38</v>
      </c>
      <c r="T560" s="18" t="s">
        <v>42</v>
      </c>
      <c r="U560" s="18">
        <v>2011</v>
      </c>
      <c r="V560" s="16">
        <f t="shared" si="16"/>
        <v>40587</v>
      </c>
      <c r="W560" s="18" t="str">
        <f t="shared" si="17"/>
        <v>Weekday</v>
      </c>
    </row>
    <row r="561" spans="1:23" x14ac:dyDescent="0.25">
      <c r="A561" s="19">
        <v>559</v>
      </c>
      <c r="B561" s="20">
        <v>40568</v>
      </c>
      <c r="C561" s="18">
        <v>1</v>
      </c>
      <c r="D561" s="18">
        <v>0</v>
      </c>
      <c r="E561" s="18">
        <v>1</v>
      </c>
      <c r="F561" s="18">
        <v>11</v>
      </c>
      <c r="G561" s="18" t="b">
        <v>0</v>
      </c>
      <c r="H561" s="18">
        <v>2</v>
      </c>
      <c r="I561" s="18">
        <v>2</v>
      </c>
      <c r="J561" s="18">
        <v>0.24</v>
      </c>
      <c r="K561">
        <v>0.2424</v>
      </c>
      <c r="L561">
        <v>0.6</v>
      </c>
      <c r="M561" s="18">
        <v>0.1343</v>
      </c>
      <c r="N561" s="18">
        <v>6</v>
      </c>
      <c r="O561" s="18">
        <v>55</v>
      </c>
      <c r="P561">
        <v>61</v>
      </c>
      <c r="Q561" s="18" t="s">
        <v>34</v>
      </c>
      <c r="R561" s="18" t="s">
        <v>35</v>
      </c>
      <c r="S561" s="18" t="s">
        <v>38</v>
      </c>
      <c r="T561" s="18" t="s">
        <v>42</v>
      </c>
      <c r="U561" s="18">
        <v>2011</v>
      </c>
      <c r="V561" s="16">
        <f t="shared" si="16"/>
        <v>40587</v>
      </c>
      <c r="W561" s="18" t="str">
        <f t="shared" si="17"/>
        <v>Weekday</v>
      </c>
    </row>
    <row r="562" spans="1:23" x14ac:dyDescent="0.25">
      <c r="A562" s="19">
        <v>560</v>
      </c>
      <c r="B562" s="20">
        <v>40568</v>
      </c>
      <c r="C562" s="18">
        <v>1</v>
      </c>
      <c r="D562" s="18">
        <v>0</v>
      </c>
      <c r="E562" s="18">
        <v>1</v>
      </c>
      <c r="F562" s="18">
        <v>12</v>
      </c>
      <c r="G562" s="18" t="b">
        <v>0</v>
      </c>
      <c r="H562" s="18">
        <v>2</v>
      </c>
      <c r="I562" s="18">
        <v>2</v>
      </c>
      <c r="J562" s="18">
        <v>0.26</v>
      </c>
      <c r="K562">
        <v>0.28789999999999999</v>
      </c>
      <c r="L562">
        <v>0.56000000000000005</v>
      </c>
      <c r="M562" s="18">
        <v>8.9599999999999999E-2</v>
      </c>
      <c r="N562" s="18">
        <v>21</v>
      </c>
      <c r="O562" s="18">
        <v>85</v>
      </c>
      <c r="P562">
        <v>106</v>
      </c>
      <c r="Q562" s="18" t="s">
        <v>34</v>
      </c>
      <c r="R562" s="18" t="s">
        <v>35</v>
      </c>
      <c r="S562" s="18" t="s">
        <v>38</v>
      </c>
      <c r="T562" s="18" t="s">
        <v>42</v>
      </c>
      <c r="U562" s="18">
        <v>2011</v>
      </c>
      <c r="V562" s="16">
        <f t="shared" si="16"/>
        <v>40587</v>
      </c>
      <c r="W562" s="18" t="str">
        <f t="shared" si="17"/>
        <v>Weekday</v>
      </c>
    </row>
    <row r="563" spans="1:23" x14ac:dyDescent="0.25">
      <c r="A563" s="19">
        <v>561</v>
      </c>
      <c r="B563" s="20">
        <v>40568</v>
      </c>
      <c r="C563" s="18">
        <v>1</v>
      </c>
      <c r="D563" s="18">
        <v>0</v>
      </c>
      <c r="E563" s="18">
        <v>1</v>
      </c>
      <c r="F563" s="18">
        <v>13</v>
      </c>
      <c r="G563" s="18" t="b">
        <v>0</v>
      </c>
      <c r="H563" s="18">
        <v>2</v>
      </c>
      <c r="I563" s="18">
        <v>2</v>
      </c>
      <c r="J563" s="18">
        <v>0.26</v>
      </c>
      <c r="K563">
        <v>0.2727</v>
      </c>
      <c r="L563">
        <v>0.56000000000000005</v>
      </c>
      <c r="M563" s="18">
        <v>0.1343</v>
      </c>
      <c r="N563" s="18">
        <v>21</v>
      </c>
      <c r="O563" s="18">
        <v>72</v>
      </c>
      <c r="P563">
        <v>93</v>
      </c>
      <c r="Q563" s="18" t="s">
        <v>34</v>
      </c>
      <c r="R563" s="18" t="s">
        <v>35</v>
      </c>
      <c r="S563" s="18" t="s">
        <v>38</v>
      </c>
      <c r="T563" s="18" t="s">
        <v>42</v>
      </c>
      <c r="U563" s="18">
        <v>2011</v>
      </c>
      <c r="V563" s="16">
        <f t="shared" si="16"/>
        <v>40587</v>
      </c>
      <c r="W563" s="18" t="str">
        <f t="shared" si="17"/>
        <v>Weekday</v>
      </c>
    </row>
    <row r="564" spans="1:23" x14ac:dyDescent="0.25">
      <c r="A564" s="19">
        <v>562</v>
      </c>
      <c r="B564" s="20">
        <v>40568</v>
      </c>
      <c r="C564" s="18">
        <v>1</v>
      </c>
      <c r="D564" s="18">
        <v>0</v>
      </c>
      <c r="E564" s="18">
        <v>1</v>
      </c>
      <c r="F564" s="18">
        <v>14</v>
      </c>
      <c r="G564" s="18" t="b">
        <v>0</v>
      </c>
      <c r="H564" s="18">
        <v>2</v>
      </c>
      <c r="I564" s="18">
        <v>2</v>
      </c>
      <c r="J564" s="18">
        <v>0.3</v>
      </c>
      <c r="K564">
        <v>0.33329999999999999</v>
      </c>
      <c r="L564">
        <v>0.45</v>
      </c>
      <c r="M564" s="18">
        <v>0</v>
      </c>
      <c r="N564" s="18">
        <v>11</v>
      </c>
      <c r="O564" s="18">
        <v>57</v>
      </c>
      <c r="P564">
        <v>68</v>
      </c>
      <c r="Q564" s="18" t="s">
        <v>34</v>
      </c>
      <c r="R564" s="18" t="s">
        <v>35</v>
      </c>
      <c r="S564" s="18" t="s">
        <v>38</v>
      </c>
      <c r="T564" s="18" t="s">
        <v>42</v>
      </c>
      <c r="U564" s="18">
        <v>2011</v>
      </c>
      <c r="V564" s="16">
        <f t="shared" si="16"/>
        <v>40587</v>
      </c>
      <c r="W564" s="18" t="str">
        <f t="shared" si="17"/>
        <v>Weekday</v>
      </c>
    </row>
    <row r="565" spans="1:23" x14ac:dyDescent="0.25">
      <c r="A565" s="19">
        <v>563</v>
      </c>
      <c r="B565" s="20">
        <v>40568</v>
      </c>
      <c r="C565" s="18">
        <v>1</v>
      </c>
      <c r="D565" s="18">
        <v>0</v>
      </c>
      <c r="E565" s="18">
        <v>1</v>
      </c>
      <c r="F565" s="18">
        <v>15</v>
      </c>
      <c r="G565" s="18" t="b">
        <v>0</v>
      </c>
      <c r="H565" s="18">
        <v>2</v>
      </c>
      <c r="I565" s="18">
        <v>2</v>
      </c>
      <c r="J565" s="18">
        <v>0.32</v>
      </c>
      <c r="K565">
        <v>0.34849999999999998</v>
      </c>
      <c r="L565">
        <v>0.42</v>
      </c>
      <c r="M565" s="18">
        <v>0</v>
      </c>
      <c r="N565" s="18">
        <v>21</v>
      </c>
      <c r="O565" s="18">
        <v>63</v>
      </c>
      <c r="P565">
        <v>84</v>
      </c>
      <c r="Q565" s="18" t="s">
        <v>34</v>
      </c>
      <c r="R565" s="18" t="s">
        <v>35</v>
      </c>
      <c r="S565" s="18" t="s">
        <v>38</v>
      </c>
      <c r="T565" s="18" t="s">
        <v>42</v>
      </c>
      <c r="U565" s="18">
        <v>2011</v>
      </c>
      <c r="V565" s="16">
        <f t="shared" si="16"/>
        <v>40587</v>
      </c>
      <c r="W565" s="18" t="str">
        <f t="shared" si="17"/>
        <v>Weekday</v>
      </c>
    </row>
    <row r="566" spans="1:23" x14ac:dyDescent="0.25">
      <c r="A566" s="19">
        <v>564</v>
      </c>
      <c r="B566" s="20">
        <v>40568</v>
      </c>
      <c r="C566" s="18">
        <v>1</v>
      </c>
      <c r="D566" s="18">
        <v>0</v>
      </c>
      <c r="E566" s="18">
        <v>1</v>
      </c>
      <c r="F566" s="18">
        <v>16</v>
      </c>
      <c r="G566" s="18" t="b">
        <v>0</v>
      </c>
      <c r="H566" s="18">
        <v>2</v>
      </c>
      <c r="I566" s="18">
        <v>2</v>
      </c>
      <c r="J566" s="18">
        <v>0.32</v>
      </c>
      <c r="K566">
        <v>0.34849999999999998</v>
      </c>
      <c r="L566">
        <v>0.42</v>
      </c>
      <c r="M566" s="18">
        <v>0</v>
      </c>
      <c r="N566" s="18">
        <v>14</v>
      </c>
      <c r="O566" s="18">
        <v>102</v>
      </c>
      <c r="P566">
        <v>116</v>
      </c>
      <c r="Q566" s="18" t="s">
        <v>34</v>
      </c>
      <c r="R566" s="18" t="s">
        <v>35</v>
      </c>
      <c r="S566" s="18" t="s">
        <v>38</v>
      </c>
      <c r="T566" s="18" t="s">
        <v>42</v>
      </c>
      <c r="U566" s="18">
        <v>2011</v>
      </c>
      <c r="V566" s="16">
        <f t="shared" si="16"/>
        <v>40587</v>
      </c>
      <c r="W566" s="18" t="str">
        <f t="shared" si="17"/>
        <v>Weekday</v>
      </c>
    </row>
    <row r="567" spans="1:23" x14ac:dyDescent="0.25">
      <c r="A567" s="19">
        <v>565</v>
      </c>
      <c r="B567" s="20">
        <v>40568</v>
      </c>
      <c r="C567" s="18">
        <v>1</v>
      </c>
      <c r="D567" s="18">
        <v>0</v>
      </c>
      <c r="E567" s="18">
        <v>1</v>
      </c>
      <c r="F567" s="18">
        <v>17</v>
      </c>
      <c r="G567" s="18" t="b">
        <v>0</v>
      </c>
      <c r="H567" s="18">
        <v>2</v>
      </c>
      <c r="I567" s="18">
        <v>1</v>
      </c>
      <c r="J567" s="18">
        <v>0.3</v>
      </c>
      <c r="K567">
        <v>0.33329999999999999</v>
      </c>
      <c r="L567">
        <v>0.45</v>
      </c>
      <c r="M567" s="18">
        <v>0</v>
      </c>
      <c r="N567" s="18">
        <v>14</v>
      </c>
      <c r="O567" s="18">
        <v>208</v>
      </c>
      <c r="P567">
        <v>222</v>
      </c>
      <c r="Q567" s="18" t="s">
        <v>34</v>
      </c>
      <c r="R567" s="18" t="s">
        <v>35</v>
      </c>
      <c r="S567" s="18" t="s">
        <v>36</v>
      </c>
      <c r="T567" s="18" t="s">
        <v>42</v>
      </c>
      <c r="U567" s="18">
        <v>2011</v>
      </c>
      <c r="V567" s="16">
        <f t="shared" si="16"/>
        <v>40587</v>
      </c>
      <c r="W567" s="18" t="str">
        <f t="shared" si="17"/>
        <v>Weekday</v>
      </c>
    </row>
    <row r="568" spans="1:23" x14ac:dyDescent="0.25">
      <c r="A568" s="19">
        <v>566</v>
      </c>
      <c r="B568" s="20">
        <v>40568</v>
      </c>
      <c r="C568" s="18">
        <v>1</v>
      </c>
      <c r="D568" s="18">
        <v>0</v>
      </c>
      <c r="E568" s="18">
        <v>1</v>
      </c>
      <c r="F568" s="18">
        <v>18</v>
      </c>
      <c r="G568" s="18" t="b">
        <v>0</v>
      </c>
      <c r="H568" s="18">
        <v>2</v>
      </c>
      <c r="I568" s="18">
        <v>2</v>
      </c>
      <c r="J568" s="18">
        <v>0.3</v>
      </c>
      <c r="K568">
        <v>0.31819999999999998</v>
      </c>
      <c r="L568">
        <v>0.49</v>
      </c>
      <c r="M568" s="18">
        <v>8.9599999999999999E-2</v>
      </c>
      <c r="N568" s="18">
        <v>7</v>
      </c>
      <c r="O568" s="18">
        <v>218</v>
      </c>
      <c r="P568">
        <v>225</v>
      </c>
      <c r="Q568" s="18" t="s">
        <v>34</v>
      </c>
      <c r="R568" s="18" t="s">
        <v>35</v>
      </c>
      <c r="S568" s="18" t="s">
        <v>38</v>
      </c>
      <c r="T568" s="18" t="s">
        <v>42</v>
      </c>
      <c r="U568" s="18">
        <v>2011</v>
      </c>
      <c r="V568" s="16">
        <f t="shared" si="16"/>
        <v>40587</v>
      </c>
      <c r="W568" s="18" t="str">
        <f t="shared" si="17"/>
        <v>Weekday</v>
      </c>
    </row>
    <row r="569" spans="1:23" x14ac:dyDescent="0.25">
      <c r="A569" s="19">
        <v>567</v>
      </c>
      <c r="B569" s="20">
        <v>40568</v>
      </c>
      <c r="C569" s="18">
        <v>1</v>
      </c>
      <c r="D569" s="18">
        <v>0</v>
      </c>
      <c r="E569" s="18">
        <v>1</v>
      </c>
      <c r="F569" s="18">
        <v>19</v>
      </c>
      <c r="G569" s="18" t="b">
        <v>0</v>
      </c>
      <c r="H569" s="18">
        <v>2</v>
      </c>
      <c r="I569" s="18">
        <v>2</v>
      </c>
      <c r="J569" s="18">
        <v>0.26</v>
      </c>
      <c r="K569">
        <v>0.2576</v>
      </c>
      <c r="L569">
        <v>0.65</v>
      </c>
      <c r="M569" s="18">
        <v>0.16420000000000001</v>
      </c>
      <c r="N569" s="18">
        <v>13</v>
      </c>
      <c r="O569" s="18">
        <v>133</v>
      </c>
      <c r="P569">
        <v>146</v>
      </c>
      <c r="Q569" s="18" t="s">
        <v>34</v>
      </c>
      <c r="R569" s="18" t="s">
        <v>35</v>
      </c>
      <c r="S569" s="18" t="s">
        <v>38</v>
      </c>
      <c r="T569" s="18" t="s">
        <v>42</v>
      </c>
      <c r="U569" s="18">
        <v>2011</v>
      </c>
      <c r="V569" s="16">
        <f t="shared" si="16"/>
        <v>40587</v>
      </c>
      <c r="W569" s="18" t="str">
        <f t="shared" si="17"/>
        <v>Weekday</v>
      </c>
    </row>
    <row r="570" spans="1:23" x14ac:dyDescent="0.25">
      <c r="A570" s="19">
        <v>568</v>
      </c>
      <c r="B570" s="20">
        <v>40568</v>
      </c>
      <c r="C570" s="18">
        <v>1</v>
      </c>
      <c r="D570" s="18">
        <v>0</v>
      </c>
      <c r="E570" s="18">
        <v>1</v>
      </c>
      <c r="F570" s="18">
        <v>20</v>
      </c>
      <c r="G570" s="18" t="b">
        <v>0</v>
      </c>
      <c r="H570" s="18">
        <v>2</v>
      </c>
      <c r="I570" s="18">
        <v>1</v>
      </c>
      <c r="J570" s="18">
        <v>0.24</v>
      </c>
      <c r="K570">
        <v>0.2273</v>
      </c>
      <c r="L570">
        <v>0.65</v>
      </c>
      <c r="M570" s="18">
        <v>0.19400000000000001</v>
      </c>
      <c r="N570" s="18">
        <v>16</v>
      </c>
      <c r="O570" s="18">
        <v>103</v>
      </c>
      <c r="P570">
        <v>119</v>
      </c>
      <c r="Q570" s="18" t="s">
        <v>34</v>
      </c>
      <c r="R570" s="18" t="s">
        <v>35</v>
      </c>
      <c r="S570" s="18" t="s">
        <v>36</v>
      </c>
      <c r="T570" s="18" t="s">
        <v>42</v>
      </c>
      <c r="U570" s="18">
        <v>2011</v>
      </c>
      <c r="V570" s="16">
        <f t="shared" si="16"/>
        <v>40587</v>
      </c>
      <c r="W570" s="18" t="str">
        <f t="shared" si="17"/>
        <v>Weekday</v>
      </c>
    </row>
    <row r="571" spans="1:23" x14ac:dyDescent="0.25">
      <c r="A571" s="19">
        <v>569</v>
      </c>
      <c r="B571" s="20">
        <v>40568</v>
      </c>
      <c r="C571" s="18">
        <v>1</v>
      </c>
      <c r="D571" s="18">
        <v>0</v>
      </c>
      <c r="E571" s="18">
        <v>1</v>
      </c>
      <c r="F571" s="18">
        <v>21</v>
      </c>
      <c r="G571" s="18" t="b">
        <v>0</v>
      </c>
      <c r="H571" s="18">
        <v>2</v>
      </c>
      <c r="I571" s="18">
        <v>1</v>
      </c>
      <c r="J571" s="18">
        <v>0.24</v>
      </c>
      <c r="K571">
        <v>0.2273</v>
      </c>
      <c r="L571">
        <v>0.65</v>
      </c>
      <c r="M571" s="18">
        <v>0.19400000000000001</v>
      </c>
      <c r="N571" s="18">
        <v>5</v>
      </c>
      <c r="O571" s="18">
        <v>40</v>
      </c>
      <c r="P571">
        <v>45</v>
      </c>
      <c r="Q571" s="18" t="s">
        <v>34</v>
      </c>
      <c r="R571" s="18" t="s">
        <v>35</v>
      </c>
      <c r="S571" s="18" t="s">
        <v>36</v>
      </c>
      <c r="T571" s="18" t="s">
        <v>42</v>
      </c>
      <c r="U571" s="18">
        <v>2011</v>
      </c>
      <c r="V571" s="16">
        <f t="shared" si="16"/>
        <v>40587</v>
      </c>
      <c r="W571" s="18" t="str">
        <f t="shared" si="17"/>
        <v>Weekday</v>
      </c>
    </row>
    <row r="572" spans="1:23" x14ac:dyDescent="0.25">
      <c r="A572" s="19">
        <v>570</v>
      </c>
      <c r="B572" s="20">
        <v>40568</v>
      </c>
      <c r="C572" s="18">
        <v>1</v>
      </c>
      <c r="D572" s="18">
        <v>0</v>
      </c>
      <c r="E572" s="18">
        <v>1</v>
      </c>
      <c r="F572" s="18">
        <v>22</v>
      </c>
      <c r="G572" s="18" t="b">
        <v>0</v>
      </c>
      <c r="H572" s="18">
        <v>2</v>
      </c>
      <c r="I572" s="18">
        <v>1</v>
      </c>
      <c r="J572" s="18">
        <v>0.22</v>
      </c>
      <c r="K572">
        <v>0.2273</v>
      </c>
      <c r="L572">
        <v>0.64</v>
      </c>
      <c r="M572" s="18">
        <v>0.16420000000000001</v>
      </c>
      <c r="N572" s="18">
        <v>4</v>
      </c>
      <c r="O572" s="18">
        <v>49</v>
      </c>
      <c r="P572">
        <v>53</v>
      </c>
      <c r="Q572" s="18" t="s">
        <v>34</v>
      </c>
      <c r="R572" s="18" t="s">
        <v>35</v>
      </c>
      <c r="S572" s="18" t="s">
        <v>36</v>
      </c>
      <c r="T572" s="18" t="s">
        <v>42</v>
      </c>
      <c r="U572" s="18">
        <v>2011</v>
      </c>
      <c r="V572" s="16">
        <f t="shared" si="16"/>
        <v>40587</v>
      </c>
      <c r="W572" s="18" t="str">
        <f t="shared" si="17"/>
        <v>Weekday</v>
      </c>
    </row>
    <row r="573" spans="1:23" x14ac:dyDescent="0.25">
      <c r="A573" s="19">
        <v>571</v>
      </c>
      <c r="B573" s="20">
        <v>40568</v>
      </c>
      <c r="C573" s="18">
        <v>1</v>
      </c>
      <c r="D573" s="18">
        <v>0</v>
      </c>
      <c r="E573" s="18">
        <v>1</v>
      </c>
      <c r="F573" s="18">
        <v>23</v>
      </c>
      <c r="G573" s="18" t="b">
        <v>0</v>
      </c>
      <c r="H573" s="18">
        <v>2</v>
      </c>
      <c r="I573" s="18">
        <v>2</v>
      </c>
      <c r="J573" s="18">
        <v>0.22</v>
      </c>
      <c r="K573">
        <v>0.2273</v>
      </c>
      <c r="L573">
        <v>0.64</v>
      </c>
      <c r="M573" s="18">
        <v>0.16420000000000001</v>
      </c>
      <c r="N573" s="18">
        <v>3</v>
      </c>
      <c r="O573" s="18">
        <v>37</v>
      </c>
      <c r="P573">
        <v>40</v>
      </c>
      <c r="Q573" s="18" t="s">
        <v>34</v>
      </c>
      <c r="R573" s="18" t="s">
        <v>35</v>
      </c>
      <c r="S573" s="18" t="s">
        <v>38</v>
      </c>
      <c r="T573" s="18" t="s">
        <v>42</v>
      </c>
      <c r="U573" s="18">
        <v>2011</v>
      </c>
      <c r="V573" s="16">
        <f t="shared" si="16"/>
        <v>40587</v>
      </c>
      <c r="W573" s="18" t="str">
        <f t="shared" si="17"/>
        <v>Weekday</v>
      </c>
    </row>
    <row r="574" spans="1:23" x14ac:dyDescent="0.25">
      <c r="A574" s="19">
        <v>572</v>
      </c>
      <c r="B574" s="20">
        <v>40569</v>
      </c>
      <c r="C574" s="18">
        <v>1</v>
      </c>
      <c r="D574" s="18">
        <v>0</v>
      </c>
      <c r="E574" s="18">
        <v>1</v>
      </c>
      <c r="F574" s="18">
        <v>0</v>
      </c>
      <c r="G574" s="18" t="b">
        <v>0</v>
      </c>
      <c r="H574" s="18">
        <v>3</v>
      </c>
      <c r="I574" s="18">
        <v>2</v>
      </c>
      <c r="J574" s="18">
        <v>0.22</v>
      </c>
      <c r="K574">
        <v>0.2273</v>
      </c>
      <c r="L574">
        <v>0.69</v>
      </c>
      <c r="M574" s="18">
        <v>0.1343</v>
      </c>
      <c r="N574" s="18">
        <v>3</v>
      </c>
      <c r="O574" s="18">
        <v>14</v>
      </c>
      <c r="P574">
        <v>17</v>
      </c>
      <c r="Q574" s="18" t="s">
        <v>34</v>
      </c>
      <c r="R574" s="18" t="s">
        <v>35</v>
      </c>
      <c r="S574" s="18" t="s">
        <v>38</v>
      </c>
      <c r="T574" s="18" t="s">
        <v>43</v>
      </c>
      <c r="U574" s="18">
        <v>2011</v>
      </c>
      <c r="V574" s="16">
        <f t="shared" si="16"/>
        <v>40587</v>
      </c>
      <c r="W574" s="18" t="str">
        <f t="shared" si="17"/>
        <v>Weekday</v>
      </c>
    </row>
    <row r="575" spans="1:23" x14ac:dyDescent="0.25">
      <c r="A575" s="19">
        <v>573</v>
      </c>
      <c r="B575" s="20">
        <v>40569</v>
      </c>
      <c r="C575" s="18">
        <v>1</v>
      </c>
      <c r="D575" s="18">
        <v>0</v>
      </c>
      <c r="E575" s="18">
        <v>1</v>
      </c>
      <c r="F575" s="18">
        <v>1</v>
      </c>
      <c r="G575" s="18" t="b">
        <v>0</v>
      </c>
      <c r="H575" s="18">
        <v>3</v>
      </c>
      <c r="I575" s="18">
        <v>2</v>
      </c>
      <c r="J575" s="18">
        <v>0.24</v>
      </c>
      <c r="K575">
        <v>0.2424</v>
      </c>
      <c r="L575">
        <v>0.65</v>
      </c>
      <c r="M575" s="18">
        <v>0.1343</v>
      </c>
      <c r="N575" s="18">
        <v>0</v>
      </c>
      <c r="O575" s="18">
        <v>5</v>
      </c>
      <c r="P575">
        <v>5</v>
      </c>
      <c r="Q575" s="18" t="s">
        <v>34</v>
      </c>
      <c r="R575" s="18" t="s">
        <v>35</v>
      </c>
      <c r="S575" s="18" t="s">
        <v>38</v>
      </c>
      <c r="T575" s="18" t="s">
        <v>43</v>
      </c>
      <c r="U575" s="18">
        <v>2011</v>
      </c>
      <c r="V575" s="16">
        <f t="shared" si="16"/>
        <v>40587</v>
      </c>
      <c r="W575" s="18" t="str">
        <f t="shared" si="17"/>
        <v>Weekday</v>
      </c>
    </row>
    <row r="576" spans="1:23" x14ac:dyDescent="0.25">
      <c r="A576" s="19">
        <v>574</v>
      </c>
      <c r="B576" s="20">
        <v>40569</v>
      </c>
      <c r="C576" s="18">
        <v>1</v>
      </c>
      <c r="D576" s="18">
        <v>0</v>
      </c>
      <c r="E576" s="18">
        <v>1</v>
      </c>
      <c r="F576" s="18">
        <v>2</v>
      </c>
      <c r="G576" s="18" t="b">
        <v>0</v>
      </c>
      <c r="H576" s="18">
        <v>3</v>
      </c>
      <c r="I576" s="18">
        <v>3</v>
      </c>
      <c r="J576" s="18">
        <v>0.22</v>
      </c>
      <c r="K576">
        <v>0.2273</v>
      </c>
      <c r="L576">
        <v>0.69</v>
      </c>
      <c r="M576" s="18">
        <v>0.19400000000000001</v>
      </c>
      <c r="N576" s="18">
        <v>3</v>
      </c>
      <c r="O576" s="18">
        <v>7</v>
      </c>
      <c r="P576">
        <v>10</v>
      </c>
      <c r="Q576" s="18" t="s">
        <v>34</v>
      </c>
      <c r="R576" s="18" t="s">
        <v>35</v>
      </c>
      <c r="S576" s="18" t="s">
        <v>39</v>
      </c>
      <c r="T576" s="18" t="s">
        <v>43</v>
      </c>
      <c r="U576" s="18">
        <v>2011</v>
      </c>
      <c r="V576" s="16">
        <f t="shared" si="16"/>
        <v>40587</v>
      </c>
      <c r="W576" s="18" t="str">
        <f t="shared" si="17"/>
        <v>Weekday</v>
      </c>
    </row>
    <row r="577" spans="1:23" x14ac:dyDescent="0.25">
      <c r="A577" s="19">
        <v>575</v>
      </c>
      <c r="B577" s="20">
        <v>40569</v>
      </c>
      <c r="C577" s="18">
        <v>1</v>
      </c>
      <c r="D577" s="18">
        <v>0</v>
      </c>
      <c r="E577" s="18">
        <v>1</v>
      </c>
      <c r="F577" s="18">
        <v>5</v>
      </c>
      <c r="G577" s="18" t="b">
        <v>0</v>
      </c>
      <c r="H577" s="18">
        <v>3</v>
      </c>
      <c r="I577" s="18">
        <v>3</v>
      </c>
      <c r="J577" s="18">
        <v>0.2</v>
      </c>
      <c r="K577">
        <v>0.18179999999999999</v>
      </c>
      <c r="L577">
        <v>0.86</v>
      </c>
      <c r="M577" s="18">
        <v>0.28360000000000002</v>
      </c>
      <c r="N577" s="18">
        <v>0</v>
      </c>
      <c r="O577" s="18">
        <v>1</v>
      </c>
      <c r="P577">
        <v>1</v>
      </c>
      <c r="Q577" s="18" t="s">
        <v>34</v>
      </c>
      <c r="R577" s="18" t="s">
        <v>35</v>
      </c>
      <c r="S577" s="18" t="s">
        <v>39</v>
      </c>
      <c r="T577" s="18" t="s">
        <v>43</v>
      </c>
      <c r="U577" s="18">
        <v>2011</v>
      </c>
      <c r="V577" s="16">
        <f t="shared" si="16"/>
        <v>40587</v>
      </c>
      <c r="W577" s="18" t="str">
        <f t="shared" si="17"/>
        <v>Weekday</v>
      </c>
    </row>
    <row r="578" spans="1:23" x14ac:dyDescent="0.25">
      <c r="A578" s="19">
        <v>576</v>
      </c>
      <c r="B578" s="20">
        <v>40569</v>
      </c>
      <c r="C578" s="18">
        <v>1</v>
      </c>
      <c r="D578" s="18">
        <v>0</v>
      </c>
      <c r="E578" s="18">
        <v>1</v>
      </c>
      <c r="F578" s="18">
        <v>6</v>
      </c>
      <c r="G578" s="18" t="b">
        <v>0</v>
      </c>
      <c r="H578" s="18">
        <v>3</v>
      </c>
      <c r="I578" s="18">
        <v>3</v>
      </c>
      <c r="J578" s="18">
        <v>0.2</v>
      </c>
      <c r="K578">
        <v>0.18179999999999999</v>
      </c>
      <c r="L578">
        <v>0.86</v>
      </c>
      <c r="M578" s="18">
        <v>0.28360000000000002</v>
      </c>
      <c r="N578" s="18">
        <v>0</v>
      </c>
      <c r="O578" s="18">
        <v>8</v>
      </c>
      <c r="P578">
        <v>8</v>
      </c>
      <c r="Q578" s="18" t="s">
        <v>34</v>
      </c>
      <c r="R578" s="18" t="s">
        <v>35</v>
      </c>
      <c r="S578" s="18" t="s">
        <v>39</v>
      </c>
      <c r="T578" s="18" t="s">
        <v>43</v>
      </c>
      <c r="U578" s="18">
        <v>2011</v>
      </c>
      <c r="V578" s="16">
        <f t="shared" si="16"/>
        <v>40587</v>
      </c>
      <c r="W578" s="18" t="str">
        <f t="shared" si="17"/>
        <v>Weekday</v>
      </c>
    </row>
    <row r="579" spans="1:23" x14ac:dyDescent="0.25">
      <c r="A579" s="19">
        <v>577</v>
      </c>
      <c r="B579" s="20">
        <v>40569</v>
      </c>
      <c r="C579" s="18">
        <v>1</v>
      </c>
      <c r="D579" s="18">
        <v>0</v>
      </c>
      <c r="E579" s="18">
        <v>1</v>
      </c>
      <c r="F579" s="18">
        <v>7</v>
      </c>
      <c r="G579" s="18" t="b">
        <v>0</v>
      </c>
      <c r="H579" s="18">
        <v>3</v>
      </c>
      <c r="I579" s="18">
        <v>3</v>
      </c>
      <c r="J579" s="18">
        <v>0.22</v>
      </c>
      <c r="K579">
        <v>0.21210000000000001</v>
      </c>
      <c r="L579">
        <v>0.87</v>
      </c>
      <c r="M579" s="18">
        <v>0.29849999999999999</v>
      </c>
      <c r="N579" s="18">
        <v>1</v>
      </c>
      <c r="O579" s="18">
        <v>29</v>
      </c>
      <c r="P579">
        <v>30</v>
      </c>
      <c r="Q579" s="18" t="s">
        <v>34</v>
      </c>
      <c r="R579" s="18" t="s">
        <v>35</v>
      </c>
      <c r="S579" s="18" t="s">
        <v>39</v>
      </c>
      <c r="T579" s="18" t="s">
        <v>43</v>
      </c>
      <c r="U579" s="18">
        <v>2011</v>
      </c>
      <c r="V579" s="16">
        <f t="shared" ref="V579:V642" si="18">INDEX(B579:B1577,MATCH(MAX(K579:K1577),K579:K1577,0))</f>
        <v>40587</v>
      </c>
      <c r="W579" s="18" t="str">
        <f t="shared" ref="W579:W642" si="19">IF(G579=TRUE,"Holiday",IF(OR(H579=0,H579=6),"Weedend","Weekday"))</f>
        <v>Weekday</v>
      </c>
    </row>
    <row r="580" spans="1:23" x14ac:dyDescent="0.25">
      <c r="A580" s="19">
        <v>578</v>
      </c>
      <c r="B580" s="20">
        <v>40569</v>
      </c>
      <c r="C580" s="18">
        <v>1</v>
      </c>
      <c r="D580" s="18">
        <v>0</v>
      </c>
      <c r="E580" s="18">
        <v>1</v>
      </c>
      <c r="F580" s="18">
        <v>8</v>
      </c>
      <c r="G580" s="18" t="b">
        <v>0</v>
      </c>
      <c r="H580" s="18">
        <v>3</v>
      </c>
      <c r="I580" s="18">
        <v>3</v>
      </c>
      <c r="J580" s="18">
        <v>0.22</v>
      </c>
      <c r="K580">
        <v>0.21210000000000001</v>
      </c>
      <c r="L580">
        <v>0.87</v>
      </c>
      <c r="M580" s="18">
        <v>0.29849999999999999</v>
      </c>
      <c r="N580" s="18">
        <v>3</v>
      </c>
      <c r="O580" s="18">
        <v>69</v>
      </c>
      <c r="P580">
        <v>72</v>
      </c>
      <c r="Q580" s="18" t="s">
        <v>34</v>
      </c>
      <c r="R580" s="18" t="s">
        <v>35</v>
      </c>
      <c r="S580" s="18" t="s">
        <v>39</v>
      </c>
      <c r="T580" s="18" t="s">
        <v>43</v>
      </c>
      <c r="U580" s="18">
        <v>2011</v>
      </c>
      <c r="V580" s="16">
        <f t="shared" si="18"/>
        <v>40587</v>
      </c>
      <c r="W580" s="18" t="str">
        <f t="shared" si="19"/>
        <v>Weekday</v>
      </c>
    </row>
    <row r="581" spans="1:23" x14ac:dyDescent="0.25">
      <c r="A581" s="19">
        <v>579</v>
      </c>
      <c r="B581" s="20">
        <v>40569</v>
      </c>
      <c r="C581" s="18">
        <v>1</v>
      </c>
      <c r="D581" s="18">
        <v>0</v>
      </c>
      <c r="E581" s="18">
        <v>1</v>
      </c>
      <c r="F581" s="18">
        <v>9</v>
      </c>
      <c r="G581" s="18" t="b">
        <v>0</v>
      </c>
      <c r="H581" s="18">
        <v>3</v>
      </c>
      <c r="I581" s="18">
        <v>3</v>
      </c>
      <c r="J581" s="18">
        <v>0.22</v>
      </c>
      <c r="K581">
        <v>0.21210000000000001</v>
      </c>
      <c r="L581">
        <v>0.87</v>
      </c>
      <c r="M581" s="18">
        <v>0.29849999999999999</v>
      </c>
      <c r="N581" s="18">
        <v>3</v>
      </c>
      <c r="O581" s="18">
        <v>55</v>
      </c>
      <c r="P581">
        <v>58</v>
      </c>
      <c r="Q581" s="18" t="s">
        <v>34</v>
      </c>
      <c r="R581" s="18" t="s">
        <v>35</v>
      </c>
      <c r="S581" s="18" t="s">
        <v>39</v>
      </c>
      <c r="T581" s="18" t="s">
        <v>43</v>
      </c>
      <c r="U581" s="18">
        <v>2011</v>
      </c>
      <c r="V581" s="16">
        <f t="shared" si="18"/>
        <v>40587</v>
      </c>
      <c r="W581" s="18" t="str">
        <f t="shared" si="19"/>
        <v>Weekday</v>
      </c>
    </row>
    <row r="582" spans="1:23" x14ac:dyDescent="0.25">
      <c r="A582" s="19">
        <v>580</v>
      </c>
      <c r="B582" s="20">
        <v>40569</v>
      </c>
      <c r="C582" s="18">
        <v>1</v>
      </c>
      <c r="D582" s="18">
        <v>0</v>
      </c>
      <c r="E582" s="18">
        <v>1</v>
      </c>
      <c r="F582" s="18">
        <v>10</v>
      </c>
      <c r="G582" s="18" t="b">
        <v>0</v>
      </c>
      <c r="H582" s="18">
        <v>3</v>
      </c>
      <c r="I582" s="18">
        <v>3</v>
      </c>
      <c r="J582" s="18">
        <v>0.22</v>
      </c>
      <c r="K582">
        <v>0.21210000000000001</v>
      </c>
      <c r="L582">
        <v>0.93</v>
      </c>
      <c r="M582" s="18">
        <v>0.28360000000000002</v>
      </c>
      <c r="N582" s="18">
        <v>2</v>
      </c>
      <c r="O582" s="18">
        <v>26</v>
      </c>
      <c r="P582">
        <v>28</v>
      </c>
      <c r="Q582" s="18" t="s">
        <v>34</v>
      </c>
      <c r="R582" s="18" t="s">
        <v>35</v>
      </c>
      <c r="S582" s="18" t="s">
        <v>39</v>
      </c>
      <c r="T582" s="18" t="s">
        <v>43</v>
      </c>
      <c r="U582" s="18">
        <v>2011</v>
      </c>
      <c r="V582" s="16">
        <f t="shared" si="18"/>
        <v>40587</v>
      </c>
      <c r="W582" s="18" t="str">
        <f t="shared" si="19"/>
        <v>Weekday</v>
      </c>
    </row>
    <row r="583" spans="1:23" x14ac:dyDescent="0.25">
      <c r="A583" s="19">
        <v>581</v>
      </c>
      <c r="B583" s="20">
        <v>40569</v>
      </c>
      <c r="C583" s="18">
        <v>1</v>
      </c>
      <c r="D583" s="18">
        <v>0</v>
      </c>
      <c r="E583" s="18">
        <v>1</v>
      </c>
      <c r="F583" s="18">
        <v>11</v>
      </c>
      <c r="G583" s="18" t="b">
        <v>0</v>
      </c>
      <c r="H583" s="18">
        <v>3</v>
      </c>
      <c r="I583" s="18">
        <v>3</v>
      </c>
      <c r="J583" s="18">
        <v>0.22</v>
      </c>
      <c r="K583">
        <v>0.19700000000000001</v>
      </c>
      <c r="L583">
        <v>0.93</v>
      </c>
      <c r="M583" s="18">
        <v>0.32840000000000003</v>
      </c>
      <c r="N583" s="18">
        <v>6</v>
      </c>
      <c r="O583" s="18">
        <v>35</v>
      </c>
      <c r="P583">
        <v>41</v>
      </c>
      <c r="Q583" s="18" t="s">
        <v>34</v>
      </c>
      <c r="R583" s="18" t="s">
        <v>35</v>
      </c>
      <c r="S583" s="18" t="s">
        <v>39</v>
      </c>
      <c r="T583" s="18" t="s">
        <v>43</v>
      </c>
      <c r="U583" s="18">
        <v>2011</v>
      </c>
      <c r="V583" s="16">
        <f t="shared" si="18"/>
        <v>40587</v>
      </c>
      <c r="W583" s="18" t="str">
        <f t="shared" si="19"/>
        <v>Weekday</v>
      </c>
    </row>
    <row r="584" spans="1:23" x14ac:dyDescent="0.25">
      <c r="A584" s="19">
        <v>582</v>
      </c>
      <c r="B584" s="20">
        <v>40569</v>
      </c>
      <c r="C584" s="18">
        <v>1</v>
      </c>
      <c r="D584" s="18">
        <v>0</v>
      </c>
      <c r="E584" s="18">
        <v>1</v>
      </c>
      <c r="F584" s="18">
        <v>12</v>
      </c>
      <c r="G584" s="18" t="b">
        <v>0</v>
      </c>
      <c r="H584" s="18">
        <v>3</v>
      </c>
      <c r="I584" s="18">
        <v>3</v>
      </c>
      <c r="J584" s="18">
        <v>0.22</v>
      </c>
      <c r="K584">
        <v>0.19700000000000001</v>
      </c>
      <c r="L584">
        <v>0.93</v>
      </c>
      <c r="M584" s="18">
        <v>0.32840000000000003</v>
      </c>
      <c r="N584" s="18">
        <v>7</v>
      </c>
      <c r="O584" s="18">
        <v>41</v>
      </c>
      <c r="P584">
        <v>48</v>
      </c>
      <c r="Q584" s="18" t="s">
        <v>34</v>
      </c>
      <c r="R584" s="18" t="s">
        <v>35</v>
      </c>
      <c r="S584" s="18" t="s">
        <v>39</v>
      </c>
      <c r="T584" s="18" t="s">
        <v>43</v>
      </c>
      <c r="U584" s="18">
        <v>2011</v>
      </c>
      <c r="V584" s="16">
        <f t="shared" si="18"/>
        <v>40587</v>
      </c>
      <c r="W584" s="18" t="str">
        <f t="shared" si="19"/>
        <v>Weekday</v>
      </c>
    </row>
    <row r="585" spans="1:23" x14ac:dyDescent="0.25">
      <c r="A585" s="19">
        <v>583</v>
      </c>
      <c r="B585" s="20">
        <v>40569</v>
      </c>
      <c r="C585" s="18">
        <v>1</v>
      </c>
      <c r="D585" s="18">
        <v>0</v>
      </c>
      <c r="E585" s="18">
        <v>1</v>
      </c>
      <c r="F585" s="18">
        <v>13</v>
      </c>
      <c r="G585" s="18" t="b">
        <v>0</v>
      </c>
      <c r="H585" s="18">
        <v>3</v>
      </c>
      <c r="I585" s="18">
        <v>3</v>
      </c>
      <c r="J585" s="18">
        <v>0.22</v>
      </c>
      <c r="K585">
        <v>0.19700000000000001</v>
      </c>
      <c r="L585">
        <v>0.93</v>
      </c>
      <c r="M585" s="18">
        <v>0.32840000000000003</v>
      </c>
      <c r="N585" s="18">
        <v>4</v>
      </c>
      <c r="O585" s="18">
        <v>43</v>
      </c>
      <c r="P585">
        <v>47</v>
      </c>
      <c r="Q585" s="18" t="s">
        <v>34</v>
      </c>
      <c r="R585" s="18" t="s">
        <v>35</v>
      </c>
      <c r="S585" s="18" t="s">
        <v>39</v>
      </c>
      <c r="T585" s="18" t="s">
        <v>43</v>
      </c>
      <c r="U585" s="18">
        <v>2011</v>
      </c>
      <c r="V585" s="16">
        <f t="shared" si="18"/>
        <v>40587</v>
      </c>
      <c r="W585" s="18" t="str">
        <f t="shared" si="19"/>
        <v>Weekday</v>
      </c>
    </row>
    <row r="586" spans="1:23" x14ac:dyDescent="0.25">
      <c r="A586" s="19">
        <v>584</v>
      </c>
      <c r="B586" s="20">
        <v>40569</v>
      </c>
      <c r="C586" s="18">
        <v>1</v>
      </c>
      <c r="D586" s="18">
        <v>0</v>
      </c>
      <c r="E586" s="18">
        <v>1</v>
      </c>
      <c r="F586" s="18">
        <v>14</v>
      </c>
      <c r="G586" s="18" t="b">
        <v>0</v>
      </c>
      <c r="H586" s="18">
        <v>3</v>
      </c>
      <c r="I586" s="18">
        <v>3</v>
      </c>
      <c r="J586" s="18">
        <v>0.22</v>
      </c>
      <c r="K586">
        <v>0.19700000000000001</v>
      </c>
      <c r="L586">
        <v>0.93</v>
      </c>
      <c r="M586" s="18">
        <v>0.35820000000000002</v>
      </c>
      <c r="N586" s="18">
        <v>0</v>
      </c>
      <c r="O586" s="18">
        <v>36</v>
      </c>
      <c r="P586">
        <v>36</v>
      </c>
      <c r="Q586" s="18" t="s">
        <v>34</v>
      </c>
      <c r="R586" s="18" t="s">
        <v>35</v>
      </c>
      <c r="S586" s="18" t="s">
        <v>39</v>
      </c>
      <c r="T586" s="18" t="s">
        <v>43</v>
      </c>
      <c r="U586" s="18">
        <v>2011</v>
      </c>
      <c r="V586" s="16">
        <f t="shared" si="18"/>
        <v>40587</v>
      </c>
      <c r="W586" s="18" t="str">
        <f t="shared" si="19"/>
        <v>Weekday</v>
      </c>
    </row>
    <row r="587" spans="1:23" x14ac:dyDescent="0.25">
      <c r="A587" s="19">
        <v>585</v>
      </c>
      <c r="B587" s="20">
        <v>40569</v>
      </c>
      <c r="C587" s="18">
        <v>1</v>
      </c>
      <c r="D587" s="18">
        <v>0</v>
      </c>
      <c r="E587" s="18">
        <v>1</v>
      </c>
      <c r="F587" s="18">
        <v>15</v>
      </c>
      <c r="G587" s="18" t="b">
        <v>0</v>
      </c>
      <c r="H587" s="18">
        <v>3</v>
      </c>
      <c r="I587" s="18">
        <v>3</v>
      </c>
      <c r="J587" s="18">
        <v>0.22</v>
      </c>
      <c r="K587">
        <v>0.18179999999999999</v>
      </c>
      <c r="L587">
        <v>0.93</v>
      </c>
      <c r="M587" s="18">
        <v>0.4627</v>
      </c>
      <c r="N587" s="18">
        <v>1</v>
      </c>
      <c r="O587" s="18">
        <v>42</v>
      </c>
      <c r="P587">
        <v>43</v>
      </c>
      <c r="Q587" s="18" t="s">
        <v>34</v>
      </c>
      <c r="R587" s="18" t="s">
        <v>35</v>
      </c>
      <c r="S587" s="18" t="s">
        <v>39</v>
      </c>
      <c r="T587" s="18" t="s">
        <v>43</v>
      </c>
      <c r="U587" s="18">
        <v>2011</v>
      </c>
      <c r="V587" s="16">
        <f t="shared" si="18"/>
        <v>40587</v>
      </c>
      <c r="W587" s="18" t="str">
        <f t="shared" si="19"/>
        <v>Weekday</v>
      </c>
    </row>
    <row r="588" spans="1:23" x14ac:dyDescent="0.25">
      <c r="A588" s="19">
        <v>586</v>
      </c>
      <c r="B588" s="20">
        <v>40569</v>
      </c>
      <c r="C588" s="18">
        <v>1</v>
      </c>
      <c r="D588" s="18">
        <v>0</v>
      </c>
      <c r="E588" s="18">
        <v>1</v>
      </c>
      <c r="F588" s="18">
        <v>16</v>
      </c>
      <c r="G588" s="18" t="b">
        <v>0</v>
      </c>
      <c r="H588" s="18">
        <v>3</v>
      </c>
      <c r="I588" s="18">
        <v>4</v>
      </c>
      <c r="J588" s="18">
        <v>0.22</v>
      </c>
      <c r="K588">
        <v>0.19700000000000001</v>
      </c>
      <c r="L588">
        <v>0.93</v>
      </c>
      <c r="M588" s="18">
        <v>0.32840000000000003</v>
      </c>
      <c r="N588" s="18">
        <v>1</v>
      </c>
      <c r="O588" s="18">
        <v>35</v>
      </c>
      <c r="P588">
        <v>36</v>
      </c>
      <c r="Q588" s="18" t="s">
        <v>34</v>
      </c>
      <c r="R588" s="18" t="s">
        <v>35</v>
      </c>
      <c r="S588" s="18" t="s">
        <v>46</v>
      </c>
      <c r="T588" s="18" t="s">
        <v>43</v>
      </c>
      <c r="U588" s="18">
        <v>2011</v>
      </c>
      <c r="V588" s="16">
        <f t="shared" si="18"/>
        <v>40587</v>
      </c>
      <c r="W588" s="18" t="str">
        <f t="shared" si="19"/>
        <v>Weekday</v>
      </c>
    </row>
    <row r="589" spans="1:23" x14ac:dyDescent="0.25">
      <c r="A589" s="19">
        <v>587</v>
      </c>
      <c r="B589" s="20">
        <v>40569</v>
      </c>
      <c r="C589" s="18">
        <v>1</v>
      </c>
      <c r="D589" s="18">
        <v>0</v>
      </c>
      <c r="E589" s="18">
        <v>1</v>
      </c>
      <c r="F589" s="18">
        <v>17</v>
      </c>
      <c r="G589" s="18" t="b">
        <v>0</v>
      </c>
      <c r="H589" s="18">
        <v>3</v>
      </c>
      <c r="I589" s="18">
        <v>3</v>
      </c>
      <c r="J589" s="18">
        <v>0.2</v>
      </c>
      <c r="K589">
        <v>0.18179999999999999</v>
      </c>
      <c r="L589">
        <v>0.93</v>
      </c>
      <c r="M589" s="18">
        <v>0.35820000000000002</v>
      </c>
      <c r="N589" s="18">
        <v>0</v>
      </c>
      <c r="O589" s="18">
        <v>26</v>
      </c>
      <c r="P589">
        <v>26</v>
      </c>
      <c r="Q589" s="18" t="s">
        <v>34</v>
      </c>
      <c r="R589" s="18" t="s">
        <v>35</v>
      </c>
      <c r="S589" s="18" t="s">
        <v>39</v>
      </c>
      <c r="T589" s="18" t="s">
        <v>43</v>
      </c>
      <c r="U589" s="18">
        <v>2011</v>
      </c>
      <c r="V589" s="16">
        <f t="shared" si="18"/>
        <v>40587</v>
      </c>
      <c r="W589" s="18" t="str">
        <f t="shared" si="19"/>
        <v>Weekday</v>
      </c>
    </row>
    <row r="590" spans="1:23" x14ac:dyDescent="0.25">
      <c r="A590" s="19">
        <v>588</v>
      </c>
      <c r="B590" s="20">
        <v>40570</v>
      </c>
      <c r="C590" s="18">
        <v>1</v>
      </c>
      <c r="D590" s="18">
        <v>0</v>
      </c>
      <c r="E590" s="18">
        <v>1</v>
      </c>
      <c r="F590" s="18">
        <v>16</v>
      </c>
      <c r="G590" s="18" t="b">
        <v>0</v>
      </c>
      <c r="H590" s="18">
        <v>4</v>
      </c>
      <c r="I590" s="18">
        <v>1</v>
      </c>
      <c r="J590" s="18">
        <v>0.22</v>
      </c>
      <c r="K590">
        <v>0.2273</v>
      </c>
      <c r="L590">
        <v>0.55000000000000004</v>
      </c>
      <c r="M590" s="18">
        <v>0.19400000000000001</v>
      </c>
      <c r="N590" s="18">
        <v>1</v>
      </c>
      <c r="O590" s="18">
        <v>23</v>
      </c>
      <c r="P590">
        <v>24</v>
      </c>
      <c r="Q590" s="18" t="s">
        <v>34</v>
      </c>
      <c r="R590" s="18" t="s">
        <v>35</v>
      </c>
      <c r="S590" s="18" t="s">
        <v>36</v>
      </c>
      <c r="T590" s="18" t="s">
        <v>44</v>
      </c>
      <c r="U590" s="18">
        <v>2011</v>
      </c>
      <c r="V590" s="16">
        <f t="shared" si="18"/>
        <v>40587</v>
      </c>
      <c r="W590" s="18" t="str">
        <f t="shared" si="19"/>
        <v>Weekday</v>
      </c>
    </row>
    <row r="591" spans="1:23" x14ac:dyDescent="0.25">
      <c r="A591" s="19">
        <v>589</v>
      </c>
      <c r="B591" s="20">
        <v>40570</v>
      </c>
      <c r="C591" s="18">
        <v>1</v>
      </c>
      <c r="D591" s="18">
        <v>0</v>
      </c>
      <c r="E591" s="18">
        <v>1</v>
      </c>
      <c r="F591" s="18">
        <v>17</v>
      </c>
      <c r="G591" s="18" t="b">
        <v>0</v>
      </c>
      <c r="H591" s="18">
        <v>4</v>
      </c>
      <c r="I591" s="18">
        <v>1</v>
      </c>
      <c r="J591" s="18">
        <v>0.22</v>
      </c>
      <c r="K591">
        <v>0.2424</v>
      </c>
      <c r="L591">
        <v>0.55000000000000004</v>
      </c>
      <c r="M591" s="18">
        <v>0.1045</v>
      </c>
      <c r="N591" s="18">
        <v>2</v>
      </c>
      <c r="O591" s="18">
        <v>82</v>
      </c>
      <c r="P591">
        <v>84</v>
      </c>
      <c r="Q591" s="18" t="s">
        <v>34</v>
      </c>
      <c r="R591" s="18" t="s">
        <v>35</v>
      </c>
      <c r="S591" s="18" t="s">
        <v>36</v>
      </c>
      <c r="T591" s="18" t="s">
        <v>44</v>
      </c>
      <c r="U591" s="18">
        <v>2011</v>
      </c>
      <c r="V591" s="16">
        <f t="shared" si="18"/>
        <v>40587</v>
      </c>
      <c r="W591" s="18" t="str">
        <f t="shared" si="19"/>
        <v>Weekday</v>
      </c>
    </row>
    <row r="592" spans="1:23" x14ac:dyDescent="0.25">
      <c r="A592" s="19">
        <v>590</v>
      </c>
      <c r="B592" s="20">
        <v>40570</v>
      </c>
      <c r="C592" s="18">
        <v>1</v>
      </c>
      <c r="D592" s="18">
        <v>0</v>
      </c>
      <c r="E592" s="18">
        <v>1</v>
      </c>
      <c r="F592" s="18">
        <v>18</v>
      </c>
      <c r="G592" s="18" t="b">
        <v>0</v>
      </c>
      <c r="H592" s="18">
        <v>4</v>
      </c>
      <c r="I592" s="18">
        <v>1</v>
      </c>
      <c r="J592" s="18">
        <v>0.2</v>
      </c>
      <c r="K592">
        <v>0.2273</v>
      </c>
      <c r="L592">
        <v>0.69</v>
      </c>
      <c r="M592" s="18">
        <v>8.9599999999999999E-2</v>
      </c>
      <c r="N592" s="18">
        <v>3</v>
      </c>
      <c r="O592" s="18">
        <v>101</v>
      </c>
      <c r="P592">
        <v>104</v>
      </c>
      <c r="Q592" s="18" t="s">
        <v>34</v>
      </c>
      <c r="R592" s="18" t="s">
        <v>35</v>
      </c>
      <c r="S592" s="18" t="s">
        <v>36</v>
      </c>
      <c r="T592" s="18" t="s">
        <v>44</v>
      </c>
      <c r="U592" s="18">
        <v>2011</v>
      </c>
      <c r="V592" s="16">
        <f t="shared" si="18"/>
        <v>40587</v>
      </c>
      <c r="W592" s="18" t="str">
        <f t="shared" si="19"/>
        <v>Weekday</v>
      </c>
    </row>
    <row r="593" spans="1:23" x14ac:dyDescent="0.25">
      <c r="A593" s="19">
        <v>591</v>
      </c>
      <c r="B593" s="20">
        <v>40570</v>
      </c>
      <c r="C593" s="18">
        <v>1</v>
      </c>
      <c r="D593" s="18">
        <v>0</v>
      </c>
      <c r="E593" s="18">
        <v>1</v>
      </c>
      <c r="F593" s="18">
        <v>19</v>
      </c>
      <c r="G593" s="18" t="b">
        <v>0</v>
      </c>
      <c r="H593" s="18">
        <v>4</v>
      </c>
      <c r="I593" s="18">
        <v>1</v>
      </c>
      <c r="J593" s="18">
        <v>0.2</v>
      </c>
      <c r="K593">
        <v>0.2273</v>
      </c>
      <c r="L593">
        <v>0.69</v>
      </c>
      <c r="M593" s="18">
        <v>8.9599999999999999E-2</v>
      </c>
      <c r="N593" s="18">
        <v>3</v>
      </c>
      <c r="O593" s="18">
        <v>76</v>
      </c>
      <c r="P593">
        <v>79</v>
      </c>
      <c r="Q593" s="18" t="s">
        <v>34</v>
      </c>
      <c r="R593" s="18" t="s">
        <v>35</v>
      </c>
      <c r="S593" s="18" t="s">
        <v>36</v>
      </c>
      <c r="T593" s="18" t="s">
        <v>44</v>
      </c>
      <c r="U593" s="18">
        <v>2011</v>
      </c>
      <c r="V593" s="16">
        <f t="shared" si="18"/>
        <v>40587</v>
      </c>
      <c r="W593" s="18" t="str">
        <f t="shared" si="19"/>
        <v>Weekday</v>
      </c>
    </row>
    <row r="594" spans="1:23" x14ac:dyDescent="0.25">
      <c r="A594" s="19">
        <v>592</v>
      </c>
      <c r="B594" s="20">
        <v>40570</v>
      </c>
      <c r="C594" s="18">
        <v>1</v>
      </c>
      <c r="D594" s="18">
        <v>0</v>
      </c>
      <c r="E594" s="18">
        <v>1</v>
      </c>
      <c r="F594" s="18">
        <v>20</v>
      </c>
      <c r="G594" s="18" t="b">
        <v>0</v>
      </c>
      <c r="H594" s="18">
        <v>4</v>
      </c>
      <c r="I594" s="18">
        <v>1</v>
      </c>
      <c r="J594" s="18">
        <v>0.18</v>
      </c>
      <c r="K594">
        <v>0.21210000000000001</v>
      </c>
      <c r="L594">
        <v>0.74</v>
      </c>
      <c r="M594" s="18">
        <v>8.9599999999999999E-2</v>
      </c>
      <c r="N594" s="18">
        <v>4</v>
      </c>
      <c r="O594" s="18">
        <v>55</v>
      </c>
      <c r="P594">
        <v>59</v>
      </c>
      <c r="Q594" s="18" t="s">
        <v>34</v>
      </c>
      <c r="R594" s="18" t="s">
        <v>35</v>
      </c>
      <c r="S594" s="18" t="s">
        <v>36</v>
      </c>
      <c r="T594" s="18" t="s">
        <v>44</v>
      </c>
      <c r="U594" s="18">
        <v>2011</v>
      </c>
      <c r="V594" s="16">
        <f t="shared" si="18"/>
        <v>40587</v>
      </c>
      <c r="W594" s="18" t="str">
        <f t="shared" si="19"/>
        <v>Weekday</v>
      </c>
    </row>
    <row r="595" spans="1:23" x14ac:dyDescent="0.25">
      <c r="A595" s="19">
        <v>593</v>
      </c>
      <c r="B595" s="20">
        <v>40570</v>
      </c>
      <c r="C595" s="18">
        <v>1</v>
      </c>
      <c r="D595" s="18">
        <v>0</v>
      </c>
      <c r="E595" s="18">
        <v>1</v>
      </c>
      <c r="F595" s="18">
        <v>21</v>
      </c>
      <c r="G595" s="18" t="b">
        <v>0</v>
      </c>
      <c r="H595" s="18">
        <v>4</v>
      </c>
      <c r="I595" s="18">
        <v>1</v>
      </c>
      <c r="J595" s="18">
        <v>0.18</v>
      </c>
      <c r="K595">
        <v>0.21210000000000001</v>
      </c>
      <c r="L595">
        <v>0.74</v>
      </c>
      <c r="M595" s="18">
        <v>8.9599999999999999E-2</v>
      </c>
      <c r="N595" s="18">
        <v>2</v>
      </c>
      <c r="O595" s="18">
        <v>36</v>
      </c>
      <c r="P595">
        <v>38</v>
      </c>
      <c r="Q595" s="18" t="s">
        <v>34</v>
      </c>
      <c r="R595" s="18" t="s">
        <v>35</v>
      </c>
      <c r="S595" s="18" t="s">
        <v>36</v>
      </c>
      <c r="T595" s="18" t="s">
        <v>44</v>
      </c>
      <c r="U595" s="18">
        <v>2011</v>
      </c>
      <c r="V595" s="16">
        <f t="shared" si="18"/>
        <v>40587</v>
      </c>
      <c r="W595" s="18" t="str">
        <f t="shared" si="19"/>
        <v>Weekday</v>
      </c>
    </row>
    <row r="596" spans="1:23" x14ac:dyDescent="0.25">
      <c r="A596" s="19">
        <v>594</v>
      </c>
      <c r="B596" s="20">
        <v>40570</v>
      </c>
      <c r="C596" s="18">
        <v>1</v>
      </c>
      <c r="D596" s="18">
        <v>0</v>
      </c>
      <c r="E596" s="18">
        <v>1</v>
      </c>
      <c r="F596" s="18">
        <v>22</v>
      </c>
      <c r="G596" s="18" t="b">
        <v>0</v>
      </c>
      <c r="H596" s="18">
        <v>4</v>
      </c>
      <c r="I596" s="18">
        <v>1</v>
      </c>
      <c r="J596" s="18">
        <v>0.18</v>
      </c>
      <c r="K596">
        <v>0.21210000000000001</v>
      </c>
      <c r="L596">
        <v>0.74</v>
      </c>
      <c r="M596" s="18">
        <v>8.9599999999999999E-2</v>
      </c>
      <c r="N596" s="18">
        <v>0</v>
      </c>
      <c r="O596" s="18">
        <v>27</v>
      </c>
      <c r="P596">
        <v>27</v>
      </c>
      <c r="Q596" s="18" t="s">
        <v>34</v>
      </c>
      <c r="R596" s="18" t="s">
        <v>35</v>
      </c>
      <c r="S596" s="18" t="s">
        <v>36</v>
      </c>
      <c r="T596" s="18" t="s">
        <v>44</v>
      </c>
      <c r="U596" s="18">
        <v>2011</v>
      </c>
      <c r="V596" s="16">
        <f t="shared" si="18"/>
        <v>40587</v>
      </c>
      <c r="W596" s="18" t="str">
        <f t="shared" si="19"/>
        <v>Weekday</v>
      </c>
    </row>
    <row r="597" spans="1:23" x14ac:dyDescent="0.25">
      <c r="A597" s="19">
        <v>595</v>
      </c>
      <c r="B597" s="20">
        <v>40570</v>
      </c>
      <c r="C597" s="18">
        <v>1</v>
      </c>
      <c r="D597" s="18">
        <v>0</v>
      </c>
      <c r="E597" s="18">
        <v>1</v>
      </c>
      <c r="F597" s="18">
        <v>23</v>
      </c>
      <c r="G597" s="18" t="b">
        <v>0</v>
      </c>
      <c r="H597" s="18">
        <v>4</v>
      </c>
      <c r="I597" s="18">
        <v>1</v>
      </c>
      <c r="J597" s="18">
        <v>0.18</v>
      </c>
      <c r="K597">
        <v>0.19700000000000001</v>
      </c>
      <c r="L597">
        <v>0.8</v>
      </c>
      <c r="M597" s="18">
        <v>0.16420000000000001</v>
      </c>
      <c r="N597" s="18">
        <v>0</v>
      </c>
      <c r="O597" s="18">
        <v>16</v>
      </c>
      <c r="P597">
        <v>16</v>
      </c>
      <c r="Q597" s="18" t="s">
        <v>34</v>
      </c>
      <c r="R597" s="18" t="s">
        <v>35</v>
      </c>
      <c r="S597" s="18" t="s">
        <v>36</v>
      </c>
      <c r="T597" s="18" t="s">
        <v>44</v>
      </c>
      <c r="U597" s="18">
        <v>2011</v>
      </c>
      <c r="V597" s="16">
        <f t="shared" si="18"/>
        <v>40587</v>
      </c>
      <c r="W597" s="18" t="str">
        <f t="shared" si="19"/>
        <v>Weekday</v>
      </c>
    </row>
    <row r="598" spans="1:23" x14ac:dyDescent="0.25">
      <c r="A598" s="19">
        <v>596</v>
      </c>
      <c r="B598" s="20">
        <v>40571</v>
      </c>
      <c r="C598" s="18">
        <v>1</v>
      </c>
      <c r="D598" s="18">
        <v>0</v>
      </c>
      <c r="E598" s="18">
        <v>1</v>
      </c>
      <c r="F598" s="18">
        <v>0</v>
      </c>
      <c r="G598" s="18" t="b">
        <v>0</v>
      </c>
      <c r="H598" s="18">
        <v>5</v>
      </c>
      <c r="I598" s="18">
        <v>2</v>
      </c>
      <c r="J598" s="18">
        <v>0.2</v>
      </c>
      <c r="K598">
        <v>0.21210000000000001</v>
      </c>
      <c r="L598">
        <v>0.75</v>
      </c>
      <c r="M598" s="18">
        <v>0.1343</v>
      </c>
      <c r="N598" s="18">
        <v>0</v>
      </c>
      <c r="O598" s="18">
        <v>9</v>
      </c>
      <c r="P598">
        <v>9</v>
      </c>
      <c r="Q598" s="18" t="s">
        <v>34</v>
      </c>
      <c r="R598" s="18" t="s">
        <v>35</v>
      </c>
      <c r="S598" s="18" t="s">
        <v>38</v>
      </c>
      <c r="T598" s="18" t="s">
        <v>45</v>
      </c>
      <c r="U598" s="18">
        <v>2011</v>
      </c>
      <c r="V598" s="16">
        <f t="shared" si="18"/>
        <v>40587</v>
      </c>
      <c r="W598" s="18" t="str">
        <f t="shared" si="19"/>
        <v>Weekday</v>
      </c>
    </row>
    <row r="599" spans="1:23" x14ac:dyDescent="0.25">
      <c r="A599" s="19">
        <v>597</v>
      </c>
      <c r="B599" s="20">
        <v>40571</v>
      </c>
      <c r="C599" s="18">
        <v>1</v>
      </c>
      <c r="D599" s="18">
        <v>0</v>
      </c>
      <c r="E599" s="18">
        <v>1</v>
      </c>
      <c r="F599" s="18">
        <v>1</v>
      </c>
      <c r="G599" s="18" t="b">
        <v>0</v>
      </c>
      <c r="H599" s="18">
        <v>5</v>
      </c>
      <c r="I599" s="18">
        <v>2</v>
      </c>
      <c r="J599" s="18">
        <v>0.2</v>
      </c>
      <c r="K599">
        <v>0.21210000000000001</v>
      </c>
      <c r="L599">
        <v>0.75</v>
      </c>
      <c r="M599" s="18">
        <v>0.1343</v>
      </c>
      <c r="N599" s="18">
        <v>1</v>
      </c>
      <c r="O599" s="18">
        <v>2</v>
      </c>
      <c r="P599">
        <v>3</v>
      </c>
      <c r="Q599" s="18" t="s">
        <v>34</v>
      </c>
      <c r="R599" s="18" t="s">
        <v>35</v>
      </c>
      <c r="S599" s="18" t="s">
        <v>38</v>
      </c>
      <c r="T599" s="18" t="s">
        <v>45</v>
      </c>
      <c r="U599" s="18">
        <v>2011</v>
      </c>
      <c r="V599" s="16">
        <f t="shared" si="18"/>
        <v>40587</v>
      </c>
      <c r="W599" s="18" t="str">
        <f t="shared" si="19"/>
        <v>Weekday</v>
      </c>
    </row>
    <row r="600" spans="1:23" x14ac:dyDescent="0.25">
      <c r="A600" s="19">
        <v>598</v>
      </c>
      <c r="B600" s="20">
        <v>40571</v>
      </c>
      <c r="C600" s="18">
        <v>1</v>
      </c>
      <c r="D600" s="18">
        <v>0</v>
      </c>
      <c r="E600" s="18">
        <v>1</v>
      </c>
      <c r="F600" s="18">
        <v>2</v>
      </c>
      <c r="G600" s="18" t="b">
        <v>0</v>
      </c>
      <c r="H600" s="18">
        <v>5</v>
      </c>
      <c r="I600" s="18">
        <v>2</v>
      </c>
      <c r="J600" s="18">
        <v>0.2</v>
      </c>
      <c r="K600">
        <v>0.21210000000000001</v>
      </c>
      <c r="L600">
        <v>0.75</v>
      </c>
      <c r="M600" s="18">
        <v>0.16420000000000001</v>
      </c>
      <c r="N600" s="18">
        <v>0</v>
      </c>
      <c r="O600" s="18">
        <v>2</v>
      </c>
      <c r="P600">
        <v>2</v>
      </c>
      <c r="Q600" s="18" t="s">
        <v>34</v>
      </c>
      <c r="R600" s="18" t="s">
        <v>35</v>
      </c>
      <c r="S600" s="18" t="s">
        <v>38</v>
      </c>
      <c r="T600" s="18" t="s">
        <v>45</v>
      </c>
      <c r="U600" s="18">
        <v>2011</v>
      </c>
      <c r="V600" s="16">
        <f t="shared" si="18"/>
        <v>40587</v>
      </c>
      <c r="W600" s="18" t="str">
        <f t="shared" si="19"/>
        <v>Weekday</v>
      </c>
    </row>
    <row r="601" spans="1:23" x14ac:dyDescent="0.25">
      <c r="A601" s="19">
        <v>599</v>
      </c>
      <c r="B601" s="20">
        <v>40571</v>
      </c>
      <c r="C601" s="18">
        <v>1</v>
      </c>
      <c r="D601" s="18">
        <v>0</v>
      </c>
      <c r="E601" s="18">
        <v>1</v>
      </c>
      <c r="F601" s="18">
        <v>3</v>
      </c>
      <c r="G601" s="18" t="b">
        <v>0</v>
      </c>
      <c r="H601" s="18">
        <v>5</v>
      </c>
      <c r="I601" s="18">
        <v>2</v>
      </c>
      <c r="J601" s="18">
        <v>0.2</v>
      </c>
      <c r="K601">
        <v>0.2273</v>
      </c>
      <c r="L601">
        <v>0.75</v>
      </c>
      <c r="M601" s="18">
        <v>0.1045</v>
      </c>
      <c r="N601" s="18">
        <v>1</v>
      </c>
      <c r="O601" s="18">
        <v>0</v>
      </c>
      <c r="P601">
        <v>1</v>
      </c>
      <c r="Q601" s="18" t="s">
        <v>34</v>
      </c>
      <c r="R601" s="18" t="s">
        <v>35</v>
      </c>
      <c r="S601" s="18" t="s">
        <v>38</v>
      </c>
      <c r="T601" s="18" t="s">
        <v>45</v>
      </c>
      <c r="U601" s="18">
        <v>2011</v>
      </c>
      <c r="V601" s="16">
        <f t="shared" si="18"/>
        <v>40587</v>
      </c>
      <c r="W601" s="18" t="str">
        <f t="shared" si="19"/>
        <v>Weekday</v>
      </c>
    </row>
    <row r="602" spans="1:23" x14ac:dyDescent="0.25">
      <c r="A602" s="19">
        <v>600</v>
      </c>
      <c r="B602" s="20">
        <v>40571</v>
      </c>
      <c r="C602" s="18">
        <v>1</v>
      </c>
      <c r="D602" s="18">
        <v>0</v>
      </c>
      <c r="E602" s="18">
        <v>1</v>
      </c>
      <c r="F602" s="18">
        <v>5</v>
      </c>
      <c r="G602" s="18" t="b">
        <v>0</v>
      </c>
      <c r="H602" s="18">
        <v>5</v>
      </c>
      <c r="I602" s="18">
        <v>2</v>
      </c>
      <c r="J602" s="18">
        <v>0.18</v>
      </c>
      <c r="K602">
        <v>0.21210000000000001</v>
      </c>
      <c r="L602">
        <v>0.8</v>
      </c>
      <c r="M602" s="18">
        <v>0.1045</v>
      </c>
      <c r="N602" s="18">
        <v>0</v>
      </c>
      <c r="O602" s="18">
        <v>4</v>
      </c>
      <c r="P602">
        <v>4</v>
      </c>
      <c r="Q602" s="18" t="s">
        <v>34</v>
      </c>
      <c r="R602" s="18" t="s">
        <v>35</v>
      </c>
      <c r="S602" s="18" t="s">
        <v>38</v>
      </c>
      <c r="T602" s="18" t="s">
        <v>45</v>
      </c>
      <c r="U602" s="18">
        <v>2011</v>
      </c>
      <c r="V602" s="16">
        <f t="shared" si="18"/>
        <v>40587</v>
      </c>
      <c r="W602" s="18" t="str">
        <f t="shared" si="19"/>
        <v>Weekday</v>
      </c>
    </row>
    <row r="603" spans="1:23" x14ac:dyDescent="0.25">
      <c r="A603" s="19">
        <v>601</v>
      </c>
      <c r="B603" s="20">
        <v>40571</v>
      </c>
      <c r="C603" s="18">
        <v>1</v>
      </c>
      <c r="D603" s="18">
        <v>0</v>
      </c>
      <c r="E603" s="18">
        <v>1</v>
      </c>
      <c r="F603" s="18">
        <v>6</v>
      </c>
      <c r="G603" s="18" t="b">
        <v>0</v>
      </c>
      <c r="H603" s="18">
        <v>5</v>
      </c>
      <c r="I603" s="18">
        <v>2</v>
      </c>
      <c r="J603" s="18">
        <v>0.18</v>
      </c>
      <c r="K603">
        <v>0.19700000000000001</v>
      </c>
      <c r="L603">
        <v>0.8</v>
      </c>
      <c r="M603" s="18">
        <v>0.1343</v>
      </c>
      <c r="N603" s="18">
        <v>0</v>
      </c>
      <c r="O603" s="18">
        <v>16</v>
      </c>
      <c r="P603">
        <v>16</v>
      </c>
      <c r="Q603" s="18" t="s">
        <v>34</v>
      </c>
      <c r="R603" s="18" t="s">
        <v>35</v>
      </c>
      <c r="S603" s="18" t="s">
        <v>38</v>
      </c>
      <c r="T603" s="18" t="s">
        <v>45</v>
      </c>
      <c r="U603" s="18">
        <v>2011</v>
      </c>
      <c r="V603" s="16">
        <f t="shared" si="18"/>
        <v>40587</v>
      </c>
      <c r="W603" s="18" t="str">
        <f t="shared" si="19"/>
        <v>Weekday</v>
      </c>
    </row>
    <row r="604" spans="1:23" x14ac:dyDescent="0.25">
      <c r="A604" s="19">
        <v>602</v>
      </c>
      <c r="B604" s="20">
        <v>40571</v>
      </c>
      <c r="C604" s="18">
        <v>1</v>
      </c>
      <c r="D604" s="18">
        <v>0</v>
      </c>
      <c r="E604" s="18">
        <v>1</v>
      </c>
      <c r="F604" s="18">
        <v>7</v>
      </c>
      <c r="G604" s="18" t="b">
        <v>0</v>
      </c>
      <c r="H604" s="18">
        <v>5</v>
      </c>
      <c r="I604" s="18">
        <v>2</v>
      </c>
      <c r="J604" s="18">
        <v>0.16</v>
      </c>
      <c r="K604">
        <v>0.19700000000000001</v>
      </c>
      <c r="L604">
        <v>0.86</v>
      </c>
      <c r="M604" s="18">
        <v>8.9599999999999999E-2</v>
      </c>
      <c r="N604" s="18">
        <v>2</v>
      </c>
      <c r="O604" s="18">
        <v>58</v>
      </c>
      <c r="P604">
        <v>60</v>
      </c>
      <c r="Q604" s="18" t="s">
        <v>34</v>
      </c>
      <c r="R604" s="18" t="s">
        <v>35</v>
      </c>
      <c r="S604" s="18" t="s">
        <v>38</v>
      </c>
      <c r="T604" s="18" t="s">
        <v>45</v>
      </c>
      <c r="U604" s="18">
        <v>2011</v>
      </c>
      <c r="V604" s="16">
        <f t="shared" si="18"/>
        <v>40587</v>
      </c>
      <c r="W604" s="18" t="str">
        <f t="shared" si="19"/>
        <v>Weekday</v>
      </c>
    </row>
    <row r="605" spans="1:23" x14ac:dyDescent="0.25">
      <c r="A605" s="19">
        <v>603</v>
      </c>
      <c r="B605" s="20">
        <v>40571</v>
      </c>
      <c r="C605" s="18">
        <v>1</v>
      </c>
      <c r="D605" s="18">
        <v>0</v>
      </c>
      <c r="E605" s="18">
        <v>1</v>
      </c>
      <c r="F605" s="18">
        <v>8</v>
      </c>
      <c r="G605" s="18" t="b">
        <v>0</v>
      </c>
      <c r="H605" s="18">
        <v>5</v>
      </c>
      <c r="I605" s="18">
        <v>2</v>
      </c>
      <c r="J605" s="18">
        <v>0.16</v>
      </c>
      <c r="K605">
        <v>0.19700000000000001</v>
      </c>
      <c r="L605">
        <v>0.86</v>
      </c>
      <c r="M605" s="18">
        <v>8.9599999999999999E-2</v>
      </c>
      <c r="N605" s="18">
        <v>2</v>
      </c>
      <c r="O605" s="18">
        <v>155</v>
      </c>
      <c r="P605">
        <v>157</v>
      </c>
      <c r="Q605" s="18" t="s">
        <v>34</v>
      </c>
      <c r="R605" s="18" t="s">
        <v>35</v>
      </c>
      <c r="S605" s="18" t="s">
        <v>38</v>
      </c>
      <c r="T605" s="18" t="s">
        <v>45</v>
      </c>
      <c r="U605" s="18">
        <v>2011</v>
      </c>
      <c r="V605" s="16">
        <f t="shared" si="18"/>
        <v>40587</v>
      </c>
      <c r="W605" s="18" t="str">
        <f t="shared" si="19"/>
        <v>Weekday</v>
      </c>
    </row>
    <row r="606" spans="1:23" x14ac:dyDescent="0.25">
      <c r="A606" s="19">
        <v>604</v>
      </c>
      <c r="B606" s="20">
        <v>40571</v>
      </c>
      <c r="C606" s="18">
        <v>1</v>
      </c>
      <c r="D606" s="18">
        <v>0</v>
      </c>
      <c r="E606" s="18">
        <v>1</v>
      </c>
      <c r="F606" s="18">
        <v>9</v>
      </c>
      <c r="G606" s="18" t="b">
        <v>0</v>
      </c>
      <c r="H606" s="18">
        <v>5</v>
      </c>
      <c r="I606" s="18">
        <v>3</v>
      </c>
      <c r="J606" s="18">
        <v>0.18</v>
      </c>
      <c r="K606">
        <v>0.21210000000000001</v>
      </c>
      <c r="L606">
        <v>0.86</v>
      </c>
      <c r="M606" s="18">
        <v>8.9599999999999999E-2</v>
      </c>
      <c r="N606" s="18">
        <v>6</v>
      </c>
      <c r="O606" s="18">
        <v>95</v>
      </c>
      <c r="P606">
        <v>101</v>
      </c>
      <c r="Q606" s="18" t="s">
        <v>34</v>
      </c>
      <c r="R606" s="18" t="s">
        <v>35</v>
      </c>
      <c r="S606" s="18" t="s">
        <v>39</v>
      </c>
      <c r="T606" s="18" t="s">
        <v>45</v>
      </c>
      <c r="U606" s="18">
        <v>2011</v>
      </c>
      <c r="V606" s="16">
        <f t="shared" si="18"/>
        <v>40587</v>
      </c>
      <c r="W606" s="18" t="str">
        <f t="shared" si="19"/>
        <v>Weekday</v>
      </c>
    </row>
    <row r="607" spans="1:23" x14ac:dyDescent="0.25">
      <c r="A607" s="19">
        <v>605</v>
      </c>
      <c r="B607" s="20">
        <v>40571</v>
      </c>
      <c r="C607" s="18">
        <v>1</v>
      </c>
      <c r="D607" s="18">
        <v>0</v>
      </c>
      <c r="E607" s="18">
        <v>1</v>
      </c>
      <c r="F607" s="18">
        <v>10</v>
      </c>
      <c r="G607" s="18" t="b">
        <v>0</v>
      </c>
      <c r="H607" s="18">
        <v>5</v>
      </c>
      <c r="I607" s="18">
        <v>3</v>
      </c>
      <c r="J607" s="18">
        <v>0.18</v>
      </c>
      <c r="K607">
        <v>0.21210000000000001</v>
      </c>
      <c r="L607">
        <v>0.86</v>
      </c>
      <c r="M607" s="18">
        <v>0.1045</v>
      </c>
      <c r="N607" s="18">
        <v>0</v>
      </c>
      <c r="O607" s="18">
        <v>49</v>
      </c>
      <c r="P607">
        <v>49</v>
      </c>
      <c r="Q607" s="18" t="s">
        <v>34</v>
      </c>
      <c r="R607" s="18" t="s">
        <v>35</v>
      </c>
      <c r="S607" s="18" t="s">
        <v>39</v>
      </c>
      <c r="T607" s="18" t="s">
        <v>45</v>
      </c>
      <c r="U607" s="18">
        <v>2011</v>
      </c>
      <c r="V607" s="16">
        <f t="shared" si="18"/>
        <v>40587</v>
      </c>
      <c r="W607" s="18" t="str">
        <f t="shared" si="19"/>
        <v>Weekday</v>
      </c>
    </row>
    <row r="608" spans="1:23" x14ac:dyDescent="0.25">
      <c r="A608" s="19">
        <v>606</v>
      </c>
      <c r="B608" s="20">
        <v>40571</v>
      </c>
      <c r="C608" s="18">
        <v>1</v>
      </c>
      <c r="D608" s="18">
        <v>0</v>
      </c>
      <c r="E608" s="18">
        <v>1</v>
      </c>
      <c r="F608" s="18">
        <v>11</v>
      </c>
      <c r="G608" s="18" t="b">
        <v>0</v>
      </c>
      <c r="H608" s="18">
        <v>5</v>
      </c>
      <c r="I608" s="18">
        <v>3</v>
      </c>
      <c r="J608" s="18">
        <v>0.18</v>
      </c>
      <c r="K608">
        <v>0.21210000000000001</v>
      </c>
      <c r="L608">
        <v>0.93</v>
      </c>
      <c r="M608" s="18">
        <v>0.1045</v>
      </c>
      <c r="N608" s="18">
        <v>0</v>
      </c>
      <c r="O608" s="18">
        <v>30</v>
      </c>
      <c r="P608">
        <v>30</v>
      </c>
      <c r="Q608" s="18" t="s">
        <v>34</v>
      </c>
      <c r="R608" s="18" t="s">
        <v>35</v>
      </c>
      <c r="S608" s="18" t="s">
        <v>39</v>
      </c>
      <c r="T608" s="18" t="s">
        <v>45</v>
      </c>
      <c r="U608" s="18">
        <v>2011</v>
      </c>
      <c r="V608" s="16">
        <f t="shared" si="18"/>
        <v>40587</v>
      </c>
      <c r="W608" s="18" t="str">
        <f t="shared" si="19"/>
        <v>Weekday</v>
      </c>
    </row>
    <row r="609" spans="1:23" x14ac:dyDescent="0.25">
      <c r="A609" s="19">
        <v>607</v>
      </c>
      <c r="B609" s="20">
        <v>40571</v>
      </c>
      <c r="C609" s="18">
        <v>1</v>
      </c>
      <c r="D609" s="18">
        <v>0</v>
      </c>
      <c r="E609" s="18">
        <v>1</v>
      </c>
      <c r="F609" s="18">
        <v>12</v>
      </c>
      <c r="G609" s="18" t="b">
        <v>0</v>
      </c>
      <c r="H609" s="18">
        <v>5</v>
      </c>
      <c r="I609" s="18">
        <v>3</v>
      </c>
      <c r="J609" s="18">
        <v>0.18</v>
      </c>
      <c r="K609">
        <v>0.21210000000000001</v>
      </c>
      <c r="L609">
        <v>0.93</v>
      </c>
      <c r="M609" s="18">
        <v>0.1045</v>
      </c>
      <c r="N609" s="18">
        <v>1</v>
      </c>
      <c r="O609" s="18">
        <v>28</v>
      </c>
      <c r="P609">
        <v>29</v>
      </c>
      <c r="Q609" s="18" t="s">
        <v>34</v>
      </c>
      <c r="R609" s="18" t="s">
        <v>35</v>
      </c>
      <c r="S609" s="18" t="s">
        <v>39</v>
      </c>
      <c r="T609" s="18" t="s">
        <v>45</v>
      </c>
      <c r="U609" s="18">
        <v>2011</v>
      </c>
      <c r="V609" s="16">
        <f t="shared" si="18"/>
        <v>40587</v>
      </c>
      <c r="W609" s="18" t="str">
        <f t="shared" si="19"/>
        <v>Weekday</v>
      </c>
    </row>
    <row r="610" spans="1:23" x14ac:dyDescent="0.25">
      <c r="A610" s="19">
        <v>608</v>
      </c>
      <c r="B610" s="20">
        <v>40571</v>
      </c>
      <c r="C610" s="18">
        <v>1</v>
      </c>
      <c r="D610" s="18">
        <v>0</v>
      </c>
      <c r="E610" s="18">
        <v>1</v>
      </c>
      <c r="F610" s="18">
        <v>13</v>
      </c>
      <c r="G610" s="18" t="b">
        <v>0</v>
      </c>
      <c r="H610" s="18">
        <v>5</v>
      </c>
      <c r="I610" s="18">
        <v>3</v>
      </c>
      <c r="J610" s="18">
        <v>0.18</v>
      </c>
      <c r="K610">
        <v>0.21210000000000001</v>
      </c>
      <c r="L610">
        <v>0.93</v>
      </c>
      <c r="M610" s="18">
        <v>0.1045</v>
      </c>
      <c r="N610" s="18">
        <v>0</v>
      </c>
      <c r="O610" s="18">
        <v>31</v>
      </c>
      <c r="P610">
        <v>31</v>
      </c>
      <c r="Q610" s="18" t="s">
        <v>34</v>
      </c>
      <c r="R610" s="18" t="s">
        <v>35</v>
      </c>
      <c r="S610" s="18" t="s">
        <v>39</v>
      </c>
      <c r="T610" s="18" t="s">
        <v>45</v>
      </c>
      <c r="U610" s="18">
        <v>2011</v>
      </c>
      <c r="V610" s="16">
        <f t="shared" si="18"/>
        <v>40587</v>
      </c>
      <c r="W610" s="18" t="str">
        <f t="shared" si="19"/>
        <v>Weekday</v>
      </c>
    </row>
    <row r="611" spans="1:23" x14ac:dyDescent="0.25">
      <c r="A611" s="19">
        <v>609</v>
      </c>
      <c r="B611" s="20">
        <v>40571</v>
      </c>
      <c r="C611" s="18">
        <v>1</v>
      </c>
      <c r="D611" s="18">
        <v>0</v>
      </c>
      <c r="E611" s="18">
        <v>1</v>
      </c>
      <c r="F611" s="18">
        <v>14</v>
      </c>
      <c r="G611" s="18" t="b">
        <v>0</v>
      </c>
      <c r="H611" s="18">
        <v>5</v>
      </c>
      <c r="I611" s="18">
        <v>3</v>
      </c>
      <c r="J611" s="18">
        <v>0.22</v>
      </c>
      <c r="K611">
        <v>0.2727</v>
      </c>
      <c r="L611">
        <v>0.8</v>
      </c>
      <c r="M611" s="18">
        <v>0</v>
      </c>
      <c r="N611" s="18">
        <v>2</v>
      </c>
      <c r="O611" s="18">
        <v>36</v>
      </c>
      <c r="P611">
        <v>38</v>
      </c>
      <c r="Q611" s="18" t="s">
        <v>34</v>
      </c>
      <c r="R611" s="18" t="s">
        <v>35</v>
      </c>
      <c r="S611" s="18" t="s">
        <v>39</v>
      </c>
      <c r="T611" s="18" t="s">
        <v>45</v>
      </c>
      <c r="U611" s="18">
        <v>2011</v>
      </c>
      <c r="V611" s="16">
        <f t="shared" si="18"/>
        <v>40587</v>
      </c>
      <c r="W611" s="18" t="str">
        <f t="shared" si="19"/>
        <v>Weekday</v>
      </c>
    </row>
    <row r="612" spans="1:23" x14ac:dyDescent="0.25">
      <c r="A612" s="19">
        <v>610</v>
      </c>
      <c r="B612" s="20">
        <v>40571</v>
      </c>
      <c r="C612" s="18">
        <v>1</v>
      </c>
      <c r="D612" s="18">
        <v>0</v>
      </c>
      <c r="E612" s="18">
        <v>1</v>
      </c>
      <c r="F612" s="18">
        <v>15</v>
      </c>
      <c r="G612" s="18" t="b">
        <v>0</v>
      </c>
      <c r="H612" s="18">
        <v>5</v>
      </c>
      <c r="I612" s="18">
        <v>2</v>
      </c>
      <c r="J612" s="18">
        <v>0.2</v>
      </c>
      <c r="K612">
        <v>0.2576</v>
      </c>
      <c r="L612">
        <v>0.86</v>
      </c>
      <c r="M612" s="18">
        <v>0</v>
      </c>
      <c r="N612" s="18">
        <v>1</v>
      </c>
      <c r="O612" s="18">
        <v>40</v>
      </c>
      <c r="P612">
        <v>41</v>
      </c>
      <c r="Q612" s="18" t="s">
        <v>34</v>
      </c>
      <c r="R612" s="18" t="s">
        <v>35</v>
      </c>
      <c r="S612" s="18" t="s">
        <v>38</v>
      </c>
      <c r="T612" s="18" t="s">
        <v>45</v>
      </c>
      <c r="U612" s="18">
        <v>2011</v>
      </c>
      <c r="V612" s="16">
        <f t="shared" si="18"/>
        <v>40587</v>
      </c>
      <c r="W612" s="18" t="str">
        <f t="shared" si="19"/>
        <v>Weekday</v>
      </c>
    </row>
    <row r="613" spans="1:23" x14ac:dyDescent="0.25">
      <c r="A613" s="19">
        <v>611</v>
      </c>
      <c r="B613" s="20">
        <v>40571</v>
      </c>
      <c r="C613" s="18">
        <v>1</v>
      </c>
      <c r="D613" s="18">
        <v>0</v>
      </c>
      <c r="E613" s="18">
        <v>1</v>
      </c>
      <c r="F613" s="18">
        <v>16</v>
      </c>
      <c r="G613" s="18" t="b">
        <v>0</v>
      </c>
      <c r="H613" s="18">
        <v>5</v>
      </c>
      <c r="I613" s="18">
        <v>1</v>
      </c>
      <c r="J613" s="18">
        <v>0.22</v>
      </c>
      <c r="K613">
        <v>0.2727</v>
      </c>
      <c r="L613">
        <v>0.8</v>
      </c>
      <c r="M613" s="18">
        <v>0</v>
      </c>
      <c r="N613" s="18">
        <v>10</v>
      </c>
      <c r="O613" s="18">
        <v>70</v>
      </c>
      <c r="P613">
        <v>80</v>
      </c>
      <c r="Q613" s="18" t="s">
        <v>34</v>
      </c>
      <c r="R613" s="18" t="s">
        <v>35</v>
      </c>
      <c r="S613" s="18" t="s">
        <v>36</v>
      </c>
      <c r="T613" s="18" t="s">
        <v>45</v>
      </c>
      <c r="U613" s="18">
        <v>2011</v>
      </c>
      <c r="V613" s="16">
        <f t="shared" si="18"/>
        <v>40587</v>
      </c>
      <c r="W613" s="18" t="str">
        <f t="shared" si="19"/>
        <v>Weekday</v>
      </c>
    </row>
    <row r="614" spans="1:23" x14ac:dyDescent="0.25">
      <c r="A614" s="19">
        <v>612</v>
      </c>
      <c r="B614" s="20">
        <v>40571</v>
      </c>
      <c r="C614" s="18">
        <v>1</v>
      </c>
      <c r="D614" s="18">
        <v>0</v>
      </c>
      <c r="E614" s="18">
        <v>1</v>
      </c>
      <c r="F614" s="18">
        <v>17</v>
      </c>
      <c r="G614" s="18" t="b">
        <v>0</v>
      </c>
      <c r="H614" s="18">
        <v>5</v>
      </c>
      <c r="I614" s="18">
        <v>1</v>
      </c>
      <c r="J614" s="18">
        <v>0.24</v>
      </c>
      <c r="K614">
        <v>0.2424</v>
      </c>
      <c r="L614">
        <v>0.75</v>
      </c>
      <c r="M614" s="18">
        <v>0.1343</v>
      </c>
      <c r="N614" s="18">
        <v>2</v>
      </c>
      <c r="O614" s="18">
        <v>147</v>
      </c>
      <c r="P614">
        <v>149</v>
      </c>
      <c r="Q614" s="18" t="s">
        <v>34</v>
      </c>
      <c r="R614" s="18" t="s">
        <v>35</v>
      </c>
      <c r="S614" s="18" t="s">
        <v>36</v>
      </c>
      <c r="T614" s="18" t="s">
        <v>45</v>
      </c>
      <c r="U614" s="18">
        <v>2011</v>
      </c>
      <c r="V614" s="16">
        <f t="shared" si="18"/>
        <v>40587</v>
      </c>
      <c r="W614" s="18" t="str">
        <f t="shared" si="19"/>
        <v>Weekday</v>
      </c>
    </row>
    <row r="615" spans="1:23" x14ac:dyDescent="0.25">
      <c r="A615" s="19">
        <v>613</v>
      </c>
      <c r="B615" s="20">
        <v>40571</v>
      </c>
      <c r="C615" s="18">
        <v>1</v>
      </c>
      <c r="D615" s="18">
        <v>0</v>
      </c>
      <c r="E615" s="18">
        <v>1</v>
      </c>
      <c r="F615" s="18">
        <v>18</v>
      </c>
      <c r="G615" s="18" t="b">
        <v>0</v>
      </c>
      <c r="H615" s="18">
        <v>5</v>
      </c>
      <c r="I615" s="18">
        <v>1</v>
      </c>
      <c r="J615" s="18">
        <v>0.24</v>
      </c>
      <c r="K615">
        <v>0.2273</v>
      </c>
      <c r="L615">
        <v>0.75</v>
      </c>
      <c r="M615" s="18">
        <v>0.19400000000000001</v>
      </c>
      <c r="N615" s="18">
        <v>2</v>
      </c>
      <c r="O615" s="18">
        <v>107</v>
      </c>
      <c r="P615">
        <v>109</v>
      </c>
      <c r="Q615" s="18" t="s">
        <v>34</v>
      </c>
      <c r="R615" s="18" t="s">
        <v>35</v>
      </c>
      <c r="S615" s="18" t="s">
        <v>36</v>
      </c>
      <c r="T615" s="18" t="s">
        <v>45</v>
      </c>
      <c r="U615" s="18">
        <v>2011</v>
      </c>
      <c r="V615" s="16">
        <f t="shared" si="18"/>
        <v>40587</v>
      </c>
      <c r="W615" s="18" t="str">
        <f t="shared" si="19"/>
        <v>Weekday</v>
      </c>
    </row>
    <row r="616" spans="1:23" x14ac:dyDescent="0.25">
      <c r="A616" s="19">
        <v>614</v>
      </c>
      <c r="B616" s="20">
        <v>40571</v>
      </c>
      <c r="C616" s="18">
        <v>1</v>
      </c>
      <c r="D616" s="18">
        <v>0</v>
      </c>
      <c r="E616" s="18">
        <v>1</v>
      </c>
      <c r="F616" s="18">
        <v>19</v>
      </c>
      <c r="G616" s="18" t="b">
        <v>0</v>
      </c>
      <c r="H616" s="18">
        <v>5</v>
      </c>
      <c r="I616" s="18">
        <v>2</v>
      </c>
      <c r="J616" s="18">
        <v>0.24</v>
      </c>
      <c r="K616">
        <v>0.2424</v>
      </c>
      <c r="L616">
        <v>0.75</v>
      </c>
      <c r="M616" s="18">
        <v>0.1343</v>
      </c>
      <c r="N616" s="18">
        <v>5</v>
      </c>
      <c r="O616" s="18">
        <v>84</v>
      </c>
      <c r="P616">
        <v>89</v>
      </c>
      <c r="Q616" s="18" t="s">
        <v>34</v>
      </c>
      <c r="R616" s="18" t="s">
        <v>35</v>
      </c>
      <c r="S616" s="18" t="s">
        <v>38</v>
      </c>
      <c r="T616" s="18" t="s">
        <v>45</v>
      </c>
      <c r="U616" s="18">
        <v>2011</v>
      </c>
      <c r="V616" s="16">
        <f t="shared" si="18"/>
        <v>40587</v>
      </c>
      <c r="W616" s="18" t="str">
        <f t="shared" si="19"/>
        <v>Weekday</v>
      </c>
    </row>
    <row r="617" spans="1:23" x14ac:dyDescent="0.25">
      <c r="A617" s="19">
        <v>615</v>
      </c>
      <c r="B617" s="20">
        <v>40571</v>
      </c>
      <c r="C617" s="18">
        <v>1</v>
      </c>
      <c r="D617" s="18">
        <v>0</v>
      </c>
      <c r="E617" s="18">
        <v>1</v>
      </c>
      <c r="F617" s="18">
        <v>20</v>
      </c>
      <c r="G617" s="18" t="b">
        <v>0</v>
      </c>
      <c r="H617" s="18">
        <v>5</v>
      </c>
      <c r="I617" s="18">
        <v>2</v>
      </c>
      <c r="J617" s="18">
        <v>0.24</v>
      </c>
      <c r="K617">
        <v>0.2273</v>
      </c>
      <c r="L617">
        <v>0.7</v>
      </c>
      <c r="M617" s="18">
        <v>0.19400000000000001</v>
      </c>
      <c r="N617" s="18">
        <v>1</v>
      </c>
      <c r="O617" s="18">
        <v>61</v>
      </c>
      <c r="P617">
        <v>62</v>
      </c>
      <c r="Q617" s="18" t="s">
        <v>34</v>
      </c>
      <c r="R617" s="18" t="s">
        <v>35</v>
      </c>
      <c r="S617" s="18" t="s">
        <v>38</v>
      </c>
      <c r="T617" s="18" t="s">
        <v>45</v>
      </c>
      <c r="U617" s="18">
        <v>2011</v>
      </c>
      <c r="V617" s="16">
        <f t="shared" si="18"/>
        <v>40587</v>
      </c>
      <c r="W617" s="18" t="str">
        <f t="shared" si="19"/>
        <v>Weekday</v>
      </c>
    </row>
    <row r="618" spans="1:23" x14ac:dyDescent="0.25">
      <c r="A618" s="19">
        <v>616</v>
      </c>
      <c r="B618" s="20">
        <v>40571</v>
      </c>
      <c r="C618" s="18">
        <v>1</v>
      </c>
      <c r="D618" s="18">
        <v>0</v>
      </c>
      <c r="E618" s="18">
        <v>1</v>
      </c>
      <c r="F618" s="18">
        <v>21</v>
      </c>
      <c r="G618" s="18" t="b">
        <v>0</v>
      </c>
      <c r="H618" s="18">
        <v>5</v>
      </c>
      <c r="I618" s="18">
        <v>2</v>
      </c>
      <c r="J618" s="18">
        <v>0.22</v>
      </c>
      <c r="K618">
        <v>0.2273</v>
      </c>
      <c r="L618">
        <v>0.75</v>
      </c>
      <c r="M618" s="18">
        <v>0.1343</v>
      </c>
      <c r="N618" s="18">
        <v>1</v>
      </c>
      <c r="O618" s="18">
        <v>57</v>
      </c>
      <c r="P618">
        <v>58</v>
      </c>
      <c r="Q618" s="18" t="s">
        <v>34</v>
      </c>
      <c r="R618" s="18" t="s">
        <v>35</v>
      </c>
      <c r="S618" s="18" t="s">
        <v>38</v>
      </c>
      <c r="T618" s="18" t="s">
        <v>45</v>
      </c>
      <c r="U618" s="18">
        <v>2011</v>
      </c>
      <c r="V618" s="16">
        <f t="shared" si="18"/>
        <v>40587</v>
      </c>
      <c r="W618" s="18" t="str">
        <f t="shared" si="19"/>
        <v>Weekday</v>
      </c>
    </row>
    <row r="619" spans="1:23" x14ac:dyDescent="0.25">
      <c r="A619" s="19">
        <v>617</v>
      </c>
      <c r="B619" s="20">
        <v>40571</v>
      </c>
      <c r="C619" s="18">
        <v>1</v>
      </c>
      <c r="D619" s="18">
        <v>0</v>
      </c>
      <c r="E619" s="18">
        <v>1</v>
      </c>
      <c r="F619" s="18">
        <v>22</v>
      </c>
      <c r="G619" s="18" t="b">
        <v>0</v>
      </c>
      <c r="H619" s="18">
        <v>5</v>
      </c>
      <c r="I619" s="18">
        <v>1</v>
      </c>
      <c r="J619" s="18">
        <v>0.24</v>
      </c>
      <c r="K619">
        <v>0.21210000000000001</v>
      </c>
      <c r="L619">
        <v>0.65</v>
      </c>
      <c r="M619" s="18">
        <v>0.35820000000000002</v>
      </c>
      <c r="N619" s="18">
        <v>0</v>
      </c>
      <c r="O619" s="18">
        <v>26</v>
      </c>
      <c r="P619">
        <v>26</v>
      </c>
      <c r="Q619" s="18" t="s">
        <v>34</v>
      </c>
      <c r="R619" s="18" t="s">
        <v>35</v>
      </c>
      <c r="S619" s="18" t="s">
        <v>36</v>
      </c>
      <c r="T619" s="18" t="s">
        <v>45</v>
      </c>
      <c r="U619" s="18">
        <v>2011</v>
      </c>
      <c r="V619" s="16">
        <f t="shared" si="18"/>
        <v>40587</v>
      </c>
      <c r="W619" s="18" t="str">
        <f t="shared" si="19"/>
        <v>Weekday</v>
      </c>
    </row>
    <row r="620" spans="1:23" x14ac:dyDescent="0.25">
      <c r="A620" s="19">
        <v>618</v>
      </c>
      <c r="B620" s="20">
        <v>40571</v>
      </c>
      <c r="C620" s="18">
        <v>1</v>
      </c>
      <c r="D620" s="18">
        <v>0</v>
      </c>
      <c r="E620" s="18">
        <v>1</v>
      </c>
      <c r="F620" s="18">
        <v>23</v>
      </c>
      <c r="G620" s="18" t="b">
        <v>0</v>
      </c>
      <c r="H620" s="18">
        <v>5</v>
      </c>
      <c r="I620" s="18">
        <v>1</v>
      </c>
      <c r="J620" s="18">
        <v>0.24</v>
      </c>
      <c r="K620">
        <v>0.2273</v>
      </c>
      <c r="L620">
        <v>0.6</v>
      </c>
      <c r="M620" s="18">
        <v>0.22389999999999999</v>
      </c>
      <c r="N620" s="18">
        <v>1</v>
      </c>
      <c r="O620" s="18">
        <v>22</v>
      </c>
      <c r="P620">
        <v>23</v>
      </c>
      <c r="Q620" s="18" t="s">
        <v>34</v>
      </c>
      <c r="R620" s="18" t="s">
        <v>35</v>
      </c>
      <c r="S620" s="18" t="s">
        <v>36</v>
      </c>
      <c r="T620" s="18" t="s">
        <v>45</v>
      </c>
      <c r="U620" s="18">
        <v>2011</v>
      </c>
      <c r="V620" s="16">
        <f t="shared" si="18"/>
        <v>40587</v>
      </c>
      <c r="W620" s="18" t="str">
        <f t="shared" si="19"/>
        <v>Weekday</v>
      </c>
    </row>
    <row r="621" spans="1:23" x14ac:dyDescent="0.25">
      <c r="A621" s="19">
        <v>619</v>
      </c>
      <c r="B621" s="20">
        <v>40572</v>
      </c>
      <c r="C621" s="18">
        <v>1</v>
      </c>
      <c r="D621" s="18">
        <v>0</v>
      </c>
      <c r="E621" s="18">
        <v>1</v>
      </c>
      <c r="F621" s="18">
        <v>0</v>
      </c>
      <c r="G621" s="18" t="b">
        <v>0</v>
      </c>
      <c r="H621" s="18">
        <v>6</v>
      </c>
      <c r="I621" s="18">
        <v>1</v>
      </c>
      <c r="J621" s="18">
        <v>0.22</v>
      </c>
      <c r="K621">
        <v>0.19700000000000001</v>
      </c>
      <c r="L621">
        <v>0.64</v>
      </c>
      <c r="M621" s="18">
        <v>0.35820000000000002</v>
      </c>
      <c r="N621" s="18">
        <v>2</v>
      </c>
      <c r="O621" s="18">
        <v>26</v>
      </c>
      <c r="P621">
        <v>28</v>
      </c>
      <c r="Q621" s="18" t="s">
        <v>34</v>
      </c>
      <c r="R621" s="18" t="s">
        <v>35</v>
      </c>
      <c r="S621" s="18" t="s">
        <v>36</v>
      </c>
      <c r="T621" s="18" t="s">
        <v>37</v>
      </c>
      <c r="U621" s="18">
        <v>2011</v>
      </c>
      <c r="V621" s="16">
        <f t="shared" si="18"/>
        <v>40587</v>
      </c>
      <c r="W621" s="18" t="str">
        <f t="shared" si="19"/>
        <v>Weedend</v>
      </c>
    </row>
    <row r="622" spans="1:23" x14ac:dyDescent="0.25">
      <c r="A622" s="19">
        <v>620</v>
      </c>
      <c r="B622" s="20">
        <v>40572</v>
      </c>
      <c r="C622" s="18">
        <v>1</v>
      </c>
      <c r="D622" s="18">
        <v>0</v>
      </c>
      <c r="E622" s="18">
        <v>1</v>
      </c>
      <c r="F622" s="18">
        <v>1</v>
      </c>
      <c r="G622" s="18" t="b">
        <v>0</v>
      </c>
      <c r="H622" s="18">
        <v>6</v>
      </c>
      <c r="I622" s="18">
        <v>1</v>
      </c>
      <c r="J622" s="18">
        <v>0.22</v>
      </c>
      <c r="K622">
        <v>0.2273</v>
      </c>
      <c r="L622">
        <v>0.64</v>
      </c>
      <c r="M622" s="18">
        <v>0.19400000000000001</v>
      </c>
      <c r="N622" s="18">
        <v>0</v>
      </c>
      <c r="O622" s="18">
        <v>20</v>
      </c>
      <c r="P622">
        <v>20</v>
      </c>
      <c r="Q622" s="18" t="s">
        <v>34</v>
      </c>
      <c r="R622" s="18" t="s">
        <v>35</v>
      </c>
      <c r="S622" s="18" t="s">
        <v>36</v>
      </c>
      <c r="T622" s="18" t="s">
        <v>37</v>
      </c>
      <c r="U622" s="18">
        <v>2011</v>
      </c>
      <c r="V622" s="16">
        <f t="shared" si="18"/>
        <v>40587</v>
      </c>
      <c r="W622" s="18" t="str">
        <f t="shared" si="19"/>
        <v>Weedend</v>
      </c>
    </row>
    <row r="623" spans="1:23" x14ac:dyDescent="0.25">
      <c r="A623" s="19">
        <v>621</v>
      </c>
      <c r="B623" s="20">
        <v>40572</v>
      </c>
      <c r="C623" s="18">
        <v>1</v>
      </c>
      <c r="D623" s="18">
        <v>0</v>
      </c>
      <c r="E623" s="18">
        <v>1</v>
      </c>
      <c r="F623" s="18">
        <v>2</v>
      </c>
      <c r="G623" s="18" t="b">
        <v>0</v>
      </c>
      <c r="H623" s="18">
        <v>6</v>
      </c>
      <c r="I623" s="18">
        <v>1</v>
      </c>
      <c r="J623" s="18">
        <v>0.22</v>
      </c>
      <c r="K623">
        <v>0.2273</v>
      </c>
      <c r="L623">
        <v>0.64</v>
      </c>
      <c r="M623" s="18">
        <v>0.16420000000000001</v>
      </c>
      <c r="N623" s="18">
        <v>0</v>
      </c>
      <c r="O623" s="18">
        <v>15</v>
      </c>
      <c r="P623">
        <v>15</v>
      </c>
      <c r="Q623" s="18" t="s">
        <v>34</v>
      </c>
      <c r="R623" s="18" t="s">
        <v>35</v>
      </c>
      <c r="S623" s="18" t="s">
        <v>36</v>
      </c>
      <c r="T623" s="18" t="s">
        <v>37</v>
      </c>
      <c r="U623" s="18">
        <v>2011</v>
      </c>
      <c r="V623" s="16">
        <f t="shared" si="18"/>
        <v>40587</v>
      </c>
      <c r="W623" s="18" t="str">
        <f t="shared" si="19"/>
        <v>Weedend</v>
      </c>
    </row>
    <row r="624" spans="1:23" x14ac:dyDescent="0.25">
      <c r="A624" s="19">
        <v>622</v>
      </c>
      <c r="B624" s="20">
        <v>40572</v>
      </c>
      <c r="C624" s="18">
        <v>1</v>
      </c>
      <c r="D624" s="18">
        <v>0</v>
      </c>
      <c r="E624" s="18">
        <v>1</v>
      </c>
      <c r="F624" s="18">
        <v>3</v>
      </c>
      <c r="G624" s="18" t="b">
        <v>0</v>
      </c>
      <c r="H624" s="18">
        <v>6</v>
      </c>
      <c r="I624" s="18">
        <v>1</v>
      </c>
      <c r="J624" s="18">
        <v>0.2</v>
      </c>
      <c r="K624">
        <v>0.21210000000000001</v>
      </c>
      <c r="L624">
        <v>0.64</v>
      </c>
      <c r="M624" s="18">
        <v>0.1343</v>
      </c>
      <c r="N624" s="18">
        <v>3</v>
      </c>
      <c r="O624" s="18">
        <v>5</v>
      </c>
      <c r="P624">
        <v>8</v>
      </c>
      <c r="Q624" s="18" t="s">
        <v>34</v>
      </c>
      <c r="R624" s="18" t="s">
        <v>35</v>
      </c>
      <c r="S624" s="18" t="s">
        <v>36</v>
      </c>
      <c r="T624" s="18" t="s">
        <v>37</v>
      </c>
      <c r="U624" s="18">
        <v>2011</v>
      </c>
      <c r="V624" s="16">
        <f t="shared" si="18"/>
        <v>40587</v>
      </c>
      <c r="W624" s="18" t="str">
        <f t="shared" si="19"/>
        <v>Weedend</v>
      </c>
    </row>
    <row r="625" spans="1:23" x14ac:dyDescent="0.25">
      <c r="A625" s="19">
        <v>623</v>
      </c>
      <c r="B625" s="20">
        <v>40572</v>
      </c>
      <c r="C625" s="18">
        <v>1</v>
      </c>
      <c r="D625" s="18">
        <v>0</v>
      </c>
      <c r="E625" s="18">
        <v>1</v>
      </c>
      <c r="F625" s="18">
        <v>4</v>
      </c>
      <c r="G625" s="18" t="b">
        <v>0</v>
      </c>
      <c r="H625" s="18">
        <v>6</v>
      </c>
      <c r="I625" s="18">
        <v>1</v>
      </c>
      <c r="J625" s="18">
        <v>0.16</v>
      </c>
      <c r="K625">
        <v>0.18179999999999999</v>
      </c>
      <c r="L625">
        <v>0.69</v>
      </c>
      <c r="M625" s="18">
        <v>0.1045</v>
      </c>
      <c r="N625" s="18">
        <v>1</v>
      </c>
      <c r="O625" s="18">
        <v>2</v>
      </c>
      <c r="P625">
        <v>3</v>
      </c>
      <c r="Q625" s="18" t="s">
        <v>34</v>
      </c>
      <c r="R625" s="18" t="s">
        <v>35</v>
      </c>
      <c r="S625" s="18" t="s">
        <v>36</v>
      </c>
      <c r="T625" s="18" t="s">
        <v>37</v>
      </c>
      <c r="U625" s="18">
        <v>2011</v>
      </c>
      <c r="V625" s="16">
        <f t="shared" si="18"/>
        <v>40587</v>
      </c>
      <c r="W625" s="18" t="str">
        <f t="shared" si="19"/>
        <v>Weedend</v>
      </c>
    </row>
    <row r="626" spans="1:23" x14ac:dyDescent="0.25">
      <c r="A626" s="19">
        <v>624</v>
      </c>
      <c r="B626" s="20">
        <v>40572</v>
      </c>
      <c r="C626" s="18">
        <v>1</v>
      </c>
      <c r="D626" s="18">
        <v>0</v>
      </c>
      <c r="E626" s="18">
        <v>1</v>
      </c>
      <c r="F626" s="18">
        <v>6</v>
      </c>
      <c r="G626" s="18" t="b">
        <v>0</v>
      </c>
      <c r="H626" s="18">
        <v>6</v>
      </c>
      <c r="I626" s="18">
        <v>1</v>
      </c>
      <c r="J626" s="18">
        <v>0.16</v>
      </c>
      <c r="K626">
        <v>0.18179999999999999</v>
      </c>
      <c r="L626">
        <v>0.64</v>
      </c>
      <c r="M626" s="18">
        <v>0.1343</v>
      </c>
      <c r="N626" s="18">
        <v>0</v>
      </c>
      <c r="O626" s="18">
        <v>2</v>
      </c>
      <c r="P626">
        <v>2</v>
      </c>
      <c r="Q626" s="18" t="s">
        <v>34</v>
      </c>
      <c r="R626" s="18" t="s">
        <v>35</v>
      </c>
      <c r="S626" s="18" t="s">
        <v>36</v>
      </c>
      <c r="T626" s="18" t="s">
        <v>37</v>
      </c>
      <c r="U626" s="18">
        <v>2011</v>
      </c>
      <c r="V626" s="16">
        <f t="shared" si="18"/>
        <v>40587</v>
      </c>
      <c r="W626" s="18" t="str">
        <f t="shared" si="19"/>
        <v>Weedend</v>
      </c>
    </row>
    <row r="627" spans="1:23" x14ac:dyDescent="0.25">
      <c r="A627" s="19">
        <v>625</v>
      </c>
      <c r="B627" s="20">
        <v>40572</v>
      </c>
      <c r="C627" s="18">
        <v>1</v>
      </c>
      <c r="D627" s="18">
        <v>0</v>
      </c>
      <c r="E627" s="18">
        <v>1</v>
      </c>
      <c r="F627" s="18">
        <v>7</v>
      </c>
      <c r="G627" s="18" t="b">
        <v>0</v>
      </c>
      <c r="H627" s="18">
        <v>6</v>
      </c>
      <c r="I627" s="18">
        <v>1</v>
      </c>
      <c r="J627" s="18">
        <v>0.16</v>
      </c>
      <c r="K627">
        <v>0.18179999999999999</v>
      </c>
      <c r="L627">
        <v>0.59</v>
      </c>
      <c r="M627" s="18">
        <v>0.1045</v>
      </c>
      <c r="N627" s="18">
        <v>1</v>
      </c>
      <c r="O627" s="18">
        <v>4</v>
      </c>
      <c r="P627">
        <v>5</v>
      </c>
      <c r="Q627" s="18" t="s">
        <v>34</v>
      </c>
      <c r="R627" s="18" t="s">
        <v>35</v>
      </c>
      <c r="S627" s="18" t="s">
        <v>36</v>
      </c>
      <c r="T627" s="18" t="s">
        <v>37</v>
      </c>
      <c r="U627" s="18">
        <v>2011</v>
      </c>
      <c r="V627" s="16">
        <f t="shared" si="18"/>
        <v>40587</v>
      </c>
      <c r="W627" s="18" t="str">
        <f t="shared" si="19"/>
        <v>Weedend</v>
      </c>
    </row>
    <row r="628" spans="1:23" x14ac:dyDescent="0.25">
      <c r="A628" s="19">
        <v>626</v>
      </c>
      <c r="B628" s="20">
        <v>40572</v>
      </c>
      <c r="C628" s="18">
        <v>1</v>
      </c>
      <c r="D628" s="18">
        <v>0</v>
      </c>
      <c r="E628" s="18">
        <v>1</v>
      </c>
      <c r="F628" s="18">
        <v>8</v>
      </c>
      <c r="G628" s="18" t="b">
        <v>0</v>
      </c>
      <c r="H628" s="18">
        <v>6</v>
      </c>
      <c r="I628" s="18">
        <v>1</v>
      </c>
      <c r="J628" s="18">
        <v>0.18</v>
      </c>
      <c r="K628">
        <v>0.19700000000000001</v>
      </c>
      <c r="L628">
        <v>0.55000000000000004</v>
      </c>
      <c r="M628" s="18">
        <v>0.16420000000000001</v>
      </c>
      <c r="N628" s="18">
        <v>3</v>
      </c>
      <c r="O628" s="18">
        <v>31</v>
      </c>
      <c r="P628">
        <v>34</v>
      </c>
      <c r="Q628" s="18" t="s">
        <v>34</v>
      </c>
      <c r="R628" s="18" t="s">
        <v>35</v>
      </c>
      <c r="S628" s="18" t="s">
        <v>36</v>
      </c>
      <c r="T628" s="18" t="s">
        <v>37</v>
      </c>
      <c r="U628" s="18">
        <v>2011</v>
      </c>
      <c r="V628" s="16">
        <f t="shared" si="18"/>
        <v>40587</v>
      </c>
      <c r="W628" s="18" t="str">
        <f t="shared" si="19"/>
        <v>Weedend</v>
      </c>
    </row>
    <row r="629" spans="1:23" x14ac:dyDescent="0.25">
      <c r="A629" s="19">
        <v>627</v>
      </c>
      <c r="B629" s="20">
        <v>40572</v>
      </c>
      <c r="C629" s="18">
        <v>1</v>
      </c>
      <c r="D629" s="18">
        <v>0</v>
      </c>
      <c r="E629" s="18">
        <v>1</v>
      </c>
      <c r="F629" s="18">
        <v>9</v>
      </c>
      <c r="G629" s="18" t="b">
        <v>0</v>
      </c>
      <c r="H629" s="18">
        <v>6</v>
      </c>
      <c r="I629" s="18">
        <v>1</v>
      </c>
      <c r="J629" s="18">
        <v>0.18</v>
      </c>
      <c r="K629">
        <v>0.21210000000000001</v>
      </c>
      <c r="L629">
        <v>0.59</v>
      </c>
      <c r="M629" s="18">
        <v>8.9599999999999999E-2</v>
      </c>
      <c r="N629" s="18">
        <v>0</v>
      </c>
      <c r="O629" s="18">
        <v>34</v>
      </c>
      <c r="P629">
        <v>34</v>
      </c>
      <c r="Q629" s="18" t="s">
        <v>34</v>
      </c>
      <c r="R629" s="18" t="s">
        <v>35</v>
      </c>
      <c r="S629" s="18" t="s">
        <v>36</v>
      </c>
      <c r="T629" s="18" t="s">
        <v>37</v>
      </c>
      <c r="U629" s="18">
        <v>2011</v>
      </c>
      <c r="V629" s="16">
        <f t="shared" si="18"/>
        <v>40587</v>
      </c>
      <c r="W629" s="18" t="str">
        <f t="shared" si="19"/>
        <v>Weedend</v>
      </c>
    </row>
    <row r="630" spans="1:23" x14ac:dyDescent="0.25">
      <c r="A630" s="19">
        <v>628</v>
      </c>
      <c r="B630" s="20">
        <v>40572</v>
      </c>
      <c r="C630" s="18">
        <v>1</v>
      </c>
      <c r="D630" s="18">
        <v>0</v>
      </c>
      <c r="E630" s="18">
        <v>1</v>
      </c>
      <c r="F630" s="18">
        <v>10</v>
      </c>
      <c r="G630" s="18" t="b">
        <v>0</v>
      </c>
      <c r="H630" s="18">
        <v>6</v>
      </c>
      <c r="I630" s="18">
        <v>2</v>
      </c>
      <c r="J630" s="18">
        <v>0.18</v>
      </c>
      <c r="K630">
        <v>0.21210000000000001</v>
      </c>
      <c r="L630">
        <v>0.64</v>
      </c>
      <c r="M630" s="18">
        <v>0.1045</v>
      </c>
      <c r="N630" s="18">
        <v>4</v>
      </c>
      <c r="O630" s="18">
        <v>51</v>
      </c>
      <c r="P630">
        <v>55</v>
      </c>
      <c r="Q630" s="18" t="s">
        <v>34</v>
      </c>
      <c r="R630" s="18" t="s">
        <v>35</v>
      </c>
      <c r="S630" s="18" t="s">
        <v>38</v>
      </c>
      <c r="T630" s="18" t="s">
        <v>37</v>
      </c>
      <c r="U630" s="18">
        <v>2011</v>
      </c>
      <c r="V630" s="16">
        <f t="shared" si="18"/>
        <v>40587</v>
      </c>
      <c r="W630" s="18" t="str">
        <f t="shared" si="19"/>
        <v>Weedend</v>
      </c>
    </row>
    <row r="631" spans="1:23" x14ac:dyDescent="0.25">
      <c r="A631" s="19">
        <v>629</v>
      </c>
      <c r="B631" s="20">
        <v>40572</v>
      </c>
      <c r="C631" s="18">
        <v>1</v>
      </c>
      <c r="D631" s="18">
        <v>0</v>
      </c>
      <c r="E631" s="18">
        <v>1</v>
      </c>
      <c r="F631" s="18">
        <v>11</v>
      </c>
      <c r="G631" s="18" t="b">
        <v>0</v>
      </c>
      <c r="H631" s="18">
        <v>6</v>
      </c>
      <c r="I631" s="18">
        <v>2</v>
      </c>
      <c r="J631" s="18">
        <v>0.18</v>
      </c>
      <c r="K631">
        <v>0.19700000000000001</v>
      </c>
      <c r="L631">
        <v>0.64</v>
      </c>
      <c r="M631" s="18">
        <v>0.1343</v>
      </c>
      <c r="N631" s="18">
        <v>4</v>
      </c>
      <c r="O631" s="18">
        <v>60</v>
      </c>
      <c r="P631">
        <v>64</v>
      </c>
      <c r="Q631" s="18" t="s">
        <v>34</v>
      </c>
      <c r="R631" s="18" t="s">
        <v>35</v>
      </c>
      <c r="S631" s="18" t="s">
        <v>38</v>
      </c>
      <c r="T631" s="18" t="s">
        <v>37</v>
      </c>
      <c r="U631" s="18">
        <v>2011</v>
      </c>
      <c r="V631" s="16">
        <f t="shared" si="18"/>
        <v>40587</v>
      </c>
      <c r="W631" s="18" t="str">
        <f t="shared" si="19"/>
        <v>Weedend</v>
      </c>
    </row>
    <row r="632" spans="1:23" x14ac:dyDescent="0.25">
      <c r="A632" s="19">
        <v>630</v>
      </c>
      <c r="B632" s="20">
        <v>40572</v>
      </c>
      <c r="C632" s="18">
        <v>1</v>
      </c>
      <c r="D632" s="18">
        <v>0</v>
      </c>
      <c r="E632" s="18">
        <v>1</v>
      </c>
      <c r="F632" s="18">
        <v>12</v>
      </c>
      <c r="G632" s="18" t="b">
        <v>0</v>
      </c>
      <c r="H632" s="18">
        <v>6</v>
      </c>
      <c r="I632" s="18">
        <v>2</v>
      </c>
      <c r="J632" s="18">
        <v>0.2</v>
      </c>
      <c r="K632">
        <v>0.19700000000000001</v>
      </c>
      <c r="L632">
        <v>0.59</v>
      </c>
      <c r="M632" s="18">
        <v>0.19400000000000001</v>
      </c>
      <c r="N632" s="18">
        <v>12</v>
      </c>
      <c r="O632" s="18">
        <v>66</v>
      </c>
      <c r="P632">
        <v>78</v>
      </c>
      <c r="Q632" s="18" t="s">
        <v>34</v>
      </c>
      <c r="R632" s="18" t="s">
        <v>35</v>
      </c>
      <c r="S632" s="18" t="s">
        <v>38</v>
      </c>
      <c r="T632" s="18" t="s">
        <v>37</v>
      </c>
      <c r="U632" s="18">
        <v>2011</v>
      </c>
      <c r="V632" s="16">
        <f t="shared" si="18"/>
        <v>40587</v>
      </c>
      <c r="W632" s="18" t="str">
        <f t="shared" si="19"/>
        <v>Weedend</v>
      </c>
    </row>
    <row r="633" spans="1:23" x14ac:dyDescent="0.25">
      <c r="A633" s="19">
        <v>631</v>
      </c>
      <c r="B633" s="20">
        <v>40572</v>
      </c>
      <c r="C633" s="18">
        <v>1</v>
      </c>
      <c r="D633" s="18">
        <v>0</v>
      </c>
      <c r="E633" s="18">
        <v>1</v>
      </c>
      <c r="F633" s="18">
        <v>13</v>
      </c>
      <c r="G633" s="18" t="b">
        <v>0</v>
      </c>
      <c r="H633" s="18">
        <v>6</v>
      </c>
      <c r="I633" s="18">
        <v>2</v>
      </c>
      <c r="J633" s="18">
        <v>0.22</v>
      </c>
      <c r="K633">
        <v>0.2273</v>
      </c>
      <c r="L633">
        <v>0.55000000000000004</v>
      </c>
      <c r="M633" s="18">
        <v>0.16420000000000001</v>
      </c>
      <c r="N633" s="18">
        <v>9</v>
      </c>
      <c r="O633" s="18">
        <v>56</v>
      </c>
      <c r="P633">
        <v>65</v>
      </c>
      <c r="Q633" s="18" t="s">
        <v>34</v>
      </c>
      <c r="R633" s="18" t="s">
        <v>35</v>
      </c>
      <c r="S633" s="18" t="s">
        <v>38</v>
      </c>
      <c r="T633" s="18" t="s">
        <v>37</v>
      </c>
      <c r="U633" s="18">
        <v>2011</v>
      </c>
      <c r="V633" s="16">
        <f t="shared" si="18"/>
        <v>40587</v>
      </c>
      <c r="W633" s="18" t="str">
        <f t="shared" si="19"/>
        <v>Weedend</v>
      </c>
    </row>
    <row r="634" spans="1:23" x14ac:dyDescent="0.25">
      <c r="A634" s="19">
        <v>632</v>
      </c>
      <c r="B634" s="20">
        <v>40572</v>
      </c>
      <c r="C634" s="18">
        <v>1</v>
      </c>
      <c r="D634" s="18">
        <v>0</v>
      </c>
      <c r="E634" s="18">
        <v>1</v>
      </c>
      <c r="F634" s="18">
        <v>14</v>
      </c>
      <c r="G634" s="18" t="b">
        <v>0</v>
      </c>
      <c r="H634" s="18">
        <v>6</v>
      </c>
      <c r="I634" s="18">
        <v>2</v>
      </c>
      <c r="J634" s="18">
        <v>0.22</v>
      </c>
      <c r="K634">
        <v>0.2273</v>
      </c>
      <c r="L634">
        <v>0.6</v>
      </c>
      <c r="M634" s="18">
        <v>0.1343</v>
      </c>
      <c r="N634" s="18">
        <v>10</v>
      </c>
      <c r="O634" s="18">
        <v>89</v>
      </c>
      <c r="P634">
        <v>99</v>
      </c>
      <c r="Q634" s="18" t="s">
        <v>34</v>
      </c>
      <c r="R634" s="18" t="s">
        <v>35</v>
      </c>
      <c r="S634" s="18" t="s">
        <v>38</v>
      </c>
      <c r="T634" s="18" t="s">
        <v>37</v>
      </c>
      <c r="U634" s="18">
        <v>2011</v>
      </c>
      <c r="V634" s="16">
        <f t="shared" si="18"/>
        <v>40587</v>
      </c>
      <c r="W634" s="18" t="str">
        <f t="shared" si="19"/>
        <v>Weedend</v>
      </c>
    </row>
    <row r="635" spans="1:23" x14ac:dyDescent="0.25">
      <c r="A635" s="19">
        <v>633</v>
      </c>
      <c r="B635" s="20">
        <v>40572</v>
      </c>
      <c r="C635" s="18">
        <v>1</v>
      </c>
      <c r="D635" s="18">
        <v>0</v>
      </c>
      <c r="E635" s="18">
        <v>1</v>
      </c>
      <c r="F635" s="18">
        <v>15</v>
      </c>
      <c r="G635" s="18" t="b">
        <v>0</v>
      </c>
      <c r="H635" s="18">
        <v>6</v>
      </c>
      <c r="I635" s="18">
        <v>1</v>
      </c>
      <c r="J635" s="18">
        <v>0.22</v>
      </c>
      <c r="K635">
        <v>0.21210000000000001</v>
      </c>
      <c r="L635">
        <v>0.69</v>
      </c>
      <c r="M635" s="18">
        <v>0.25369999999999998</v>
      </c>
      <c r="N635" s="18">
        <v>22</v>
      </c>
      <c r="O635" s="18">
        <v>98</v>
      </c>
      <c r="P635">
        <v>120</v>
      </c>
      <c r="Q635" s="18" t="s">
        <v>34</v>
      </c>
      <c r="R635" s="18" t="s">
        <v>35</v>
      </c>
      <c r="S635" s="18" t="s">
        <v>36</v>
      </c>
      <c r="T635" s="18" t="s">
        <v>37</v>
      </c>
      <c r="U635" s="18">
        <v>2011</v>
      </c>
      <c r="V635" s="16">
        <f t="shared" si="18"/>
        <v>40587</v>
      </c>
      <c r="W635" s="18" t="str">
        <f t="shared" si="19"/>
        <v>Weedend</v>
      </c>
    </row>
    <row r="636" spans="1:23" x14ac:dyDescent="0.25">
      <c r="A636" s="19">
        <v>634</v>
      </c>
      <c r="B636" s="20">
        <v>40572</v>
      </c>
      <c r="C636" s="18">
        <v>1</v>
      </c>
      <c r="D636" s="18">
        <v>0</v>
      </c>
      <c r="E636" s="18">
        <v>1</v>
      </c>
      <c r="F636" s="18">
        <v>16</v>
      </c>
      <c r="G636" s="18" t="b">
        <v>0</v>
      </c>
      <c r="H636" s="18">
        <v>6</v>
      </c>
      <c r="I636" s="18">
        <v>1</v>
      </c>
      <c r="J636" s="18">
        <v>0.24</v>
      </c>
      <c r="K636">
        <v>0.2424</v>
      </c>
      <c r="L636">
        <v>0.6</v>
      </c>
      <c r="M636" s="18">
        <v>0.16420000000000001</v>
      </c>
      <c r="N636" s="18">
        <v>19</v>
      </c>
      <c r="O636" s="18">
        <v>88</v>
      </c>
      <c r="P636">
        <v>107</v>
      </c>
      <c r="Q636" s="18" t="s">
        <v>34</v>
      </c>
      <c r="R636" s="18" t="s">
        <v>35</v>
      </c>
      <c r="S636" s="18" t="s">
        <v>36</v>
      </c>
      <c r="T636" s="18" t="s">
        <v>37</v>
      </c>
      <c r="U636" s="18">
        <v>2011</v>
      </c>
      <c r="V636" s="16">
        <f t="shared" si="18"/>
        <v>40587</v>
      </c>
      <c r="W636" s="18" t="str">
        <f t="shared" si="19"/>
        <v>Weedend</v>
      </c>
    </row>
    <row r="637" spans="1:23" x14ac:dyDescent="0.25">
      <c r="A637" s="19">
        <v>635</v>
      </c>
      <c r="B637" s="20">
        <v>40572</v>
      </c>
      <c r="C637" s="18">
        <v>1</v>
      </c>
      <c r="D637" s="18">
        <v>0</v>
      </c>
      <c r="E637" s="18">
        <v>1</v>
      </c>
      <c r="F637" s="18">
        <v>17</v>
      </c>
      <c r="G637" s="18" t="b">
        <v>0</v>
      </c>
      <c r="H637" s="18">
        <v>6</v>
      </c>
      <c r="I637" s="18">
        <v>1</v>
      </c>
      <c r="J637" s="18">
        <v>0.24</v>
      </c>
      <c r="K637">
        <v>0.28789999999999999</v>
      </c>
      <c r="L637">
        <v>0.6</v>
      </c>
      <c r="M637" s="18">
        <v>0</v>
      </c>
      <c r="N637" s="18">
        <v>9</v>
      </c>
      <c r="O637" s="18">
        <v>82</v>
      </c>
      <c r="P637">
        <v>91</v>
      </c>
      <c r="Q637" s="18" t="s">
        <v>34</v>
      </c>
      <c r="R637" s="18" t="s">
        <v>35</v>
      </c>
      <c r="S637" s="18" t="s">
        <v>36</v>
      </c>
      <c r="T637" s="18" t="s">
        <v>37</v>
      </c>
      <c r="U637" s="18">
        <v>2011</v>
      </c>
      <c r="V637" s="16">
        <f t="shared" si="18"/>
        <v>40587</v>
      </c>
      <c r="W637" s="18" t="str">
        <f t="shared" si="19"/>
        <v>Weedend</v>
      </c>
    </row>
    <row r="638" spans="1:23" x14ac:dyDescent="0.25">
      <c r="A638" s="19">
        <v>636</v>
      </c>
      <c r="B638" s="20">
        <v>40572</v>
      </c>
      <c r="C638" s="18">
        <v>1</v>
      </c>
      <c r="D638" s="18">
        <v>0</v>
      </c>
      <c r="E638" s="18">
        <v>1</v>
      </c>
      <c r="F638" s="18">
        <v>18</v>
      </c>
      <c r="G638" s="18" t="b">
        <v>0</v>
      </c>
      <c r="H638" s="18">
        <v>6</v>
      </c>
      <c r="I638" s="18">
        <v>1</v>
      </c>
      <c r="J638" s="18">
        <v>0.22</v>
      </c>
      <c r="K638">
        <v>0.2273</v>
      </c>
      <c r="L638">
        <v>0.69</v>
      </c>
      <c r="M638" s="18">
        <v>0.1343</v>
      </c>
      <c r="N638" s="18">
        <v>9</v>
      </c>
      <c r="O638" s="18">
        <v>59</v>
      </c>
      <c r="P638">
        <v>68</v>
      </c>
      <c r="Q638" s="18" t="s">
        <v>34</v>
      </c>
      <c r="R638" s="18" t="s">
        <v>35</v>
      </c>
      <c r="S638" s="18" t="s">
        <v>36</v>
      </c>
      <c r="T638" s="18" t="s">
        <v>37</v>
      </c>
      <c r="U638" s="18">
        <v>2011</v>
      </c>
      <c r="V638" s="16">
        <f t="shared" si="18"/>
        <v>40587</v>
      </c>
      <c r="W638" s="18" t="str">
        <f t="shared" si="19"/>
        <v>Weedend</v>
      </c>
    </row>
    <row r="639" spans="1:23" x14ac:dyDescent="0.25">
      <c r="A639" s="19">
        <v>637</v>
      </c>
      <c r="B639" s="20">
        <v>40572</v>
      </c>
      <c r="C639" s="18">
        <v>1</v>
      </c>
      <c r="D639" s="18">
        <v>0</v>
      </c>
      <c r="E639" s="18">
        <v>1</v>
      </c>
      <c r="F639" s="18">
        <v>19</v>
      </c>
      <c r="G639" s="18" t="b">
        <v>0</v>
      </c>
      <c r="H639" s="18">
        <v>6</v>
      </c>
      <c r="I639" s="18">
        <v>2</v>
      </c>
      <c r="J639" s="18">
        <v>0.22</v>
      </c>
      <c r="K639">
        <v>0.21210000000000001</v>
      </c>
      <c r="L639">
        <v>0.69</v>
      </c>
      <c r="M639" s="18">
        <v>0.25369999999999998</v>
      </c>
      <c r="N639" s="18">
        <v>6</v>
      </c>
      <c r="O639" s="18">
        <v>52</v>
      </c>
      <c r="P639">
        <v>58</v>
      </c>
      <c r="Q639" s="18" t="s">
        <v>34</v>
      </c>
      <c r="R639" s="18" t="s">
        <v>35</v>
      </c>
      <c r="S639" s="18" t="s">
        <v>38</v>
      </c>
      <c r="T639" s="18" t="s">
        <v>37</v>
      </c>
      <c r="U639" s="18">
        <v>2011</v>
      </c>
      <c r="V639" s="16">
        <f t="shared" si="18"/>
        <v>40587</v>
      </c>
      <c r="W639" s="18" t="str">
        <f t="shared" si="19"/>
        <v>Weedend</v>
      </c>
    </row>
    <row r="640" spans="1:23" x14ac:dyDescent="0.25">
      <c r="A640" s="19">
        <v>638</v>
      </c>
      <c r="B640" s="20">
        <v>40572</v>
      </c>
      <c r="C640" s="18">
        <v>1</v>
      </c>
      <c r="D640" s="18">
        <v>0</v>
      </c>
      <c r="E640" s="18">
        <v>1</v>
      </c>
      <c r="F640" s="18">
        <v>20</v>
      </c>
      <c r="G640" s="18" t="b">
        <v>0</v>
      </c>
      <c r="H640" s="18">
        <v>6</v>
      </c>
      <c r="I640" s="18">
        <v>1</v>
      </c>
      <c r="J640" s="18">
        <v>0.18</v>
      </c>
      <c r="K640">
        <v>0.21210000000000001</v>
      </c>
      <c r="L640">
        <v>0.74</v>
      </c>
      <c r="M640" s="18">
        <v>8.9599999999999999E-2</v>
      </c>
      <c r="N640" s="18">
        <v>1</v>
      </c>
      <c r="O640" s="18">
        <v>42</v>
      </c>
      <c r="P640">
        <v>43</v>
      </c>
      <c r="Q640" s="18" t="s">
        <v>34</v>
      </c>
      <c r="R640" s="18" t="s">
        <v>35</v>
      </c>
      <c r="S640" s="18" t="s">
        <v>36</v>
      </c>
      <c r="T640" s="18" t="s">
        <v>37</v>
      </c>
      <c r="U640" s="18">
        <v>2011</v>
      </c>
      <c r="V640" s="16">
        <f t="shared" si="18"/>
        <v>40587</v>
      </c>
      <c r="W640" s="18" t="str">
        <f t="shared" si="19"/>
        <v>Weedend</v>
      </c>
    </row>
    <row r="641" spans="1:23" x14ac:dyDescent="0.25">
      <c r="A641" s="19">
        <v>639</v>
      </c>
      <c r="B641" s="20">
        <v>40572</v>
      </c>
      <c r="C641" s="18">
        <v>1</v>
      </c>
      <c r="D641" s="18">
        <v>0</v>
      </c>
      <c r="E641" s="18">
        <v>1</v>
      </c>
      <c r="F641" s="18">
        <v>21</v>
      </c>
      <c r="G641" s="18" t="b">
        <v>0</v>
      </c>
      <c r="H641" s="18">
        <v>6</v>
      </c>
      <c r="I641" s="18">
        <v>1</v>
      </c>
      <c r="J641" s="18">
        <v>0.18</v>
      </c>
      <c r="K641">
        <v>0.21210000000000001</v>
      </c>
      <c r="L641">
        <v>0.74</v>
      </c>
      <c r="M641" s="18">
        <v>8.9599999999999999E-2</v>
      </c>
      <c r="N641" s="18">
        <v>1</v>
      </c>
      <c r="O641" s="18">
        <v>35</v>
      </c>
      <c r="P641">
        <v>36</v>
      </c>
      <c r="Q641" s="18" t="s">
        <v>34</v>
      </c>
      <c r="R641" s="18" t="s">
        <v>35</v>
      </c>
      <c r="S641" s="18" t="s">
        <v>36</v>
      </c>
      <c r="T641" s="18" t="s">
        <v>37</v>
      </c>
      <c r="U641" s="18">
        <v>2011</v>
      </c>
      <c r="V641" s="16">
        <f t="shared" si="18"/>
        <v>40587</v>
      </c>
      <c r="W641" s="18" t="str">
        <f t="shared" si="19"/>
        <v>Weedend</v>
      </c>
    </row>
    <row r="642" spans="1:23" x14ac:dyDescent="0.25">
      <c r="A642" s="19">
        <v>640</v>
      </c>
      <c r="B642" s="20">
        <v>40572</v>
      </c>
      <c r="C642" s="18">
        <v>1</v>
      </c>
      <c r="D642" s="18">
        <v>0</v>
      </c>
      <c r="E642" s="18">
        <v>1</v>
      </c>
      <c r="F642" s="18">
        <v>22</v>
      </c>
      <c r="G642" s="18" t="b">
        <v>0</v>
      </c>
      <c r="H642" s="18">
        <v>6</v>
      </c>
      <c r="I642" s="18">
        <v>1</v>
      </c>
      <c r="J642" s="18">
        <v>0.16</v>
      </c>
      <c r="K642">
        <v>0.19700000000000001</v>
      </c>
      <c r="L642">
        <v>0.8</v>
      </c>
      <c r="M642" s="18">
        <v>8.9599999999999999E-2</v>
      </c>
      <c r="N642" s="18">
        <v>4</v>
      </c>
      <c r="O642" s="18">
        <v>28</v>
      </c>
      <c r="P642">
        <v>32</v>
      </c>
      <c r="Q642" s="18" t="s">
        <v>34</v>
      </c>
      <c r="R642" s="18" t="s">
        <v>35</v>
      </c>
      <c r="S642" s="18" t="s">
        <v>36</v>
      </c>
      <c r="T642" s="18" t="s">
        <v>37</v>
      </c>
      <c r="U642" s="18">
        <v>2011</v>
      </c>
      <c r="V642" s="16">
        <f t="shared" si="18"/>
        <v>40587</v>
      </c>
      <c r="W642" s="18" t="str">
        <f t="shared" si="19"/>
        <v>Weedend</v>
      </c>
    </row>
    <row r="643" spans="1:23" x14ac:dyDescent="0.25">
      <c r="A643" s="19">
        <v>641</v>
      </c>
      <c r="B643" s="20">
        <v>40572</v>
      </c>
      <c r="C643" s="18">
        <v>1</v>
      </c>
      <c r="D643" s="18">
        <v>0</v>
      </c>
      <c r="E643" s="18">
        <v>1</v>
      </c>
      <c r="F643" s="18">
        <v>23</v>
      </c>
      <c r="G643" s="18" t="b">
        <v>0</v>
      </c>
      <c r="H643" s="18">
        <v>6</v>
      </c>
      <c r="I643" s="18">
        <v>1</v>
      </c>
      <c r="J643" s="18">
        <v>0.16</v>
      </c>
      <c r="K643">
        <v>0.19700000000000001</v>
      </c>
      <c r="L643">
        <v>0.8</v>
      </c>
      <c r="M643" s="18">
        <v>8.9599999999999999E-2</v>
      </c>
      <c r="N643" s="18">
        <v>3</v>
      </c>
      <c r="O643" s="18">
        <v>30</v>
      </c>
      <c r="P643">
        <v>33</v>
      </c>
      <c r="Q643" s="18" t="s">
        <v>34</v>
      </c>
      <c r="R643" s="18" t="s">
        <v>35</v>
      </c>
      <c r="S643" s="18" t="s">
        <v>36</v>
      </c>
      <c r="T643" s="18" t="s">
        <v>37</v>
      </c>
      <c r="U643" s="18">
        <v>2011</v>
      </c>
      <c r="V643" s="16">
        <f t="shared" ref="V643:V706" si="20">INDEX(B643:B1641,MATCH(MAX(K643:K1641),K643:K1641,0))</f>
        <v>40587</v>
      </c>
      <c r="W643" s="18" t="str">
        <f t="shared" ref="W643:W706" si="21">IF(G643=TRUE,"Holiday",IF(OR(H643=0,H643=6),"Weedend","Weekday"))</f>
        <v>Weedend</v>
      </c>
    </row>
    <row r="644" spans="1:23" x14ac:dyDescent="0.25">
      <c r="A644" s="19">
        <v>642</v>
      </c>
      <c r="B644" s="20">
        <v>40573</v>
      </c>
      <c r="C644" s="18">
        <v>1</v>
      </c>
      <c r="D644" s="18">
        <v>0</v>
      </c>
      <c r="E644" s="18">
        <v>1</v>
      </c>
      <c r="F644" s="18">
        <v>0</v>
      </c>
      <c r="G644" s="18" t="b">
        <v>0</v>
      </c>
      <c r="H644" s="18">
        <v>0</v>
      </c>
      <c r="I644" s="18">
        <v>1</v>
      </c>
      <c r="J644" s="18">
        <v>0.16</v>
      </c>
      <c r="K644">
        <v>0.18179999999999999</v>
      </c>
      <c r="L644">
        <v>0.8</v>
      </c>
      <c r="M644" s="18">
        <v>0.1045</v>
      </c>
      <c r="N644" s="18">
        <v>0</v>
      </c>
      <c r="O644" s="18">
        <v>33</v>
      </c>
      <c r="P644">
        <v>33</v>
      </c>
      <c r="Q644" s="18" t="s">
        <v>34</v>
      </c>
      <c r="R644" s="18" t="s">
        <v>35</v>
      </c>
      <c r="S644" s="18" t="s">
        <v>36</v>
      </c>
      <c r="T644" s="18" t="s">
        <v>40</v>
      </c>
      <c r="U644" s="18">
        <v>2011</v>
      </c>
      <c r="V644" s="16">
        <f t="shared" si="20"/>
        <v>40587</v>
      </c>
      <c r="W644" s="18" t="str">
        <f t="shared" si="21"/>
        <v>Weedend</v>
      </c>
    </row>
    <row r="645" spans="1:23" x14ac:dyDescent="0.25">
      <c r="A645" s="19">
        <v>643</v>
      </c>
      <c r="B645" s="20">
        <v>40573</v>
      </c>
      <c r="C645" s="18">
        <v>1</v>
      </c>
      <c r="D645" s="18">
        <v>0</v>
      </c>
      <c r="E645" s="18">
        <v>1</v>
      </c>
      <c r="F645" s="18">
        <v>1</v>
      </c>
      <c r="G645" s="18" t="b">
        <v>0</v>
      </c>
      <c r="H645" s="18">
        <v>0</v>
      </c>
      <c r="I645" s="18">
        <v>1</v>
      </c>
      <c r="J645" s="18">
        <v>0.14000000000000001</v>
      </c>
      <c r="K645">
        <v>0.21210000000000001</v>
      </c>
      <c r="L645">
        <v>0.8</v>
      </c>
      <c r="M645" s="18">
        <v>0</v>
      </c>
      <c r="N645" s="18">
        <v>7</v>
      </c>
      <c r="O645" s="18">
        <v>22</v>
      </c>
      <c r="P645">
        <v>29</v>
      </c>
      <c r="Q645" s="18" t="s">
        <v>34</v>
      </c>
      <c r="R645" s="18" t="s">
        <v>35</v>
      </c>
      <c r="S645" s="18" t="s">
        <v>36</v>
      </c>
      <c r="T645" s="18" t="s">
        <v>40</v>
      </c>
      <c r="U645" s="18">
        <v>2011</v>
      </c>
      <c r="V645" s="16">
        <f t="shared" si="20"/>
        <v>40587</v>
      </c>
      <c r="W645" s="18" t="str">
        <f t="shared" si="21"/>
        <v>Weedend</v>
      </c>
    </row>
    <row r="646" spans="1:23" x14ac:dyDescent="0.25">
      <c r="A646" s="19">
        <v>644</v>
      </c>
      <c r="B646" s="20">
        <v>40573</v>
      </c>
      <c r="C646" s="18">
        <v>1</v>
      </c>
      <c r="D646" s="18">
        <v>0</v>
      </c>
      <c r="E646" s="18">
        <v>1</v>
      </c>
      <c r="F646" s="18">
        <v>2</v>
      </c>
      <c r="G646" s="18" t="b">
        <v>0</v>
      </c>
      <c r="H646" s="18">
        <v>0</v>
      </c>
      <c r="I646" s="18">
        <v>1</v>
      </c>
      <c r="J646" s="18">
        <v>0.16</v>
      </c>
      <c r="K646">
        <v>0.2273</v>
      </c>
      <c r="L646">
        <v>0.8</v>
      </c>
      <c r="M646" s="18">
        <v>0</v>
      </c>
      <c r="N646" s="18">
        <v>1</v>
      </c>
      <c r="O646" s="18">
        <v>10</v>
      </c>
      <c r="P646">
        <v>11</v>
      </c>
      <c r="Q646" s="18" t="s">
        <v>34</v>
      </c>
      <c r="R646" s="18" t="s">
        <v>35</v>
      </c>
      <c r="S646" s="18" t="s">
        <v>36</v>
      </c>
      <c r="T646" s="18" t="s">
        <v>40</v>
      </c>
      <c r="U646" s="18">
        <v>2011</v>
      </c>
      <c r="V646" s="16">
        <f t="shared" si="20"/>
        <v>40587</v>
      </c>
      <c r="W646" s="18" t="str">
        <f t="shared" si="21"/>
        <v>Weedend</v>
      </c>
    </row>
    <row r="647" spans="1:23" x14ac:dyDescent="0.25">
      <c r="A647" s="19">
        <v>645</v>
      </c>
      <c r="B647" s="20">
        <v>40573</v>
      </c>
      <c r="C647" s="18">
        <v>1</v>
      </c>
      <c r="D647" s="18">
        <v>0</v>
      </c>
      <c r="E647" s="18">
        <v>1</v>
      </c>
      <c r="F647" s="18">
        <v>3</v>
      </c>
      <c r="G647" s="18" t="b">
        <v>0</v>
      </c>
      <c r="H647" s="18">
        <v>0</v>
      </c>
      <c r="I647" s="18">
        <v>1</v>
      </c>
      <c r="J647" s="18">
        <v>0.14000000000000001</v>
      </c>
      <c r="K647">
        <v>0.21210000000000001</v>
      </c>
      <c r="L647">
        <v>0.93</v>
      </c>
      <c r="M647" s="18">
        <v>0</v>
      </c>
      <c r="N647" s="18">
        <v>1</v>
      </c>
      <c r="O647" s="18">
        <v>7</v>
      </c>
      <c r="P647">
        <v>8</v>
      </c>
      <c r="Q647" s="18" t="s">
        <v>34</v>
      </c>
      <c r="R647" s="18" t="s">
        <v>35</v>
      </c>
      <c r="S647" s="18" t="s">
        <v>36</v>
      </c>
      <c r="T647" s="18" t="s">
        <v>40</v>
      </c>
      <c r="U647" s="18">
        <v>2011</v>
      </c>
      <c r="V647" s="16">
        <f t="shared" si="20"/>
        <v>40587</v>
      </c>
      <c r="W647" s="18" t="str">
        <f t="shared" si="21"/>
        <v>Weedend</v>
      </c>
    </row>
    <row r="648" spans="1:23" x14ac:dyDescent="0.25">
      <c r="A648" s="19">
        <v>646</v>
      </c>
      <c r="B648" s="20">
        <v>40573</v>
      </c>
      <c r="C648" s="18">
        <v>1</v>
      </c>
      <c r="D648" s="18">
        <v>0</v>
      </c>
      <c r="E648" s="18">
        <v>1</v>
      </c>
      <c r="F648" s="18">
        <v>4</v>
      </c>
      <c r="G648" s="18" t="b">
        <v>0</v>
      </c>
      <c r="H648" s="18">
        <v>0</v>
      </c>
      <c r="I648" s="18">
        <v>1</v>
      </c>
      <c r="J648" s="18">
        <v>0.14000000000000001</v>
      </c>
      <c r="K648">
        <v>0.21210000000000001</v>
      </c>
      <c r="L648">
        <v>0.93</v>
      </c>
      <c r="M648" s="18">
        <v>0</v>
      </c>
      <c r="N648" s="18">
        <v>0</v>
      </c>
      <c r="O648" s="18">
        <v>1</v>
      </c>
      <c r="P648">
        <v>1</v>
      </c>
      <c r="Q648" s="18" t="s">
        <v>34</v>
      </c>
      <c r="R648" s="18" t="s">
        <v>35</v>
      </c>
      <c r="S648" s="18" t="s">
        <v>36</v>
      </c>
      <c r="T648" s="18" t="s">
        <v>40</v>
      </c>
      <c r="U648" s="18">
        <v>2011</v>
      </c>
      <c r="V648" s="16">
        <f t="shared" si="20"/>
        <v>40587</v>
      </c>
      <c r="W648" s="18" t="str">
        <f t="shared" si="21"/>
        <v>Weedend</v>
      </c>
    </row>
    <row r="649" spans="1:23" x14ac:dyDescent="0.25">
      <c r="A649" s="19">
        <v>647</v>
      </c>
      <c r="B649" s="20">
        <v>40573</v>
      </c>
      <c r="C649" s="18">
        <v>1</v>
      </c>
      <c r="D649" s="18">
        <v>0</v>
      </c>
      <c r="E649" s="18">
        <v>1</v>
      </c>
      <c r="F649" s="18">
        <v>5</v>
      </c>
      <c r="G649" s="18" t="b">
        <v>0</v>
      </c>
      <c r="H649" s="18">
        <v>0</v>
      </c>
      <c r="I649" s="18">
        <v>1</v>
      </c>
      <c r="J649" s="18">
        <v>0.14000000000000001</v>
      </c>
      <c r="K649">
        <v>0.21210000000000001</v>
      </c>
      <c r="L649">
        <v>0.86</v>
      </c>
      <c r="M649" s="18">
        <v>0</v>
      </c>
      <c r="N649" s="18">
        <v>0</v>
      </c>
      <c r="O649" s="18">
        <v>3</v>
      </c>
      <c r="P649">
        <v>3</v>
      </c>
      <c r="Q649" s="18" t="s">
        <v>34</v>
      </c>
      <c r="R649" s="18" t="s">
        <v>35</v>
      </c>
      <c r="S649" s="18" t="s">
        <v>36</v>
      </c>
      <c r="T649" s="18" t="s">
        <v>40</v>
      </c>
      <c r="U649" s="18">
        <v>2011</v>
      </c>
      <c r="V649" s="16">
        <f t="shared" si="20"/>
        <v>40587</v>
      </c>
      <c r="W649" s="18" t="str">
        <f t="shared" si="21"/>
        <v>Weedend</v>
      </c>
    </row>
    <row r="650" spans="1:23" x14ac:dyDescent="0.25">
      <c r="A650" s="19">
        <v>648</v>
      </c>
      <c r="B650" s="20">
        <v>40573</v>
      </c>
      <c r="C650" s="18">
        <v>1</v>
      </c>
      <c r="D650" s="18">
        <v>0</v>
      </c>
      <c r="E650" s="18">
        <v>1</v>
      </c>
      <c r="F650" s="18">
        <v>7</v>
      </c>
      <c r="G650" s="18" t="b">
        <v>0</v>
      </c>
      <c r="H650" s="18">
        <v>0</v>
      </c>
      <c r="I650" s="18">
        <v>1</v>
      </c>
      <c r="J650" s="18">
        <v>0.14000000000000001</v>
      </c>
      <c r="K650">
        <v>0.21210000000000001</v>
      </c>
      <c r="L650">
        <v>0.86</v>
      </c>
      <c r="M650" s="18">
        <v>0</v>
      </c>
      <c r="N650" s="18">
        <v>0</v>
      </c>
      <c r="O650" s="18">
        <v>3</v>
      </c>
      <c r="P650">
        <v>3</v>
      </c>
      <c r="Q650" s="18" t="s">
        <v>34</v>
      </c>
      <c r="R650" s="18" t="s">
        <v>35</v>
      </c>
      <c r="S650" s="18" t="s">
        <v>36</v>
      </c>
      <c r="T650" s="18" t="s">
        <v>40</v>
      </c>
      <c r="U650" s="18">
        <v>2011</v>
      </c>
      <c r="V650" s="16">
        <f t="shared" si="20"/>
        <v>40587</v>
      </c>
      <c r="W650" s="18" t="str">
        <f t="shared" si="21"/>
        <v>Weedend</v>
      </c>
    </row>
    <row r="651" spans="1:23" x14ac:dyDescent="0.25">
      <c r="A651" s="19">
        <v>649</v>
      </c>
      <c r="B651" s="20">
        <v>40573</v>
      </c>
      <c r="C651" s="18">
        <v>1</v>
      </c>
      <c r="D651" s="18">
        <v>0</v>
      </c>
      <c r="E651" s="18">
        <v>1</v>
      </c>
      <c r="F651" s="18">
        <v>8</v>
      </c>
      <c r="G651" s="18" t="b">
        <v>0</v>
      </c>
      <c r="H651" s="18">
        <v>0</v>
      </c>
      <c r="I651" s="18">
        <v>2</v>
      </c>
      <c r="J651" s="18">
        <v>0.14000000000000001</v>
      </c>
      <c r="K651">
        <v>0.21210000000000001</v>
      </c>
      <c r="L651">
        <v>0.86</v>
      </c>
      <c r="M651" s="18">
        <v>0</v>
      </c>
      <c r="N651" s="18">
        <v>1</v>
      </c>
      <c r="O651" s="18">
        <v>11</v>
      </c>
      <c r="P651">
        <v>12</v>
      </c>
      <c r="Q651" s="18" t="s">
        <v>34</v>
      </c>
      <c r="R651" s="18" t="s">
        <v>35</v>
      </c>
      <c r="S651" s="18" t="s">
        <v>38</v>
      </c>
      <c r="T651" s="18" t="s">
        <v>40</v>
      </c>
      <c r="U651" s="18">
        <v>2011</v>
      </c>
      <c r="V651" s="16">
        <f t="shared" si="20"/>
        <v>40587</v>
      </c>
      <c r="W651" s="18" t="str">
        <f t="shared" si="21"/>
        <v>Weedend</v>
      </c>
    </row>
    <row r="652" spans="1:23" x14ac:dyDescent="0.25">
      <c r="A652" s="19">
        <v>650</v>
      </c>
      <c r="B652" s="20">
        <v>40573</v>
      </c>
      <c r="C652" s="18">
        <v>1</v>
      </c>
      <c r="D652" s="18">
        <v>0</v>
      </c>
      <c r="E652" s="18">
        <v>1</v>
      </c>
      <c r="F652" s="18">
        <v>9</v>
      </c>
      <c r="G652" s="18" t="b">
        <v>0</v>
      </c>
      <c r="H652" s="18">
        <v>0</v>
      </c>
      <c r="I652" s="18">
        <v>2</v>
      </c>
      <c r="J652" s="18">
        <v>0.16</v>
      </c>
      <c r="K652">
        <v>0.2273</v>
      </c>
      <c r="L652">
        <v>0.8</v>
      </c>
      <c r="M652" s="18">
        <v>0</v>
      </c>
      <c r="N652" s="18">
        <v>4</v>
      </c>
      <c r="O652" s="18">
        <v>34</v>
      </c>
      <c r="P652">
        <v>38</v>
      </c>
      <c r="Q652" s="18" t="s">
        <v>34</v>
      </c>
      <c r="R652" s="18" t="s">
        <v>35</v>
      </c>
      <c r="S652" s="18" t="s">
        <v>38</v>
      </c>
      <c r="T652" s="18" t="s">
        <v>40</v>
      </c>
      <c r="U652" s="18">
        <v>2011</v>
      </c>
      <c r="V652" s="16">
        <f t="shared" si="20"/>
        <v>40587</v>
      </c>
      <c r="W652" s="18" t="str">
        <f t="shared" si="21"/>
        <v>Weedend</v>
      </c>
    </row>
    <row r="653" spans="1:23" x14ac:dyDescent="0.25">
      <c r="A653" s="19">
        <v>651</v>
      </c>
      <c r="B653" s="20">
        <v>40573</v>
      </c>
      <c r="C653" s="18">
        <v>1</v>
      </c>
      <c r="D653" s="18">
        <v>0</v>
      </c>
      <c r="E653" s="18">
        <v>1</v>
      </c>
      <c r="F653" s="18">
        <v>10</v>
      </c>
      <c r="G653" s="18" t="b">
        <v>0</v>
      </c>
      <c r="H653" s="18">
        <v>0</v>
      </c>
      <c r="I653" s="18">
        <v>2</v>
      </c>
      <c r="J653" s="18">
        <v>0.18</v>
      </c>
      <c r="K653">
        <v>0.2424</v>
      </c>
      <c r="L653">
        <v>0.8</v>
      </c>
      <c r="M653" s="18">
        <v>0</v>
      </c>
      <c r="N653" s="18">
        <v>7</v>
      </c>
      <c r="O653" s="18">
        <v>57</v>
      </c>
      <c r="P653">
        <v>64</v>
      </c>
      <c r="Q653" s="18" t="s">
        <v>34</v>
      </c>
      <c r="R653" s="18" t="s">
        <v>35</v>
      </c>
      <c r="S653" s="18" t="s">
        <v>38</v>
      </c>
      <c r="T653" s="18" t="s">
        <v>40</v>
      </c>
      <c r="U653" s="18">
        <v>2011</v>
      </c>
      <c r="V653" s="16">
        <f t="shared" si="20"/>
        <v>40587</v>
      </c>
      <c r="W653" s="18" t="str">
        <f t="shared" si="21"/>
        <v>Weedend</v>
      </c>
    </row>
    <row r="654" spans="1:23" x14ac:dyDescent="0.25">
      <c r="A654" s="19">
        <v>652</v>
      </c>
      <c r="B654" s="20">
        <v>40573</v>
      </c>
      <c r="C654" s="18">
        <v>1</v>
      </c>
      <c r="D654" s="18">
        <v>0</v>
      </c>
      <c r="E654" s="18">
        <v>1</v>
      </c>
      <c r="F654" s="18">
        <v>11</v>
      </c>
      <c r="G654" s="18" t="b">
        <v>0</v>
      </c>
      <c r="H654" s="18">
        <v>0</v>
      </c>
      <c r="I654" s="18">
        <v>1</v>
      </c>
      <c r="J654" s="18">
        <v>0.22</v>
      </c>
      <c r="K654">
        <v>0.2727</v>
      </c>
      <c r="L654">
        <v>0.75</v>
      </c>
      <c r="M654" s="18">
        <v>0</v>
      </c>
      <c r="N654" s="18">
        <v>9</v>
      </c>
      <c r="O654" s="18">
        <v>50</v>
      </c>
      <c r="P654">
        <v>59</v>
      </c>
      <c r="Q654" s="18" t="s">
        <v>34</v>
      </c>
      <c r="R654" s="18" t="s">
        <v>35</v>
      </c>
      <c r="S654" s="18" t="s">
        <v>36</v>
      </c>
      <c r="T654" s="18" t="s">
        <v>40</v>
      </c>
      <c r="U654" s="18">
        <v>2011</v>
      </c>
      <c r="V654" s="16">
        <f t="shared" si="20"/>
        <v>40587</v>
      </c>
      <c r="W654" s="18" t="str">
        <f t="shared" si="21"/>
        <v>Weedend</v>
      </c>
    </row>
    <row r="655" spans="1:23" x14ac:dyDescent="0.25">
      <c r="A655" s="19">
        <v>653</v>
      </c>
      <c r="B655" s="20">
        <v>40573</v>
      </c>
      <c r="C655" s="18">
        <v>1</v>
      </c>
      <c r="D655" s="18">
        <v>0</v>
      </c>
      <c r="E655" s="18">
        <v>1</v>
      </c>
      <c r="F655" s="18">
        <v>12</v>
      </c>
      <c r="G655" s="18" t="b">
        <v>0</v>
      </c>
      <c r="H655" s="18">
        <v>0</v>
      </c>
      <c r="I655" s="18">
        <v>1</v>
      </c>
      <c r="J655" s="18">
        <v>0.3</v>
      </c>
      <c r="K655">
        <v>0.31819999999999998</v>
      </c>
      <c r="L655">
        <v>0.52</v>
      </c>
      <c r="M655" s="18">
        <v>0.1045</v>
      </c>
      <c r="N655" s="18">
        <v>10</v>
      </c>
      <c r="O655" s="18">
        <v>87</v>
      </c>
      <c r="P655">
        <v>97</v>
      </c>
      <c r="Q655" s="18" t="s">
        <v>34</v>
      </c>
      <c r="R655" s="18" t="s">
        <v>35</v>
      </c>
      <c r="S655" s="18" t="s">
        <v>36</v>
      </c>
      <c r="T655" s="18" t="s">
        <v>40</v>
      </c>
      <c r="U655" s="18">
        <v>2011</v>
      </c>
      <c r="V655" s="16">
        <f t="shared" si="20"/>
        <v>40587</v>
      </c>
      <c r="W655" s="18" t="str">
        <f t="shared" si="21"/>
        <v>Weedend</v>
      </c>
    </row>
    <row r="656" spans="1:23" x14ac:dyDescent="0.25">
      <c r="A656" s="19">
        <v>654</v>
      </c>
      <c r="B656" s="20">
        <v>40573</v>
      </c>
      <c r="C656" s="18">
        <v>1</v>
      </c>
      <c r="D656" s="18">
        <v>0</v>
      </c>
      <c r="E656" s="18">
        <v>1</v>
      </c>
      <c r="F656" s="18">
        <v>13</v>
      </c>
      <c r="G656" s="18" t="b">
        <v>0</v>
      </c>
      <c r="H656" s="18">
        <v>0</v>
      </c>
      <c r="I656" s="18">
        <v>1</v>
      </c>
      <c r="J656" s="18">
        <v>0.28000000000000003</v>
      </c>
      <c r="K656">
        <v>0.28789999999999999</v>
      </c>
      <c r="L656">
        <v>0.61</v>
      </c>
      <c r="M656" s="18">
        <v>0.1045</v>
      </c>
      <c r="N656" s="18">
        <v>13</v>
      </c>
      <c r="O656" s="18">
        <v>71</v>
      </c>
      <c r="P656">
        <v>84</v>
      </c>
      <c r="Q656" s="18" t="s">
        <v>34</v>
      </c>
      <c r="R656" s="18" t="s">
        <v>35</v>
      </c>
      <c r="S656" s="18" t="s">
        <v>36</v>
      </c>
      <c r="T656" s="18" t="s">
        <v>40</v>
      </c>
      <c r="U656" s="18">
        <v>2011</v>
      </c>
      <c r="V656" s="16">
        <f t="shared" si="20"/>
        <v>40587</v>
      </c>
      <c r="W656" s="18" t="str">
        <f t="shared" si="21"/>
        <v>Weedend</v>
      </c>
    </row>
    <row r="657" spans="1:23" x14ac:dyDescent="0.25">
      <c r="A657" s="19">
        <v>655</v>
      </c>
      <c r="B657" s="20">
        <v>40573</v>
      </c>
      <c r="C657" s="18">
        <v>1</v>
      </c>
      <c r="D657" s="18">
        <v>0</v>
      </c>
      <c r="E657" s="18">
        <v>1</v>
      </c>
      <c r="F657" s="18">
        <v>14</v>
      </c>
      <c r="G657" s="18" t="b">
        <v>0</v>
      </c>
      <c r="H657" s="18">
        <v>0</v>
      </c>
      <c r="I657" s="18">
        <v>1</v>
      </c>
      <c r="J657" s="18">
        <v>0.28000000000000003</v>
      </c>
      <c r="K657">
        <v>0.30299999999999999</v>
      </c>
      <c r="L657">
        <v>0.61</v>
      </c>
      <c r="M657" s="18">
        <v>8.9599999999999999E-2</v>
      </c>
      <c r="N657" s="18">
        <v>18</v>
      </c>
      <c r="O657" s="18">
        <v>104</v>
      </c>
      <c r="P657">
        <v>122</v>
      </c>
      <c r="Q657" s="18" t="s">
        <v>34</v>
      </c>
      <c r="R657" s="18" t="s">
        <v>35</v>
      </c>
      <c r="S657" s="18" t="s">
        <v>36</v>
      </c>
      <c r="T657" s="18" t="s">
        <v>40</v>
      </c>
      <c r="U657" s="18">
        <v>2011</v>
      </c>
      <c r="V657" s="16">
        <f t="shared" si="20"/>
        <v>40587</v>
      </c>
      <c r="W657" s="18" t="str">
        <f t="shared" si="21"/>
        <v>Weedend</v>
      </c>
    </row>
    <row r="658" spans="1:23" x14ac:dyDescent="0.25">
      <c r="A658" s="19">
        <v>656</v>
      </c>
      <c r="B658" s="20">
        <v>40573</v>
      </c>
      <c r="C658" s="18">
        <v>1</v>
      </c>
      <c r="D658" s="18">
        <v>0</v>
      </c>
      <c r="E658" s="18">
        <v>1</v>
      </c>
      <c r="F658" s="18">
        <v>15</v>
      </c>
      <c r="G658" s="18" t="b">
        <v>0</v>
      </c>
      <c r="H658" s="18">
        <v>0</v>
      </c>
      <c r="I658" s="18">
        <v>1</v>
      </c>
      <c r="J658" s="18">
        <v>0.3</v>
      </c>
      <c r="K658">
        <v>0.33329999999999999</v>
      </c>
      <c r="L658">
        <v>0.56000000000000005</v>
      </c>
      <c r="M658" s="18">
        <v>0</v>
      </c>
      <c r="N658" s="18">
        <v>14</v>
      </c>
      <c r="O658" s="18">
        <v>95</v>
      </c>
      <c r="P658">
        <v>109</v>
      </c>
      <c r="Q658" s="18" t="s">
        <v>34</v>
      </c>
      <c r="R658" s="18" t="s">
        <v>35</v>
      </c>
      <c r="S658" s="18" t="s">
        <v>36</v>
      </c>
      <c r="T658" s="18" t="s">
        <v>40</v>
      </c>
      <c r="U658" s="18">
        <v>2011</v>
      </c>
      <c r="V658" s="16">
        <f t="shared" si="20"/>
        <v>40587</v>
      </c>
      <c r="W658" s="18" t="str">
        <f t="shared" si="21"/>
        <v>Weedend</v>
      </c>
    </row>
    <row r="659" spans="1:23" x14ac:dyDescent="0.25">
      <c r="A659" s="19">
        <v>657</v>
      </c>
      <c r="B659" s="20">
        <v>40573</v>
      </c>
      <c r="C659" s="18">
        <v>1</v>
      </c>
      <c r="D659" s="18">
        <v>0</v>
      </c>
      <c r="E659" s="18">
        <v>1</v>
      </c>
      <c r="F659" s="18">
        <v>16</v>
      </c>
      <c r="G659" s="18" t="b">
        <v>0</v>
      </c>
      <c r="H659" s="18">
        <v>0</v>
      </c>
      <c r="I659" s="18">
        <v>1</v>
      </c>
      <c r="J659" s="18">
        <v>0.3</v>
      </c>
      <c r="K659">
        <v>0.33329999999999999</v>
      </c>
      <c r="L659">
        <v>0.56000000000000005</v>
      </c>
      <c r="M659" s="18">
        <v>0</v>
      </c>
      <c r="N659" s="18">
        <v>19</v>
      </c>
      <c r="O659" s="18">
        <v>104</v>
      </c>
      <c r="P659">
        <v>123</v>
      </c>
      <c r="Q659" s="18" t="s">
        <v>34</v>
      </c>
      <c r="R659" s="18" t="s">
        <v>35</v>
      </c>
      <c r="S659" s="18" t="s">
        <v>36</v>
      </c>
      <c r="T659" s="18" t="s">
        <v>40</v>
      </c>
      <c r="U659" s="18">
        <v>2011</v>
      </c>
      <c r="V659" s="16">
        <f t="shared" si="20"/>
        <v>40587</v>
      </c>
      <c r="W659" s="18" t="str">
        <f t="shared" si="21"/>
        <v>Weedend</v>
      </c>
    </row>
    <row r="660" spans="1:23" x14ac:dyDescent="0.25">
      <c r="A660" s="19">
        <v>658</v>
      </c>
      <c r="B660" s="20">
        <v>40573</v>
      </c>
      <c r="C660" s="18">
        <v>1</v>
      </c>
      <c r="D660" s="18">
        <v>0</v>
      </c>
      <c r="E660" s="18">
        <v>1</v>
      </c>
      <c r="F660" s="18">
        <v>17</v>
      </c>
      <c r="G660" s="18" t="b">
        <v>0</v>
      </c>
      <c r="H660" s="18">
        <v>0</v>
      </c>
      <c r="I660" s="18">
        <v>1</v>
      </c>
      <c r="J660" s="18">
        <v>0.3</v>
      </c>
      <c r="K660">
        <v>0.28789999999999999</v>
      </c>
      <c r="L660">
        <v>0.56000000000000005</v>
      </c>
      <c r="M660" s="18">
        <v>0.19400000000000001</v>
      </c>
      <c r="N660" s="18">
        <v>6</v>
      </c>
      <c r="O660" s="18">
        <v>71</v>
      </c>
      <c r="P660">
        <v>77</v>
      </c>
      <c r="Q660" s="18" t="s">
        <v>34</v>
      </c>
      <c r="R660" s="18" t="s">
        <v>35</v>
      </c>
      <c r="S660" s="18" t="s">
        <v>36</v>
      </c>
      <c r="T660" s="18" t="s">
        <v>40</v>
      </c>
      <c r="U660" s="18">
        <v>2011</v>
      </c>
      <c r="V660" s="16">
        <f t="shared" si="20"/>
        <v>40587</v>
      </c>
      <c r="W660" s="18" t="str">
        <f t="shared" si="21"/>
        <v>Weedend</v>
      </c>
    </row>
    <row r="661" spans="1:23" x14ac:dyDescent="0.25">
      <c r="A661" s="19">
        <v>659</v>
      </c>
      <c r="B661" s="20">
        <v>40573</v>
      </c>
      <c r="C661" s="18">
        <v>1</v>
      </c>
      <c r="D661" s="18">
        <v>0</v>
      </c>
      <c r="E661" s="18">
        <v>1</v>
      </c>
      <c r="F661" s="18">
        <v>18</v>
      </c>
      <c r="G661" s="18" t="b">
        <v>0</v>
      </c>
      <c r="H661" s="18">
        <v>0</v>
      </c>
      <c r="I661" s="18">
        <v>1</v>
      </c>
      <c r="J661" s="18">
        <v>0.26</v>
      </c>
      <c r="K661">
        <v>0.2576</v>
      </c>
      <c r="L661">
        <v>0.65</v>
      </c>
      <c r="M661" s="18">
        <v>0.16420000000000001</v>
      </c>
      <c r="N661" s="18">
        <v>8</v>
      </c>
      <c r="O661" s="18">
        <v>57</v>
      </c>
      <c r="P661">
        <v>65</v>
      </c>
      <c r="Q661" s="18" t="s">
        <v>34</v>
      </c>
      <c r="R661" s="18" t="s">
        <v>35</v>
      </c>
      <c r="S661" s="18" t="s">
        <v>36</v>
      </c>
      <c r="T661" s="18" t="s">
        <v>40</v>
      </c>
      <c r="U661" s="18">
        <v>2011</v>
      </c>
      <c r="V661" s="16">
        <f t="shared" si="20"/>
        <v>40587</v>
      </c>
      <c r="W661" s="18" t="str">
        <f t="shared" si="21"/>
        <v>Weedend</v>
      </c>
    </row>
    <row r="662" spans="1:23" x14ac:dyDescent="0.25">
      <c r="A662" s="19">
        <v>660</v>
      </c>
      <c r="B662" s="20">
        <v>40573</v>
      </c>
      <c r="C662" s="18">
        <v>1</v>
      </c>
      <c r="D662" s="18">
        <v>0</v>
      </c>
      <c r="E662" s="18">
        <v>1</v>
      </c>
      <c r="F662" s="18">
        <v>19</v>
      </c>
      <c r="G662" s="18" t="b">
        <v>0</v>
      </c>
      <c r="H662" s="18">
        <v>0</v>
      </c>
      <c r="I662" s="18">
        <v>1</v>
      </c>
      <c r="J662" s="18">
        <v>0.26</v>
      </c>
      <c r="K662">
        <v>0.2576</v>
      </c>
      <c r="L662">
        <v>0.65</v>
      </c>
      <c r="M662" s="18">
        <v>0.19400000000000001</v>
      </c>
      <c r="N662" s="18">
        <v>9</v>
      </c>
      <c r="O662" s="18">
        <v>46</v>
      </c>
      <c r="P662">
        <v>55</v>
      </c>
      <c r="Q662" s="18" t="s">
        <v>34</v>
      </c>
      <c r="R662" s="18" t="s">
        <v>35</v>
      </c>
      <c r="S662" s="18" t="s">
        <v>36</v>
      </c>
      <c r="T662" s="18" t="s">
        <v>40</v>
      </c>
      <c r="U662" s="18">
        <v>2011</v>
      </c>
      <c r="V662" s="16">
        <f t="shared" si="20"/>
        <v>40587</v>
      </c>
      <c r="W662" s="18" t="str">
        <f t="shared" si="21"/>
        <v>Weedend</v>
      </c>
    </row>
    <row r="663" spans="1:23" x14ac:dyDescent="0.25">
      <c r="A663" s="19">
        <v>661</v>
      </c>
      <c r="B663" s="20">
        <v>40573</v>
      </c>
      <c r="C663" s="18">
        <v>1</v>
      </c>
      <c r="D663" s="18">
        <v>0</v>
      </c>
      <c r="E663" s="18">
        <v>1</v>
      </c>
      <c r="F663" s="18">
        <v>20</v>
      </c>
      <c r="G663" s="18" t="b">
        <v>0</v>
      </c>
      <c r="H663" s="18">
        <v>0</v>
      </c>
      <c r="I663" s="18">
        <v>2</v>
      </c>
      <c r="J663" s="18">
        <v>0.26</v>
      </c>
      <c r="K663">
        <v>0.2727</v>
      </c>
      <c r="L663">
        <v>0.65</v>
      </c>
      <c r="M663" s="18">
        <v>0.1045</v>
      </c>
      <c r="N663" s="18">
        <v>3</v>
      </c>
      <c r="O663" s="18">
        <v>30</v>
      </c>
      <c r="P663">
        <v>33</v>
      </c>
      <c r="Q663" s="18" t="s">
        <v>34</v>
      </c>
      <c r="R663" s="18" t="s">
        <v>35</v>
      </c>
      <c r="S663" s="18" t="s">
        <v>38</v>
      </c>
      <c r="T663" s="18" t="s">
        <v>40</v>
      </c>
      <c r="U663" s="18">
        <v>2011</v>
      </c>
      <c r="V663" s="16">
        <f t="shared" si="20"/>
        <v>40587</v>
      </c>
      <c r="W663" s="18" t="str">
        <f t="shared" si="21"/>
        <v>Weedend</v>
      </c>
    </row>
    <row r="664" spans="1:23" x14ac:dyDescent="0.25">
      <c r="A664" s="19">
        <v>662</v>
      </c>
      <c r="B664" s="20">
        <v>40573</v>
      </c>
      <c r="C664" s="18">
        <v>1</v>
      </c>
      <c r="D664" s="18">
        <v>0</v>
      </c>
      <c r="E664" s="18">
        <v>1</v>
      </c>
      <c r="F664" s="18">
        <v>21</v>
      </c>
      <c r="G664" s="18" t="b">
        <v>0</v>
      </c>
      <c r="H664" s="18">
        <v>0</v>
      </c>
      <c r="I664" s="18">
        <v>2</v>
      </c>
      <c r="J664" s="18">
        <v>0.24</v>
      </c>
      <c r="K664">
        <v>0.2424</v>
      </c>
      <c r="L664">
        <v>0.7</v>
      </c>
      <c r="M664" s="18">
        <v>0.16420000000000001</v>
      </c>
      <c r="N664" s="18">
        <v>3</v>
      </c>
      <c r="O664" s="18">
        <v>25</v>
      </c>
      <c r="P664">
        <v>28</v>
      </c>
      <c r="Q664" s="18" t="s">
        <v>34</v>
      </c>
      <c r="R664" s="18" t="s">
        <v>35</v>
      </c>
      <c r="S664" s="18" t="s">
        <v>38</v>
      </c>
      <c r="T664" s="18" t="s">
        <v>40</v>
      </c>
      <c r="U664" s="18">
        <v>2011</v>
      </c>
      <c r="V664" s="16">
        <f t="shared" si="20"/>
        <v>40587</v>
      </c>
      <c r="W664" s="18" t="str">
        <f t="shared" si="21"/>
        <v>Weedend</v>
      </c>
    </row>
    <row r="665" spans="1:23" x14ac:dyDescent="0.25">
      <c r="A665" s="19">
        <v>663</v>
      </c>
      <c r="B665" s="20">
        <v>40573</v>
      </c>
      <c r="C665" s="18">
        <v>1</v>
      </c>
      <c r="D665" s="18">
        <v>0</v>
      </c>
      <c r="E665" s="18">
        <v>1</v>
      </c>
      <c r="F665" s="18">
        <v>22</v>
      </c>
      <c r="G665" s="18" t="b">
        <v>0</v>
      </c>
      <c r="H665" s="18">
        <v>0</v>
      </c>
      <c r="I665" s="18">
        <v>2</v>
      </c>
      <c r="J665" s="18">
        <v>0.24</v>
      </c>
      <c r="K665">
        <v>0.2273</v>
      </c>
      <c r="L665">
        <v>0.7</v>
      </c>
      <c r="M665" s="18">
        <v>0.19400000000000001</v>
      </c>
      <c r="N665" s="18">
        <v>2</v>
      </c>
      <c r="O665" s="18">
        <v>19</v>
      </c>
      <c r="P665">
        <v>21</v>
      </c>
      <c r="Q665" s="18" t="s">
        <v>34</v>
      </c>
      <c r="R665" s="18" t="s">
        <v>35</v>
      </c>
      <c r="S665" s="18" t="s">
        <v>38</v>
      </c>
      <c r="T665" s="18" t="s">
        <v>40</v>
      </c>
      <c r="U665" s="18">
        <v>2011</v>
      </c>
      <c r="V665" s="16">
        <f t="shared" si="20"/>
        <v>40587</v>
      </c>
      <c r="W665" s="18" t="str">
        <f t="shared" si="21"/>
        <v>Weedend</v>
      </c>
    </row>
    <row r="666" spans="1:23" x14ac:dyDescent="0.25">
      <c r="A666" s="19">
        <v>664</v>
      </c>
      <c r="B666" s="20">
        <v>40573</v>
      </c>
      <c r="C666" s="18">
        <v>1</v>
      </c>
      <c r="D666" s="18">
        <v>0</v>
      </c>
      <c r="E666" s="18">
        <v>1</v>
      </c>
      <c r="F666" s="18">
        <v>23</v>
      </c>
      <c r="G666" s="18" t="b">
        <v>0</v>
      </c>
      <c r="H666" s="18">
        <v>0</v>
      </c>
      <c r="I666" s="18">
        <v>2</v>
      </c>
      <c r="J666" s="18">
        <v>0.24</v>
      </c>
      <c r="K666">
        <v>0.21210000000000001</v>
      </c>
      <c r="L666">
        <v>0.65</v>
      </c>
      <c r="M666" s="18">
        <v>0.28360000000000002</v>
      </c>
      <c r="N666" s="18">
        <v>5</v>
      </c>
      <c r="O666" s="18">
        <v>16</v>
      </c>
      <c r="P666">
        <v>21</v>
      </c>
      <c r="Q666" s="18" t="s">
        <v>34</v>
      </c>
      <c r="R666" s="18" t="s">
        <v>35</v>
      </c>
      <c r="S666" s="18" t="s">
        <v>38</v>
      </c>
      <c r="T666" s="18" t="s">
        <v>40</v>
      </c>
      <c r="U666" s="18">
        <v>2011</v>
      </c>
      <c r="V666" s="16">
        <f t="shared" si="20"/>
        <v>40587</v>
      </c>
      <c r="W666" s="18" t="str">
        <f t="shared" si="21"/>
        <v>Weedend</v>
      </c>
    </row>
    <row r="667" spans="1:23" x14ac:dyDescent="0.25">
      <c r="A667" s="19">
        <v>665</v>
      </c>
      <c r="B667" s="20">
        <v>40574</v>
      </c>
      <c r="C667" s="18">
        <v>1</v>
      </c>
      <c r="D667" s="18">
        <v>0</v>
      </c>
      <c r="E667" s="18">
        <v>1</v>
      </c>
      <c r="F667" s="18">
        <v>0</v>
      </c>
      <c r="G667" s="18" t="b">
        <v>0</v>
      </c>
      <c r="H667" s="18">
        <v>1</v>
      </c>
      <c r="I667" s="18">
        <v>2</v>
      </c>
      <c r="J667" s="18">
        <v>0.24</v>
      </c>
      <c r="K667">
        <v>0.2273</v>
      </c>
      <c r="L667">
        <v>0.65</v>
      </c>
      <c r="M667" s="18">
        <v>0.22389999999999999</v>
      </c>
      <c r="N667" s="18">
        <v>1</v>
      </c>
      <c r="O667" s="18">
        <v>6</v>
      </c>
      <c r="P667">
        <v>7</v>
      </c>
      <c r="Q667" s="18" t="s">
        <v>34</v>
      </c>
      <c r="R667" s="18" t="s">
        <v>35</v>
      </c>
      <c r="S667" s="18" t="s">
        <v>38</v>
      </c>
      <c r="T667" s="18" t="s">
        <v>41</v>
      </c>
      <c r="U667" s="18">
        <v>2011</v>
      </c>
      <c r="V667" s="16">
        <f t="shared" si="20"/>
        <v>40587</v>
      </c>
      <c r="W667" s="18" t="str">
        <f t="shared" si="21"/>
        <v>Weekday</v>
      </c>
    </row>
    <row r="668" spans="1:23" x14ac:dyDescent="0.25">
      <c r="A668" s="19">
        <v>666</v>
      </c>
      <c r="B668" s="20">
        <v>40574</v>
      </c>
      <c r="C668" s="18">
        <v>1</v>
      </c>
      <c r="D668" s="18">
        <v>0</v>
      </c>
      <c r="E668" s="18">
        <v>1</v>
      </c>
      <c r="F668" s="18">
        <v>1</v>
      </c>
      <c r="G668" s="18" t="b">
        <v>0</v>
      </c>
      <c r="H668" s="18">
        <v>1</v>
      </c>
      <c r="I668" s="18">
        <v>1</v>
      </c>
      <c r="J668" s="18">
        <v>0.22</v>
      </c>
      <c r="K668">
        <v>0.21210000000000001</v>
      </c>
      <c r="L668">
        <v>0.64</v>
      </c>
      <c r="M668" s="18">
        <v>0.25369999999999998</v>
      </c>
      <c r="N668" s="18">
        <v>2</v>
      </c>
      <c r="O668" s="18">
        <v>5</v>
      </c>
      <c r="P668">
        <v>7</v>
      </c>
      <c r="Q668" s="18" t="s">
        <v>34</v>
      </c>
      <c r="R668" s="18" t="s">
        <v>35</v>
      </c>
      <c r="S668" s="18" t="s">
        <v>36</v>
      </c>
      <c r="T668" s="18" t="s">
        <v>41</v>
      </c>
      <c r="U668" s="18">
        <v>2011</v>
      </c>
      <c r="V668" s="16">
        <f t="shared" si="20"/>
        <v>40587</v>
      </c>
      <c r="W668" s="18" t="str">
        <f t="shared" si="21"/>
        <v>Weekday</v>
      </c>
    </row>
    <row r="669" spans="1:23" x14ac:dyDescent="0.25">
      <c r="A669" s="19">
        <v>667</v>
      </c>
      <c r="B669" s="20">
        <v>40574</v>
      </c>
      <c r="C669" s="18">
        <v>1</v>
      </c>
      <c r="D669" s="18">
        <v>0</v>
      </c>
      <c r="E669" s="18">
        <v>1</v>
      </c>
      <c r="F669" s="18">
        <v>2</v>
      </c>
      <c r="G669" s="18" t="b">
        <v>0</v>
      </c>
      <c r="H669" s="18">
        <v>1</v>
      </c>
      <c r="I669" s="18">
        <v>1</v>
      </c>
      <c r="J669" s="18">
        <v>0.22</v>
      </c>
      <c r="K669">
        <v>0.2273</v>
      </c>
      <c r="L669">
        <v>0.64</v>
      </c>
      <c r="M669" s="18">
        <v>0.19400000000000001</v>
      </c>
      <c r="N669" s="18">
        <v>0</v>
      </c>
      <c r="O669" s="18">
        <v>1</v>
      </c>
      <c r="P669">
        <v>1</v>
      </c>
      <c r="Q669" s="18" t="s">
        <v>34</v>
      </c>
      <c r="R669" s="18" t="s">
        <v>35</v>
      </c>
      <c r="S669" s="18" t="s">
        <v>36</v>
      </c>
      <c r="T669" s="18" t="s">
        <v>41</v>
      </c>
      <c r="U669" s="18">
        <v>2011</v>
      </c>
      <c r="V669" s="16">
        <f t="shared" si="20"/>
        <v>40587</v>
      </c>
      <c r="W669" s="18" t="str">
        <f t="shared" si="21"/>
        <v>Weekday</v>
      </c>
    </row>
    <row r="670" spans="1:23" x14ac:dyDescent="0.25">
      <c r="A670" s="19">
        <v>668</v>
      </c>
      <c r="B670" s="20">
        <v>40574</v>
      </c>
      <c r="C670" s="18">
        <v>1</v>
      </c>
      <c r="D670" s="18">
        <v>0</v>
      </c>
      <c r="E670" s="18">
        <v>1</v>
      </c>
      <c r="F670" s="18">
        <v>3</v>
      </c>
      <c r="G670" s="18" t="b">
        <v>0</v>
      </c>
      <c r="H670" s="18">
        <v>1</v>
      </c>
      <c r="I670" s="18">
        <v>1</v>
      </c>
      <c r="J670" s="18">
        <v>0.22</v>
      </c>
      <c r="K670">
        <v>0.2273</v>
      </c>
      <c r="L670">
        <v>0.64</v>
      </c>
      <c r="M670" s="18">
        <v>0.19400000000000001</v>
      </c>
      <c r="N670" s="18">
        <v>0</v>
      </c>
      <c r="O670" s="18">
        <v>2</v>
      </c>
      <c r="P670">
        <v>2</v>
      </c>
      <c r="Q670" s="18" t="s">
        <v>34</v>
      </c>
      <c r="R670" s="18" t="s">
        <v>35</v>
      </c>
      <c r="S670" s="18" t="s">
        <v>36</v>
      </c>
      <c r="T670" s="18" t="s">
        <v>41</v>
      </c>
      <c r="U670" s="18">
        <v>2011</v>
      </c>
      <c r="V670" s="16">
        <f t="shared" si="20"/>
        <v>40587</v>
      </c>
      <c r="W670" s="18" t="str">
        <f t="shared" si="21"/>
        <v>Weekday</v>
      </c>
    </row>
    <row r="671" spans="1:23" x14ac:dyDescent="0.25">
      <c r="A671" s="19">
        <v>669</v>
      </c>
      <c r="B671" s="20">
        <v>40574</v>
      </c>
      <c r="C671" s="18">
        <v>1</v>
      </c>
      <c r="D671" s="18">
        <v>0</v>
      </c>
      <c r="E671" s="18">
        <v>1</v>
      </c>
      <c r="F671" s="18">
        <v>4</v>
      </c>
      <c r="G671" s="18" t="b">
        <v>0</v>
      </c>
      <c r="H671" s="18">
        <v>1</v>
      </c>
      <c r="I671" s="18">
        <v>1</v>
      </c>
      <c r="J671" s="18">
        <v>0.2</v>
      </c>
      <c r="K671">
        <v>0.19700000000000001</v>
      </c>
      <c r="L671">
        <v>0.59</v>
      </c>
      <c r="M671" s="18">
        <v>0.22389999999999999</v>
      </c>
      <c r="N671" s="18">
        <v>0</v>
      </c>
      <c r="O671" s="18">
        <v>2</v>
      </c>
      <c r="P671">
        <v>2</v>
      </c>
      <c r="Q671" s="18" t="s">
        <v>34</v>
      </c>
      <c r="R671" s="18" t="s">
        <v>35</v>
      </c>
      <c r="S671" s="18" t="s">
        <v>36</v>
      </c>
      <c r="T671" s="18" t="s">
        <v>41</v>
      </c>
      <c r="U671" s="18">
        <v>2011</v>
      </c>
      <c r="V671" s="16">
        <f t="shared" si="20"/>
        <v>40587</v>
      </c>
      <c r="W671" s="18" t="str">
        <f t="shared" si="21"/>
        <v>Weekday</v>
      </c>
    </row>
    <row r="672" spans="1:23" x14ac:dyDescent="0.25">
      <c r="A672" s="19">
        <v>670</v>
      </c>
      <c r="B672" s="20">
        <v>40574</v>
      </c>
      <c r="C672" s="18">
        <v>1</v>
      </c>
      <c r="D672" s="18">
        <v>0</v>
      </c>
      <c r="E672" s="18">
        <v>1</v>
      </c>
      <c r="F672" s="18">
        <v>5</v>
      </c>
      <c r="G672" s="18" t="b">
        <v>0</v>
      </c>
      <c r="H672" s="18">
        <v>1</v>
      </c>
      <c r="I672" s="18">
        <v>1</v>
      </c>
      <c r="J672" s="18">
        <v>0.18</v>
      </c>
      <c r="K672">
        <v>0.16669999999999999</v>
      </c>
      <c r="L672">
        <v>0.64</v>
      </c>
      <c r="M672" s="18">
        <v>0.28360000000000002</v>
      </c>
      <c r="N672" s="18">
        <v>0</v>
      </c>
      <c r="O672" s="18">
        <v>8</v>
      </c>
      <c r="P672">
        <v>8</v>
      </c>
      <c r="Q672" s="18" t="s">
        <v>34</v>
      </c>
      <c r="R672" s="18" t="s">
        <v>35</v>
      </c>
      <c r="S672" s="18" t="s">
        <v>36</v>
      </c>
      <c r="T672" s="18" t="s">
        <v>41</v>
      </c>
      <c r="U672" s="18">
        <v>2011</v>
      </c>
      <c r="V672" s="16">
        <f t="shared" si="20"/>
        <v>40587</v>
      </c>
      <c r="W672" s="18" t="str">
        <f t="shared" si="21"/>
        <v>Weekday</v>
      </c>
    </row>
    <row r="673" spans="1:23" x14ac:dyDescent="0.25">
      <c r="A673" s="19">
        <v>671</v>
      </c>
      <c r="B673" s="20">
        <v>40574</v>
      </c>
      <c r="C673" s="18">
        <v>1</v>
      </c>
      <c r="D673" s="18">
        <v>0</v>
      </c>
      <c r="E673" s="18">
        <v>1</v>
      </c>
      <c r="F673" s="18">
        <v>6</v>
      </c>
      <c r="G673" s="18" t="b">
        <v>0</v>
      </c>
      <c r="H673" s="18">
        <v>1</v>
      </c>
      <c r="I673" s="18">
        <v>1</v>
      </c>
      <c r="J673" s="18">
        <v>0.16</v>
      </c>
      <c r="K673">
        <v>0.13639999999999999</v>
      </c>
      <c r="L673">
        <v>0.69</v>
      </c>
      <c r="M673" s="18">
        <v>0.32840000000000003</v>
      </c>
      <c r="N673" s="18">
        <v>0</v>
      </c>
      <c r="O673" s="18">
        <v>37</v>
      </c>
      <c r="P673">
        <v>37</v>
      </c>
      <c r="Q673" s="18" t="s">
        <v>34</v>
      </c>
      <c r="R673" s="18" t="s">
        <v>35</v>
      </c>
      <c r="S673" s="18" t="s">
        <v>36</v>
      </c>
      <c r="T673" s="18" t="s">
        <v>41</v>
      </c>
      <c r="U673" s="18">
        <v>2011</v>
      </c>
      <c r="V673" s="16">
        <f t="shared" si="20"/>
        <v>40587</v>
      </c>
      <c r="W673" s="18" t="str">
        <f t="shared" si="21"/>
        <v>Weekday</v>
      </c>
    </row>
    <row r="674" spans="1:23" x14ac:dyDescent="0.25">
      <c r="A674" s="19">
        <v>672</v>
      </c>
      <c r="B674" s="20">
        <v>40574</v>
      </c>
      <c r="C674" s="18">
        <v>1</v>
      </c>
      <c r="D674" s="18">
        <v>0</v>
      </c>
      <c r="E674" s="18">
        <v>1</v>
      </c>
      <c r="F674" s="18">
        <v>7</v>
      </c>
      <c r="G674" s="18" t="b">
        <v>0</v>
      </c>
      <c r="H674" s="18">
        <v>1</v>
      </c>
      <c r="I674" s="18">
        <v>2</v>
      </c>
      <c r="J674" s="18">
        <v>0.16</v>
      </c>
      <c r="K674">
        <v>0.13639999999999999</v>
      </c>
      <c r="L674">
        <v>0.64</v>
      </c>
      <c r="M674" s="18">
        <v>0.28360000000000002</v>
      </c>
      <c r="N674" s="18">
        <v>1</v>
      </c>
      <c r="O674" s="18">
        <v>71</v>
      </c>
      <c r="P674">
        <v>72</v>
      </c>
      <c r="Q674" s="18" t="s">
        <v>34</v>
      </c>
      <c r="R674" s="18" t="s">
        <v>35</v>
      </c>
      <c r="S674" s="18" t="s">
        <v>38</v>
      </c>
      <c r="T674" s="18" t="s">
        <v>41</v>
      </c>
      <c r="U674" s="18">
        <v>2011</v>
      </c>
      <c r="V674" s="16">
        <f t="shared" si="20"/>
        <v>40587</v>
      </c>
      <c r="W674" s="18" t="str">
        <f t="shared" si="21"/>
        <v>Weekday</v>
      </c>
    </row>
    <row r="675" spans="1:23" x14ac:dyDescent="0.25">
      <c r="A675" s="19">
        <v>673</v>
      </c>
      <c r="B675" s="20">
        <v>40574</v>
      </c>
      <c r="C675" s="18">
        <v>1</v>
      </c>
      <c r="D675" s="18">
        <v>0</v>
      </c>
      <c r="E675" s="18">
        <v>1</v>
      </c>
      <c r="F675" s="18">
        <v>8</v>
      </c>
      <c r="G675" s="18" t="b">
        <v>0</v>
      </c>
      <c r="H675" s="18">
        <v>1</v>
      </c>
      <c r="I675" s="18">
        <v>2</v>
      </c>
      <c r="J675" s="18">
        <v>0.16</v>
      </c>
      <c r="K675">
        <v>0.13639999999999999</v>
      </c>
      <c r="L675">
        <v>0.59</v>
      </c>
      <c r="M675" s="18">
        <v>0.28360000000000002</v>
      </c>
      <c r="N675" s="18">
        <v>3</v>
      </c>
      <c r="O675" s="18">
        <v>182</v>
      </c>
      <c r="P675">
        <v>185</v>
      </c>
      <c r="Q675" s="18" t="s">
        <v>34</v>
      </c>
      <c r="R675" s="18" t="s">
        <v>35</v>
      </c>
      <c r="S675" s="18" t="s">
        <v>38</v>
      </c>
      <c r="T675" s="18" t="s">
        <v>41</v>
      </c>
      <c r="U675" s="18">
        <v>2011</v>
      </c>
      <c r="V675" s="16">
        <f t="shared" si="20"/>
        <v>40587</v>
      </c>
      <c r="W675" s="18" t="str">
        <f t="shared" si="21"/>
        <v>Weekday</v>
      </c>
    </row>
    <row r="676" spans="1:23" x14ac:dyDescent="0.25">
      <c r="A676" s="19">
        <v>674</v>
      </c>
      <c r="B676" s="20">
        <v>40574</v>
      </c>
      <c r="C676" s="18">
        <v>1</v>
      </c>
      <c r="D676" s="18">
        <v>0</v>
      </c>
      <c r="E676" s="18">
        <v>1</v>
      </c>
      <c r="F676" s="18">
        <v>9</v>
      </c>
      <c r="G676" s="18" t="b">
        <v>0</v>
      </c>
      <c r="H676" s="18">
        <v>1</v>
      </c>
      <c r="I676" s="18">
        <v>2</v>
      </c>
      <c r="J676" s="18">
        <v>0.16</v>
      </c>
      <c r="K676">
        <v>0.13639999999999999</v>
      </c>
      <c r="L676">
        <v>0.59</v>
      </c>
      <c r="M676" s="18">
        <v>0.29849999999999999</v>
      </c>
      <c r="N676" s="18">
        <v>0</v>
      </c>
      <c r="O676" s="18">
        <v>112</v>
      </c>
      <c r="P676">
        <v>112</v>
      </c>
      <c r="Q676" s="18" t="s">
        <v>34</v>
      </c>
      <c r="R676" s="18" t="s">
        <v>35</v>
      </c>
      <c r="S676" s="18" t="s">
        <v>38</v>
      </c>
      <c r="T676" s="18" t="s">
        <v>41</v>
      </c>
      <c r="U676" s="18">
        <v>2011</v>
      </c>
      <c r="V676" s="16">
        <f t="shared" si="20"/>
        <v>40587</v>
      </c>
      <c r="W676" s="18" t="str">
        <f t="shared" si="21"/>
        <v>Weekday</v>
      </c>
    </row>
    <row r="677" spans="1:23" x14ac:dyDescent="0.25">
      <c r="A677" s="19">
        <v>675</v>
      </c>
      <c r="B677" s="20">
        <v>40574</v>
      </c>
      <c r="C677" s="18">
        <v>1</v>
      </c>
      <c r="D677" s="18">
        <v>0</v>
      </c>
      <c r="E677" s="18">
        <v>1</v>
      </c>
      <c r="F677" s="18">
        <v>10</v>
      </c>
      <c r="G677" s="18" t="b">
        <v>0</v>
      </c>
      <c r="H677" s="18">
        <v>1</v>
      </c>
      <c r="I677" s="18">
        <v>2</v>
      </c>
      <c r="J677" s="18">
        <v>0.16</v>
      </c>
      <c r="K677">
        <v>0.1515</v>
      </c>
      <c r="L677">
        <v>0.59</v>
      </c>
      <c r="M677" s="18">
        <v>0.19400000000000001</v>
      </c>
      <c r="N677" s="18">
        <v>1</v>
      </c>
      <c r="O677" s="18">
        <v>68</v>
      </c>
      <c r="P677">
        <v>69</v>
      </c>
      <c r="Q677" s="18" t="s">
        <v>34</v>
      </c>
      <c r="R677" s="18" t="s">
        <v>35</v>
      </c>
      <c r="S677" s="18" t="s">
        <v>38</v>
      </c>
      <c r="T677" s="18" t="s">
        <v>41</v>
      </c>
      <c r="U677" s="18">
        <v>2011</v>
      </c>
      <c r="V677" s="16">
        <f t="shared" si="20"/>
        <v>40587</v>
      </c>
      <c r="W677" s="18" t="str">
        <f t="shared" si="21"/>
        <v>Weekday</v>
      </c>
    </row>
    <row r="678" spans="1:23" x14ac:dyDescent="0.25">
      <c r="A678" s="19">
        <v>676</v>
      </c>
      <c r="B678" s="20">
        <v>40574</v>
      </c>
      <c r="C678" s="18">
        <v>1</v>
      </c>
      <c r="D678" s="18">
        <v>0</v>
      </c>
      <c r="E678" s="18">
        <v>1</v>
      </c>
      <c r="F678" s="18">
        <v>11</v>
      </c>
      <c r="G678" s="18" t="b">
        <v>0</v>
      </c>
      <c r="H678" s="18">
        <v>1</v>
      </c>
      <c r="I678" s="18">
        <v>2</v>
      </c>
      <c r="J678" s="18">
        <v>0.16</v>
      </c>
      <c r="K678">
        <v>0.1515</v>
      </c>
      <c r="L678">
        <v>0.59</v>
      </c>
      <c r="M678" s="18">
        <v>0.19400000000000001</v>
      </c>
      <c r="N678" s="18">
        <v>2</v>
      </c>
      <c r="O678" s="18">
        <v>46</v>
      </c>
      <c r="P678">
        <v>48</v>
      </c>
      <c r="Q678" s="18" t="s">
        <v>34</v>
      </c>
      <c r="R678" s="18" t="s">
        <v>35</v>
      </c>
      <c r="S678" s="18" t="s">
        <v>38</v>
      </c>
      <c r="T678" s="18" t="s">
        <v>41</v>
      </c>
      <c r="U678" s="18">
        <v>2011</v>
      </c>
      <c r="V678" s="16">
        <f t="shared" si="20"/>
        <v>40587</v>
      </c>
      <c r="W678" s="18" t="str">
        <f t="shared" si="21"/>
        <v>Weekday</v>
      </c>
    </row>
    <row r="679" spans="1:23" x14ac:dyDescent="0.25">
      <c r="A679" s="19">
        <v>677</v>
      </c>
      <c r="B679" s="20">
        <v>40574</v>
      </c>
      <c r="C679" s="18">
        <v>1</v>
      </c>
      <c r="D679" s="18">
        <v>0</v>
      </c>
      <c r="E679" s="18">
        <v>1</v>
      </c>
      <c r="F679" s="18">
        <v>12</v>
      </c>
      <c r="G679" s="18" t="b">
        <v>0</v>
      </c>
      <c r="H679" s="18">
        <v>1</v>
      </c>
      <c r="I679" s="18">
        <v>2</v>
      </c>
      <c r="J679" s="18">
        <v>0.18</v>
      </c>
      <c r="K679">
        <v>0.21210000000000001</v>
      </c>
      <c r="L679">
        <v>0.55000000000000004</v>
      </c>
      <c r="M679" s="18">
        <v>0.1045</v>
      </c>
      <c r="N679" s="18">
        <v>6</v>
      </c>
      <c r="O679" s="18">
        <v>62</v>
      </c>
      <c r="P679">
        <v>68</v>
      </c>
      <c r="Q679" s="18" t="s">
        <v>34</v>
      </c>
      <c r="R679" s="18" t="s">
        <v>35</v>
      </c>
      <c r="S679" s="18" t="s">
        <v>38</v>
      </c>
      <c r="T679" s="18" t="s">
        <v>41</v>
      </c>
      <c r="U679" s="18">
        <v>2011</v>
      </c>
      <c r="V679" s="16">
        <f t="shared" si="20"/>
        <v>40587</v>
      </c>
      <c r="W679" s="18" t="str">
        <f t="shared" si="21"/>
        <v>Weekday</v>
      </c>
    </row>
    <row r="680" spans="1:23" x14ac:dyDescent="0.25">
      <c r="A680" s="19">
        <v>678</v>
      </c>
      <c r="B680" s="20">
        <v>40574</v>
      </c>
      <c r="C680" s="18">
        <v>1</v>
      </c>
      <c r="D680" s="18">
        <v>0</v>
      </c>
      <c r="E680" s="18">
        <v>1</v>
      </c>
      <c r="F680" s="18">
        <v>13</v>
      </c>
      <c r="G680" s="18" t="b">
        <v>0</v>
      </c>
      <c r="H680" s="18">
        <v>1</v>
      </c>
      <c r="I680" s="18">
        <v>2</v>
      </c>
      <c r="J680" s="18">
        <v>0.16</v>
      </c>
      <c r="K680">
        <v>0.2273</v>
      </c>
      <c r="L680">
        <v>0.59</v>
      </c>
      <c r="M680" s="18">
        <v>0</v>
      </c>
      <c r="N680" s="18">
        <v>2</v>
      </c>
      <c r="O680" s="18">
        <v>52</v>
      </c>
      <c r="P680">
        <v>54</v>
      </c>
      <c r="Q680" s="18" t="s">
        <v>34</v>
      </c>
      <c r="R680" s="18" t="s">
        <v>35</v>
      </c>
      <c r="S680" s="18" t="s">
        <v>38</v>
      </c>
      <c r="T680" s="18" t="s">
        <v>41</v>
      </c>
      <c r="U680" s="18">
        <v>2011</v>
      </c>
      <c r="V680" s="16">
        <f t="shared" si="20"/>
        <v>40587</v>
      </c>
      <c r="W680" s="18" t="str">
        <f t="shared" si="21"/>
        <v>Weekday</v>
      </c>
    </row>
    <row r="681" spans="1:23" x14ac:dyDescent="0.25">
      <c r="A681" s="19">
        <v>679</v>
      </c>
      <c r="B681" s="20">
        <v>40574</v>
      </c>
      <c r="C681" s="18">
        <v>1</v>
      </c>
      <c r="D681" s="18">
        <v>0</v>
      </c>
      <c r="E681" s="18">
        <v>1</v>
      </c>
      <c r="F681" s="18">
        <v>14</v>
      </c>
      <c r="G681" s="18" t="b">
        <v>0</v>
      </c>
      <c r="H681" s="18">
        <v>1</v>
      </c>
      <c r="I681" s="18">
        <v>2</v>
      </c>
      <c r="J681" s="18">
        <v>0.18</v>
      </c>
      <c r="K681">
        <v>0.19700000000000001</v>
      </c>
      <c r="L681">
        <v>0.55000000000000004</v>
      </c>
      <c r="M681" s="18">
        <v>0.1343</v>
      </c>
      <c r="N681" s="18">
        <v>1</v>
      </c>
      <c r="O681" s="18">
        <v>85</v>
      </c>
      <c r="P681">
        <v>86</v>
      </c>
      <c r="Q681" s="18" t="s">
        <v>34</v>
      </c>
      <c r="R681" s="18" t="s">
        <v>35</v>
      </c>
      <c r="S681" s="18" t="s">
        <v>38</v>
      </c>
      <c r="T681" s="18" t="s">
        <v>41</v>
      </c>
      <c r="U681" s="18">
        <v>2011</v>
      </c>
      <c r="V681" s="16">
        <f t="shared" si="20"/>
        <v>40587</v>
      </c>
      <c r="W681" s="18" t="str">
        <f t="shared" si="21"/>
        <v>Weekday</v>
      </c>
    </row>
    <row r="682" spans="1:23" x14ac:dyDescent="0.25">
      <c r="A682" s="19">
        <v>680</v>
      </c>
      <c r="B682" s="20">
        <v>40574</v>
      </c>
      <c r="C682" s="18">
        <v>1</v>
      </c>
      <c r="D682" s="18">
        <v>0</v>
      </c>
      <c r="E682" s="18">
        <v>1</v>
      </c>
      <c r="F682" s="18">
        <v>15</v>
      </c>
      <c r="G682" s="18" t="b">
        <v>0</v>
      </c>
      <c r="H682" s="18">
        <v>1</v>
      </c>
      <c r="I682" s="18">
        <v>2</v>
      </c>
      <c r="J682" s="18">
        <v>0.16</v>
      </c>
      <c r="K682">
        <v>0.18179999999999999</v>
      </c>
      <c r="L682">
        <v>0.59</v>
      </c>
      <c r="M682" s="18">
        <v>0.1343</v>
      </c>
      <c r="N682" s="18">
        <v>3</v>
      </c>
      <c r="O682" s="18">
        <v>41</v>
      </c>
      <c r="P682">
        <v>44</v>
      </c>
      <c r="Q682" s="18" t="s">
        <v>34</v>
      </c>
      <c r="R682" s="18" t="s">
        <v>35</v>
      </c>
      <c r="S682" s="18" t="s">
        <v>38</v>
      </c>
      <c r="T682" s="18" t="s">
        <v>41</v>
      </c>
      <c r="U682" s="18">
        <v>2011</v>
      </c>
      <c r="V682" s="16">
        <f t="shared" si="20"/>
        <v>40587</v>
      </c>
      <c r="W682" s="18" t="str">
        <f t="shared" si="21"/>
        <v>Weekday</v>
      </c>
    </row>
    <row r="683" spans="1:23" x14ac:dyDescent="0.25">
      <c r="A683" s="19">
        <v>681</v>
      </c>
      <c r="B683" s="20">
        <v>40574</v>
      </c>
      <c r="C683" s="18">
        <v>1</v>
      </c>
      <c r="D683" s="18">
        <v>0</v>
      </c>
      <c r="E683" s="18">
        <v>1</v>
      </c>
      <c r="F683" s="18">
        <v>16</v>
      </c>
      <c r="G683" s="18" t="b">
        <v>0</v>
      </c>
      <c r="H683" s="18">
        <v>1</v>
      </c>
      <c r="I683" s="18">
        <v>2</v>
      </c>
      <c r="J683" s="18">
        <v>0.16</v>
      </c>
      <c r="K683">
        <v>0.18179999999999999</v>
      </c>
      <c r="L683">
        <v>0.56000000000000005</v>
      </c>
      <c r="M683" s="18">
        <v>0.19400000000000001</v>
      </c>
      <c r="N683" s="18">
        <v>3</v>
      </c>
      <c r="O683" s="18">
        <v>83</v>
      </c>
      <c r="P683">
        <v>86</v>
      </c>
      <c r="Q683" s="18" t="s">
        <v>34</v>
      </c>
      <c r="R683" s="18" t="s">
        <v>35</v>
      </c>
      <c r="S683" s="18" t="s">
        <v>38</v>
      </c>
      <c r="T683" s="18" t="s">
        <v>41</v>
      </c>
      <c r="U683" s="18">
        <v>2011</v>
      </c>
      <c r="V683" s="16">
        <f t="shared" si="20"/>
        <v>40587</v>
      </c>
      <c r="W683" s="18" t="str">
        <f t="shared" si="21"/>
        <v>Weekday</v>
      </c>
    </row>
    <row r="684" spans="1:23" x14ac:dyDescent="0.25">
      <c r="A684" s="19">
        <v>682</v>
      </c>
      <c r="B684" s="20">
        <v>40574</v>
      </c>
      <c r="C684" s="18">
        <v>1</v>
      </c>
      <c r="D684" s="18">
        <v>0</v>
      </c>
      <c r="E684" s="18">
        <v>1</v>
      </c>
      <c r="F684" s="18">
        <v>17</v>
      </c>
      <c r="G684" s="18" t="b">
        <v>0</v>
      </c>
      <c r="H684" s="18">
        <v>1</v>
      </c>
      <c r="I684" s="18">
        <v>2</v>
      </c>
      <c r="J684" s="18">
        <v>0.16</v>
      </c>
      <c r="K684">
        <v>0.1515</v>
      </c>
      <c r="L684">
        <v>0.59</v>
      </c>
      <c r="M684" s="18">
        <v>0.19400000000000001</v>
      </c>
      <c r="N684" s="18">
        <v>6</v>
      </c>
      <c r="O684" s="18">
        <v>155</v>
      </c>
      <c r="P684">
        <v>161</v>
      </c>
      <c r="Q684" s="18" t="s">
        <v>34</v>
      </c>
      <c r="R684" s="18" t="s">
        <v>35</v>
      </c>
      <c r="S684" s="18" t="s">
        <v>38</v>
      </c>
      <c r="T684" s="18" t="s">
        <v>41</v>
      </c>
      <c r="U684" s="18">
        <v>2011</v>
      </c>
      <c r="V684" s="16">
        <f t="shared" si="20"/>
        <v>40587</v>
      </c>
      <c r="W684" s="18" t="str">
        <f t="shared" si="21"/>
        <v>Weekday</v>
      </c>
    </row>
    <row r="685" spans="1:23" x14ac:dyDescent="0.25">
      <c r="A685" s="19">
        <v>683</v>
      </c>
      <c r="B685" s="20">
        <v>40574</v>
      </c>
      <c r="C685" s="18">
        <v>1</v>
      </c>
      <c r="D685" s="18">
        <v>0</v>
      </c>
      <c r="E685" s="18">
        <v>1</v>
      </c>
      <c r="F685" s="18">
        <v>18</v>
      </c>
      <c r="G685" s="18" t="b">
        <v>0</v>
      </c>
      <c r="H685" s="18">
        <v>1</v>
      </c>
      <c r="I685" s="18">
        <v>2</v>
      </c>
      <c r="J685" s="18">
        <v>0.16</v>
      </c>
      <c r="K685">
        <v>0.1515</v>
      </c>
      <c r="L685">
        <v>0.55000000000000004</v>
      </c>
      <c r="M685" s="18">
        <v>0.22389999999999999</v>
      </c>
      <c r="N685" s="18">
        <v>3</v>
      </c>
      <c r="O685" s="18">
        <v>153</v>
      </c>
      <c r="P685">
        <v>156</v>
      </c>
      <c r="Q685" s="18" t="s">
        <v>34</v>
      </c>
      <c r="R685" s="18" t="s">
        <v>35</v>
      </c>
      <c r="S685" s="18" t="s">
        <v>38</v>
      </c>
      <c r="T685" s="18" t="s">
        <v>41</v>
      </c>
      <c r="U685" s="18">
        <v>2011</v>
      </c>
      <c r="V685" s="16">
        <f t="shared" si="20"/>
        <v>40587</v>
      </c>
      <c r="W685" s="18" t="str">
        <f t="shared" si="21"/>
        <v>Weekday</v>
      </c>
    </row>
    <row r="686" spans="1:23" x14ac:dyDescent="0.25">
      <c r="A686" s="19">
        <v>684</v>
      </c>
      <c r="B686" s="20">
        <v>40574</v>
      </c>
      <c r="C686" s="18">
        <v>1</v>
      </c>
      <c r="D686" s="18">
        <v>0</v>
      </c>
      <c r="E686" s="18">
        <v>1</v>
      </c>
      <c r="F686" s="18">
        <v>19</v>
      </c>
      <c r="G686" s="18" t="b">
        <v>0</v>
      </c>
      <c r="H686" s="18">
        <v>1</v>
      </c>
      <c r="I686" s="18">
        <v>1</v>
      </c>
      <c r="J686" s="18">
        <v>0.3</v>
      </c>
      <c r="K686">
        <v>0.31819999999999998</v>
      </c>
      <c r="L686">
        <v>0.61</v>
      </c>
      <c r="M686" s="18">
        <v>0.1045</v>
      </c>
      <c r="N686" s="18">
        <v>3</v>
      </c>
      <c r="O686" s="18">
        <v>108</v>
      </c>
      <c r="P686">
        <v>111</v>
      </c>
      <c r="Q686" s="18" t="s">
        <v>34</v>
      </c>
      <c r="R686" s="18" t="s">
        <v>35</v>
      </c>
      <c r="S686" s="18" t="s">
        <v>36</v>
      </c>
      <c r="T686" s="18" t="s">
        <v>41</v>
      </c>
      <c r="U686" s="18">
        <v>2011</v>
      </c>
      <c r="V686" s="16">
        <f t="shared" si="20"/>
        <v>40587</v>
      </c>
      <c r="W686" s="18" t="str">
        <f t="shared" si="21"/>
        <v>Weekday</v>
      </c>
    </row>
    <row r="687" spans="1:23" x14ac:dyDescent="0.25">
      <c r="A687" s="19">
        <v>685</v>
      </c>
      <c r="B687" s="20">
        <v>40574</v>
      </c>
      <c r="C687" s="18">
        <v>1</v>
      </c>
      <c r="D687" s="18">
        <v>0</v>
      </c>
      <c r="E687" s="18">
        <v>1</v>
      </c>
      <c r="F687" s="18">
        <v>20</v>
      </c>
      <c r="G687" s="18" t="b">
        <v>0</v>
      </c>
      <c r="H687" s="18">
        <v>1</v>
      </c>
      <c r="I687" s="18">
        <v>3</v>
      </c>
      <c r="J687" s="18">
        <v>0.16</v>
      </c>
      <c r="K687">
        <v>0.16669999999999999</v>
      </c>
      <c r="L687">
        <v>0.59</v>
      </c>
      <c r="M687" s="18">
        <v>0.16420000000000001</v>
      </c>
      <c r="N687" s="18">
        <v>0</v>
      </c>
      <c r="O687" s="18">
        <v>78</v>
      </c>
      <c r="P687">
        <v>78</v>
      </c>
      <c r="Q687" s="18" t="s">
        <v>34</v>
      </c>
      <c r="R687" s="18" t="s">
        <v>35</v>
      </c>
      <c r="S687" s="18" t="s">
        <v>39</v>
      </c>
      <c r="T687" s="18" t="s">
        <v>41</v>
      </c>
      <c r="U687" s="18">
        <v>2011</v>
      </c>
      <c r="V687" s="16">
        <f t="shared" si="20"/>
        <v>40587</v>
      </c>
      <c r="W687" s="18" t="str">
        <f t="shared" si="21"/>
        <v>Weekday</v>
      </c>
    </row>
    <row r="688" spans="1:23" x14ac:dyDescent="0.25">
      <c r="A688" s="19">
        <v>686</v>
      </c>
      <c r="B688" s="20">
        <v>40574</v>
      </c>
      <c r="C688" s="18">
        <v>1</v>
      </c>
      <c r="D688" s="18">
        <v>0</v>
      </c>
      <c r="E688" s="18">
        <v>1</v>
      </c>
      <c r="F688" s="18">
        <v>21</v>
      </c>
      <c r="G688" s="18" t="b">
        <v>0</v>
      </c>
      <c r="H688" s="18">
        <v>1</v>
      </c>
      <c r="I688" s="18">
        <v>3</v>
      </c>
      <c r="J688" s="18">
        <v>0.16</v>
      </c>
      <c r="K688">
        <v>0.19700000000000001</v>
      </c>
      <c r="L688">
        <v>0.59</v>
      </c>
      <c r="M688" s="18">
        <v>8.9599999999999999E-2</v>
      </c>
      <c r="N688" s="18">
        <v>3</v>
      </c>
      <c r="O688" s="18">
        <v>53</v>
      </c>
      <c r="P688">
        <v>56</v>
      </c>
      <c r="Q688" s="18" t="s">
        <v>34</v>
      </c>
      <c r="R688" s="18" t="s">
        <v>35</v>
      </c>
      <c r="S688" s="18" t="s">
        <v>39</v>
      </c>
      <c r="T688" s="18" t="s">
        <v>41</v>
      </c>
      <c r="U688" s="18">
        <v>2011</v>
      </c>
      <c r="V688" s="16">
        <f t="shared" si="20"/>
        <v>40587</v>
      </c>
      <c r="W688" s="18" t="str">
        <f t="shared" si="21"/>
        <v>Weekday</v>
      </c>
    </row>
    <row r="689" spans="1:23" x14ac:dyDescent="0.25">
      <c r="A689" s="19">
        <v>687</v>
      </c>
      <c r="B689" s="20">
        <v>40574</v>
      </c>
      <c r="C689" s="18">
        <v>1</v>
      </c>
      <c r="D689" s="18">
        <v>0</v>
      </c>
      <c r="E689" s="18">
        <v>1</v>
      </c>
      <c r="F689" s="18">
        <v>22</v>
      </c>
      <c r="G689" s="18" t="b">
        <v>0</v>
      </c>
      <c r="H689" s="18">
        <v>1</v>
      </c>
      <c r="I689" s="18">
        <v>2</v>
      </c>
      <c r="J689" s="18">
        <v>0.16</v>
      </c>
      <c r="K689">
        <v>0.18179999999999999</v>
      </c>
      <c r="L689">
        <v>0.59</v>
      </c>
      <c r="M689" s="18">
        <v>0.1045</v>
      </c>
      <c r="N689" s="18">
        <v>0</v>
      </c>
      <c r="O689" s="18">
        <v>34</v>
      </c>
      <c r="P689">
        <v>34</v>
      </c>
      <c r="Q689" s="18" t="s">
        <v>34</v>
      </c>
      <c r="R689" s="18" t="s">
        <v>35</v>
      </c>
      <c r="S689" s="18" t="s">
        <v>38</v>
      </c>
      <c r="T689" s="18" t="s">
        <v>41</v>
      </c>
      <c r="U689" s="18">
        <v>2011</v>
      </c>
      <c r="V689" s="16">
        <f t="shared" si="20"/>
        <v>40587</v>
      </c>
      <c r="W689" s="18" t="str">
        <f t="shared" si="21"/>
        <v>Weekday</v>
      </c>
    </row>
    <row r="690" spans="1:23" x14ac:dyDescent="0.25">
      <c r="A690" s="19">
        <v>688</v>
      </c>
      <c r="B690" s="20">
        <v>40574</v>
      </c>
      <c r="C690" s="18">
        <v>1</v>
      </c>
      <c r="D690" s="18">
        <v>0</v>
      </c>
      <c r="E690" s="18">
        <v>1</v>
      </c>
      <c r="F690" s="18">
        <v>23</v>
      </c>
      <c r="G690" s="18" t="b">
        <v>0</v>
      </c>
      <c r="H690" s="18">
        <v>1</v>
      </c>
      <c r="I690" s="18">
        <v>2</v>
      </c>
      <c r="J690" s="18">
        <v>0.16</v>
      </c>
      <c r="K690">
        <v>0.19700000000000001</v>
      </c>
      <c r="L690">
        <v>0.64</v>
      </c>
      <c r="M690" s="18">
        <v>8.9599999999999999E-2</v>
      </c>
      <c r="N690" s="18">
        <v>2</v>
      </c>
      <c r="O690" s="18">
        <v>15</v>
      </c>
      <c r="P690">
        <v>17</v>
      </c>
      <c r="Q690" s="18" t="s">
        <v>34</v>
      </c>
      <c r="R690" s="18" t="s">
        <v>35</v>
      </c>
      <c r="S690" s="18" t="s">
        <v>38</v>
      </c>
      <c r="T690" s="18" t="s">
        <v>41</v>
      </c>
      <c r="U690" s="18">
        <v>2011</v>
      </c>
      <c r="V690" s="16">
        <f t="shared" si="20"/>
        <v>40587</v>
      </c>
      <c r="W690" s="18" t="str">
        <f t="shared" si="21"/>
        <v>Weekday</v>
      </c>
    </row>
    <row r="691" spans="1:23" x14ac:dyDescent="0.25">
      <c r="A691" s="19">
        <v>689</v>
      </c>
      <c r="B691" s="20">
        <v>40575</v>
      </c>
      <c r="C691" s="18">
        <v>1</v>
      </c>
      <c r="D691" s="18">
        <v>0</v>
      </c>
      <c r="E691" s="18">
        <v>2</v>
      </c>
      <c r="F691" s="18">
        <v>0</v>
      </c>
      <c r="G691" s="18" t="b">
        <v>0</v>
      </c>
      <c r="H691" s="18">
        <v>2</v>
      </c>
      <c r="I691" s="18">
        <v>2</v>
      </c>
      <c r="J691" s="18">
        <v>0.16</v>
      </c>
      <c r="K691">
        <v>0.18179999999999999</v>
      </c>
      <c r="L691">
        <v>0.64</v>
      </c>
      <c r="M691" s="18">
        <v>0.1045</v>
      </c>
      <c r="N691" s="18">
        <v>2</v>
      </c>
      <c r="O691" s="18">
        <v>6</v>
      </c>
      <c r="P691">
        <v>8</v>
      </c>
      <c r="Q691" s="18" t="s">
        <v>47</v>
      </c>
      <c r="R691" s="18" t="s">
        <v>35</v>
      </c>
      <c r="S691" s="18" t="s">
        <v>38</v>
      </c>
      <c r="T691" s="18" t="s">
        <v>42</v>
      </c>
      <c r="U691" s="18">
        <v>2011</v>
      </c>
      <c r="V691" s="16">
        <f t="shared" si="20"/>
        <v>40587</v>
      </c>
      <c r="W691" s="18" t="str">
        <f t="shared" si="21"/>
        <v>Weekday</v>
      </c>
    </row>
    <row r="692" spans="1:23" x14ac:dyDescent="0.25">
      <c r="A692" s="19">
        <v>690</v>
      </c>
      <c r="B692" s="20">
        <v>40575</v>
      </c>
      <c r="C692" s="18">
        <v>1</v>
      </c>
      <c r="D692" s="18">
        <v>0</v>
      </c>
      <c r="E692" s="18">
        <v>2</v>
      </c>
      <c r="F692" s="18">
        <v>1</v>
      </c>
      <c r="G692" s="18" t="b">
        <v>0</v>
      </c>
      <c r="H692" s="18">
        <v>2</v>
      </c>
      <c r="I692" s="18">
        <v>2</v>
      </c>
      <c r="J692" s="18">
        <v>0.16</v>
      </c>
      <c r="K692">
        <v>0.18179999999999999</v>
      </c>
      <c r="L692">
        <v>0.69</v>
      </c>
      <c r="M692" s="18">
        <v>0.1045</v>
      </c>
      <c r="N692" s="18">
        <v>0</v>
      </c>
      <c r="O692" s="18">
        <v>3</v>
      </c>
      <c r="P692">
        <v>3</v>
      </c>
      <c r="Q692" s="18" t="s">
        <v>47</v>
      </c>
      <c r="R692" s="18" t="s">
        <v>35</v>
      </c>
      <c r="S692" s="18" t="s">
        <v>38</v>
      </c>
      <c r="T692" s="18" t="s">
        <v>42</v>
      </c>
      <c r="U692" s="18">
        <v>2011</v>
      </c>
      <c r="V692" s="16">
        <f t="shared" si="20"/>
        <v>40587</v>
      </c>
      <c r="W692" s="18" t="str">
        <f t="shared" si="21"/>
        <v>Weekday</v>
      </c>
    </row>
    <row r="693" spans="1:23" x14ac:dyDescent="0.25">
      <c r="A693" s="19">
        <v>691</v>
      </c>
      <c r="B693" s="20">
        <v>40575</v>
      </c>
      <c r="C693" s="18">
        <v>1</v>
      </c>
      <c r="D693" s="18">
        <v>0</v>
      </c>
      <c r="E693" s="18">
        <v>2</v>
      </c>
      <c r="F693" s="18">
        <v>2</v>
      </c>
      <c r="G693" s="18" t="b">
        <v>0</v>
      </c>
      <c r="H693" s="18">
        <v>2</v>
      </c>
      <c r="I693" s="18">
        <v>2</v>
      </c>
      <c r="J693" s="18">
        <v>0.16</v>
      </c>
      <c r="K693">
        <v>0.2273</v>
      </c>
      <c r="L693">
        <v>0.69</v>
      </c>
      <c r="M693" s="18">
        <v>0</v>
      </c>
      <c r="N693" s="18">
        <v>0</v>
      </c>
      <c r="O693" s="18">
        <v>2</v>
      </c>
      <c r="P693">
        <v>2</v>
      </c>
      <c r="Q693" s="18" t="s">
        <v>47</v>
      </c>
      <c r="R693" s="18" t="s">
        <v>35</v>
      </c>
      <c r="S693" s="18" t="s">
        <v>38</v>
      </c>
      <c r="T693" s="18" t="s">
        <v>42</v>
      </c>
      <c r="U693" s="18">
        <v>2011</v>
      </c>
      <c r="V693" s="16">
        <f t="shared" si="20"/>
        <v>40587</v>
      </c>
      <c r="W693" s="18" t="str">
        <f t="shared" si="21"/>
        <v>Weekday</v>
      </c>
    </row>
    <row r="694" spans="1:23" x14ac:dyDescent="0.25">
      <c r="A694" s="19">
        <v>692</v>
      </c>
      <c r="B694" s="20">
        <v>40575</v>
      </c>
      <c r="C694" s="18">
        <v>1</v>
      </c>
      <c r="D694" s="18">
        <v>0</v>
      </c>
      <c r="E694" s="18">
        <v>2</v>
      </c>
      <c r="F694" s="18">
        <v>3</v>
      </c>
      <c r="G694" s="18" t="b">
        <v>0</v>
      </c>
      <c r="H694" s="18">
        <v>2</v>
      </c>
      <c r="I694" s="18">
        <v>2</v>
      </c>
      <c r="J694" s="18">
        <v>0.16</v>
      </c>
      <c r="K694">
        <v>0.2273</v>
      </c>
      <c r="L694">
        <v>0.69</v>
      </c>
      <c r="M694" s="18">
        <v>0</v>
      </c>
      <c r="N694" s="18">
        <v>0</v>
      </c>
      <c r="O694" s="18">
        <v>2</v>
      </c>
      <c r="P694">
        <v>2</v>
      </c>
      <c r="Q694" s="18" t="s">
        <v>47</v>
      </c>
      <c r="R694" s="18" t="s">
        <v>35</v>
      </c>
      <c r="S694" s="18" t="s">
        <v>38</v>
      </c>
      <c r="T694" s="18" t="s">
        <v>42</v>
      </c>
      <c r="U694" s="18">
        <v>2011</v>
      </c>
      <c r="V694" s="16">
        <f t="shared" si="20"/>
        <v>40587</v>
      </c>
      <c r="W694" s="18" t="str">
        <f t="shared" si="21"/>
        <v>Weekday</v>
      </c>
    </row>
    <row r="695" spans="1:23" x14ac:dyDescent="0.25">
      <c r="A695" s="19">
        <v>693</v>
      </c>
      <c r="B695" s="20">
        <v>40575</v>
      </c>
      <c r="C695" s="18">
        <v>1</v>
      </c>
      <c r="D695" s="18">
        <v>0</v>
      </c>
      <c r="E695" s="18">
        <v>2</v>
      </c>
      <c r="F695" s="18">
        <v>5</v>
      </c>
      <c r="G695" s="18" t="b">
        <v>0</v>
      </c>
      <c r="H695" s="18">
        <v>2</v>
      </c>
      <c r="I695" s="18">
        <v>3</v>
      </c>
      <c r="J695" s="18">
        <v>0.14000000000000001</v>
      </c>
      <c r="K695">
        <v>0.21210000000000001</v>
      </c>
      <c r="L695">
        <v>0.93</v>
      </c>
      <c r="M695" s="18">
        <v>0</v>
      </c>
      <c r="N695" s="18">
        <v>0</v>
      </c>
      <c r="O695" s="18">
        <v>3</v>
      </c>
      <c r="P695">
        <v>3</v>
      </c>
      <c r="Q695" s="18" t="s">
        <v>47</v>
      </c>
      <c r="R695" s="18" t="s">
        <v>35</v>
      </c>
      <c r="S695" s="18" t="s">
        <v>39</v>
      </c>
      <c r="T695" s="18" t="s">
        <v>42</v>
      </c>
      <c r="U695" s="18">
        <v>2011</v>
      </c>
      <c r="V695" s="16">
        <f t="shared" si="20"/>
        <v>40587</v>
      </c>
      <c r="W695" s="18" t="str">
        <f t="shared" si="21"/>
        <v>Weekday</v>
      </c>
    </row>
    <row r="696" spans="1:23" x14ac:dyDescent="0.25">
      <c r="A696" s="19">
        <v>694</v>
      </c>
      <c r="B696" s="20">
        <v>40575</v>
      </c>
      <c r="C696" s="18">
        <v>1</v>
      </c>
      <c r="D696" s="18">
        <v>0</v>
      </c>
      <c r="E696" s="18">
        <v>2</v>
      </c>
      <c r="F696" s="18">
        <v>6</v>
      </c>
      <c r="G696" s="18" t="b">
        <v>0</v>
      </c>
      <c r="H696" s="18">
        <v>2</v>
      </c>
      <c r="I696" s="18">
        <v>3</v>
      </c>
      <c r="J696" s="18">
        <v>0.14000000000000001</v>
      </c>
      <c r="K696">
        <v>0.21210000000000001</v>
      </c>
      <c r="L696">
        <v>0.93</v>
      </c>
      <c r="M696" s="18">
        <v>0</v>
      </c>
      <c r="N696" s="18">
        <v>0</v>
      </c>
      <c r="O696" s="18">
        <v>22</v>
      </c>
      <c r="P696">
        <v>22</v>
      </c>
      <c r="Q696" s="18" t="s">
        <v>47</v>
      </c>
      <c r="R696" s="18" t="s">
        <v>35</v>
      </c>
      <c r="S696" s="18" t="s">
        <v>39</v>
      </c>
      <c r="T696" s="18" t="s">
        <v>42</v>
      </c>
      <c r="U696" s="18">
        <v>2011</v>
      </c>
      <c r="V696" s="16">
        <f t="shared" si="20"/>
        <v>40587</v>
      </c>
      <c r="W696" s="18" t="str">
        <f t="shared" si="21"/>
        <v>Weekday</v>
      </c>
    </row>
    <row r="697" spans="1:23" x14ac:dyDescent="0.25">
      <c r="A697" s="19">
        <v>695</v>
      </c>
      <c r="B697" s="20">
        <v>40575</v>
      </c>
      <c r="C697" s="18">
        <v>1</v>
      </c>
      <c r="D697" s="18">
        <v>0</v>
      </c>
      <c r="E697" s="18">
        <v>2</v>
      </c>
      <c r="F697" s="18">
        <v>7</v>
      </c>
      <c r="G697" s="18" t="b">
        <v>0</v>
      </c>
      <c r="H697" s="18">
        <v>2</v>
      </c>
      <c r="I697" s="18">
        <v>3</v>
      </c>
      <c r="J697" s="18">
        <v>0.16</v>
      </c>
      <c r="K697">
        <v>0.2273</v>
      </c>
      <c r="L697">
        <v>0.93</v>
      </c>
      <c r="M697" s="18">
        <v>0</v>
      </c>
      <c r="N697" s="18">
        <v>0</v>
      </c>
      <c r="O697" s="18">
        <v>52</v>
      </c>
      <c r="P697">
        <v>52</v>
      </c>
      <c r="Q697" s="18" t="s">
        <v>47</v>
      </c>
      <c r="R697" s="18" t="s">
        <v>35</v>
      </c>
      <c r="S697" s="18" t="s">
        <v>39</v>
      </c>
      <c r="T697" s="18" t="s">
        <v>42</v>
      </c>
      <c r="U697" s="18">
        <v>2011</v>
      </c>
      <c r="V697" s="16">
        <f t="shared" si="20"/>
        <v>40587</v>
      </c>
      <c r="W697" s="18" t="str">
        <f t="shared" si="21"/>
        <v>Weekday</v>
      </c>
    </row>
    <row r="698" spans="1:23" x14ac:dyDescent="0.25">
      <c r="A698" s="19">
        <v>696</v>
      </c>
      <c r="B698" s="20">
        <v>40575</v>
      </c>
      <c r="C698" s="18">
        <v>1</v>
      </c>
      <c r="D698" s="18">
        <v>0</v>
      </c>
      <c r="E698" s="18">
        <v>2</v>
      </c>
      <c r="F698" s="18">
        <v>8</v>
      </c>
      <c r="G698" s="18" t="b">
        <v>0</v>
      </c>
      <c r="H698" s="18">
        <v>2</v>
      </c>
      <c r="I698" s="18">
        <v>3</v>
      </c>
      <c r="J698" s="18">
        <v>0.16</v>
      </c>
      <c r="K698">
        <v>0.2273</v>
      </c>
      <c r="L698">
        <v>0.93</v>
      </c>
      <c r="M698" s="18">
        <v>0</v>
      </c>
      <c r="N698" s="18">
        <v>3</v>
      </c>
      <c r="O698" s="18">
        <v>132</v>
      </c>
      <c r="P698">
        <v>135</v>
      </c>
      <c r="Q698" s="18" t="s">
        <v>47</v>
      </c>
      <c r="R698" s="18" t="s">
        <v>35</v>
      </c>
      <c r="S698" s="18" t="s">
        <v>39</v>
      </c>
      <c r="T698" s="18" t="s">
        <v>42</v>
      </c>
      <c r="U698" s="18">
        <v>2011</v>
      </c>
      <c r="V698" s="16">
        <f t="shared" si="20"/>
        <v>40587</v>
      </c>
      <c r="W698" s="18" t="str">
        <f t="shared" si="21"/>
        <v>Weekday</v>
      </c>
    </row>
    <row r="699" spans="1:23" x14ac:dyDescent="0.25">
      <c r="A699" s="19">
        <v>697</v>
      </c>
      <c r="B699" s="20">
        <v>40575</v>
      </c>
      <c r="C699" s="18">
        <v>1</v>
      </c>
      <c r="D699" s="18">
        <v>0</v>
      </c>
      <c r="E699" s="18">
        <v>2</v>
      </c>
      <c r="F699" s="18">
        <v>9</v>
      </c>
      <c r="G699" s="18" t="b">
        <v>0</v>
      </c>
      <c r="H699" s="18">
        <v>2</v>
      </c>
      <c r="I699" s="18">
        <v>2</v>
      </c>
      <c r="J699" s="18">
        <v>0.16</v>
      </c>
      <c r="K699">
        <v>0.2273</v>
      </c>
      <c r="L699">
        <v>0.93</v>
      </c>
      <c r="M699" s="18">
        <v>0</v>
      </c>
      <c r="N699" s="18">
        <v>2</v>
      </c>
      <c r="O699" s="18">
        <v>114</v>
      </c>
      <c r="P699">
        <v>116</v>
      </c>
      <c r="Q699" s="18" t="s">
        <v>47</v>
      </c>
      <c r="R699" s="18" t="s">
        <v>35</v>
      </c>
      <c r="S699" s="18" t="s">
        <v>38</v>
      </c>
      <c r="T699" s="18" t="s">
        <v>42</v>
      </c>
      <c r="U699" s="18">
        <v>2011</v>
      </c>
      <c r="V699" s="16">
        <f t="shared" si="20"/>
        <v>40587</v>
      </c>
      <c r="W699" s="18" t="str">
        <f t="shared" si="21"/>
        <v>Weekday</v>
      </c>
    </row>
    <row r="700" spans="1:23" x14ac:dyDescent="0.25">
      <c r="A700" s="19">
        <v>698</v>
      </c>
      <c r="B700" s="20">
        <v>40575</v>
      </c>
      <c r="C700" s="18">
        <v>1</v>
      </c>
      <c r="D700" s="18">
        <v>0</v>
      </c>
      <c r="E700" s="18">
        <v>2</v>
      </c>
      <c r="F700" s="18">
        <v>10</v>
      </c>
      <c r="G700" s="18" t="b">
        <v>0</v>
      </c>
      <c r="H700" s="18">
        <v>2</v>
      </c>
      <c r="I700" s="18">
        <v>2</v>
      </c>
      <c r="J700" s="18">
        <v>0.16</v>
      </c>
      <c r="K700">
        <v>0.2273</v>
      </c>
      <c r="L700">
        <v>0.93</v>
      </c>
      <c r="M700" s="18">
        <v>0</v>
      </c>
      <c r="N700" s="18">
        <v>0</v>
      </c>
      <c r="O700" s="18">
        <v>47</v>
      </c>
      <c r="P700">
        <v>47</v>
      </c>
      <c r="Q700" s="18" t="s">
        <v>47</v>
      </c>
      <c r="R700" s="18" t="s">
        <v>35</v>
      </c>
      <c r="S700" s="18" t="s">
        <v>38</v>
      </c>
      <c r="T700" s="18" t="s">
        <v>42</v>
      </c>
      <c r="U700" s="18">
        <v>2011</v>
      </c>
      <c r="V700" s="16">
        <f t="shared" si="20"/>
        <v>40587</v>
      </c>
      <c r="W700" s="18" t="str">
        <f t="shared" si="21"/>
        <v>Weekday</v>
      </c>
    </row>
    <row r="701" spans="1:23" x14ac:dyDescent="0.25">
      <c r="A701" s="19">
        <v>699</v>
      </c>
      <c r="B701" s="20">
        <v>40575</v>
      </c>
      <c r="C701" s="18">
        <v>1</v>
      </c>
      <c r="D701" s="18">
        <v>0</v>
      </c>
      <c r="E701" s="18">
        <v>2</v>
      </c>
      <c r="F701" s="18">
        <v>11</v>
      </c>
      <c r="G701" s="18" t="b">
        <v>0</v>
      </c>
      <c r="H701" s="18">
        <v>2</v>
      </c>
      <c r="I701" s="18">
        <v>2</v>
      </c>
      <c r="J701" s="18">
        <v>0.18</v>
      </c>
      <c r="K701">
        <v>0.2424</v>
      </c>
      <c r="L701">
        <v>0.86</v>
      </c>
      <c r="M701" s="18">
        <v>0</v>
      </c>
      <c r="N701" s="18">
        <v>2</v>
      </c>
      <c r="O701" s="18">
        <v>49</v>
      </c>
      <c r="P701">
        <v>51</v>
      </c>
      <c r="Q701" s="18" t="s">
        <v>47</v>
      </c>
      <c r="R701" s="18" t="s">
        <v>35</v>
      </c>
      <c r="S701" s="18" t="s">
        <v>38</v>
      </c>
      <c r="T701" s="18" t="s">
        <v>42</v>
      </c>
      <c r="U701" s="18">
        <v>2011</v>
      </c>
      <c r="V701" s="16">
        <f t="shared" si="20"/>
        <v>40587</v>
      </c>
      <c r="W701" s="18" t="str">
        <f t="shared" si="21"/>
        <v>Weekday</v>
      </c>
    </row>
    <row r="702" spans="1:23" x14ac:dyDescent="0.25">
      <c r="A702" s="19">
        <v>700</v>
      </c>
      <c r="B702" s="20">
        <v>40575</v>
      </c>
      <c r="C702" s="18">
        <v>1</v>
      </c>
      <c r="D702" s="18">
        <v>0</v>
      </c>
      <c r="E702" s="18">
        <v>2</v>
      </c>
      <c r="F702" s="18">
        <v>12</v>
      </c>
      <c r="G702" s="18" t="b">
        <v>0</v>
      </c>
      <c r="H702" s="18">
        <v>2</v>
      </c>
      <c r="I702" s="18">
        <v>2</v>
      </c>
      <c r="J702" s="18">
        <v>0.2</v>
      </c>
      <c r="K702">
        <v>0.2576</v>
      </c>
      <c r="L702">
        <v>0.86</v>
      </c>
      <c r="M702" s="18">
        <v>0</v>
      </c>
      <c r="N702" s="18">
        <v>2</v>
      </c>
      <c r="O702" s="18">
        <v>53</v>
      </c>
      <c r="P702">
        <v>55</v>
      </c>
      <c r="Q702" s="18" t="s">
        <v>47</v>
      </c>
      <c r="R702" s="18" t="s">
        <v>35</v>
      </c>
      <c r="S702" s="18" t="s">
        <v>38</v>
      </c>
      <c r="T702" s="18" t="s">
        <v>42</v>
      </c>
      <c r="U702" s="18">
        <v>2011</v>
      </c>
      <c r="V702" s="16">
        <f t="shared" si="20"/>
        <v>40587</v>
      </c>
      <c r="W702" s="18" t="str">
        <f t="shared" si="21"/>
        <v>Weekday</v>
      </c>
    </row>
    <row r="703" spans="1:23" x14ac:dyDescent="0.25">
      <c r="A703" s="19">
        <v>701</v>
      </c>
      <c r="B703" s="20">
        <v>40575</v>
      </c>
      <c r="C703" s="18">
        <v>1</v>
      </c>
      <c r="D703" s="18">
        <v>0</v>
      </c>
      <c r="E703" s="18">
        <v>2</v>
      </c>
      <c r="F703" s="18">
        <v>13</v>
      </c>
      <c r="G703" s="18" t="b">
        <v>0</v>
      </c>
      <c r="H703" s="18">
        <v>2</v>
      </c>
      <c r="I703" s="18">
        <v>2</v>
      </c>
      <c r="J703" s="18">
        <v>0.2</v>
      </c>
      <c r="K703">
        <v>0.2576</v>
      </c>
      <c r="L703">
        <v>0.86</v>
      </c>
      <c r="M703" s="18">
        <v>0</v>
      </c>
      <c r="N703" s="18">
        <v>3</v>
      </c>
      <c r="O703" s="18">
        <v>49</v>
      </c>
      <c r="P703">
        <v>52</v>
      </c>
      <c r="Q703" s="18" t="s">
        <v>47</v>
      </c>
      <c r="R703" s="18" t="s">
        <v>35</v>
      </c>
      <c r="S703" s="18" t="s">
        <v>38</v>
      </c>
      <c r="T703" s="18" t="s">
        <v>42</v>
      </c>
      <c r="U703" s="18">
        <v>2011</v>
      </c>
      <c r="V703" s="16">
        <f t="shared" si="20"/>
        <v>40587</v>
      </c>
      <c r="W703" s="18" t="str">
        <f t="shared" si="21"/>
        <v>Weekday</v>
      </c>
    </row>
    <row r="704" spans="1:23" x14ac:dyDescent="0.25">
      <c r="A704" s="19">
        <v>702</v>
      </c>
      <c r="B704" s="20">
        <v>40575</v>
      </c>
      <c r="C704" s="18">
        <v>1</v>
      </c>
      <c r="D704" s="18">
        <v>0</v>
      </c>
      <c r="E704" s="18">
        <v>2</v>
      </c>
      <c r="F704" s="18">
        <v>14</v>
      </c>
      <c r="G704" s="18" t="b">
        <v>0</v>
      </c>
      <c r="H704" s="18">
        <v>2</v>
      </c>
      <c r="I704" s="18">
        <v>2</v>
      </c>
      <c r="J704" s="18">
        <v>0.22</v>
      </c>
      <c r="K704">
        <v>0.2576</v>
      </c>
      <c r="L704">
        <v>0.8</v>
      </c>
      <c r="M704" s="18">
        <v>8.9599999999999999E-2</v>
      </c>
      <c r="N704" s="18">
        <v>5</v>
      </c>
      <c r="O704" s="18">
        <v>49</v>
      </c>
      <c r="P704">
        <v>54</v>
      </c>
      <c r="Q704" s="18" t="s">
        <v>47</v>
      </c>
      <c r="R704" s="18" t="s">
        <v>35</v>
      </c>
      <c r="S704" s="18" t="s">
        <v>38</v>
      </c>
      <c r="T704" s="18" t="s">
        <v>42</v>
      </c>
      <c r="U704" s="18">
        <v>2011</v>
      </c>
      <c r="V704" s="16">
        <f t="shared" si="20"/>
        <v>40587</v>
      </c>
      <c r="W704" s="18" t="str">
        <f t="shared" si="21"/>
        <v>Weekday</v>
      </c>
    </row>
    <row r="705" spans="1:23" x14ac:dyDescent="0.25">
      <c r="A705" s="19">
        <v>703</v>
      </c>
      <c r="B705" s="20">
        <v>40575</v>
      </c>
      <c r="C705" s="18">
        <v>1</v>
      </c>
      <c r="D705" s="18">
        <v>0</v>
      </c>
      <c r="E705" s="18">
        <v>2</v>
      </c>
      <c r="F705" s="18">
        <v>15</v>
      </c>
      <c r="G705" s="18" t="b">
        <v>0</v>
      </c>
      <c r="H705" s="18">
        <v>2</v>
      </c>
      <c r="I705" s="18">
        <v>2</v>
      </c>
      <c r="J705" s="18">
        <v>0.24</v>
      </c>
      <c r="K705">
        <v>0.28789999999999999</v>
      </c>
      <c r="L705">
        <v>0.75</v>
      </c>
      <c r="M705" s="18">
        <v>0</v>
      </c>
      <c r="N705" s="18">
        <v>7</v>
      </c>
      <c r="O705" s="18">
        <v>45</v>
      </c>
      <c r="P705">
        <v>52</v>
      </c>
      <c r="Q705" s="18" t="s">
        <v>47</v>
      </c>
      <c r="R705" s="18" t="s">
        <v>35</v>
      </c>
      <c r="S705" s="18" t="s">
        <v>38</v>
      </c>
      <c r="T705" s="18" t="s">
        <v>42</v>
      </c>
      <c r="U705" s="18">
        <v>2011</v>
      </c>
      <c r="V705" s="16">
        <f t="shared" si="20"/>
        <v>40587</v>
      </c>
      <c r="W705" s="18" t="str">
        <f t="shared" si="21"/>
        <v>Weekday</v>
      </c>
    </row>
    <row r="706" spans="1:23" x14ac:dyDescent="0.25">
      <c r="A706" s="19">
        <v>704</v>
      </c>
      <c r="B706" s="20">
        <v>40575</v>
      </c>
      <c r="C706" s="18">
        <v>1</v>
      </c>
      <c r="D706" s="18">
        <v>0</v>
      </c>
      <c r="E706" s="18">
        <v>2</v>
      </c>
      <c r="F706" s="18">
        <v>16</v>
      </c>
      <c r="G706" s="18" t="b">
        <v>0</v>
      </c>
      <c r="H706" s="18">
        <v>2</v>
      </c>
      <c r="I706" s="18">
        <v>2</v>
      </c>
      <c r="J706" s="18">
        <v>0.24</v>
      </c>
      <c r="K706">
        <v>0.2424</v>
      </c>
      <c r="L706">
        <v>0.75</v>
      </c>
      <c r="M706" s="18">
        <v>0.1343</v>
      </c>
      <c r="N706" s="18">
        <v>3</v>
      </c>
      <c r="O706" s="18">
        <v>61</v>
      </c>
      <c r="P706">
        <v>64</v>
      </c>
      <c r="Q706" s="18" t="s">
        <v>47</v>
      </c>
      <c r="R706" s="18" t="s">
        <v>35</v>
      </c>
      <c r="S706" s="18" t="s">
        <v>38</v>
      </c>
      <c r="T706" s="18" t="s">
        <v>42</v>
      </c>
      <c r="U706" s="18">
        <v>2011</v>
      </c>
      <c r="V706" s="16">
        <f t="shared" si="20"/>
        <v>40587</v>
      </c>
      <c r="W706" s="18" t="str">
        <f t="shared" si="21"/>
        <v>Weekday</v>
      </c>
    </row>
    <row r="707" spans="1:23" x14ac:dyDescent="0.25">
      <c r="A707" s="19">
        <v>705</v>
      </c>
      <c r="B707" s="20">
        <v>40575</v>
      </c>
      <c r="C707" s="18">
        <v>1</v>
      </c>
      <c r="D707" s="18">
        <v>0</v>
      </c>
      <c r="E707" s="18">
        <v>2</v>
      </c>
      <c r="F707" s="18">
        <v>17</v>
      </c>
      <c r="G707" s="18" t="b">
        <v>0</v>
      </c>
      <c r="H707" s="18">
        <v>2</v>
      </c>
      <c r="I707" s="18">
        <v>2</v>
      </c>
      <c r="J707" s="18">
        <v>0.24</v>
      </c>
      <c r="K707">
        <v>0.28789999999999999</v>
      </c>
      <c r="L707">
        <v>0.75</v>
      </c>
      <c r="M707" s="18">
        <v>0</v>
      </c>
      <c r="N707" s="18">
        <v>4</v>
      </c>
      <c r="O707" s="18">
        <v>172</v>
      </c>
      <c r="P707">
        <v>176</v>
      </c>
      <c r="Q707" s="18" t="s">
        <v>47</v>
      </c>
      <c r="R707" s="18" t="s">
        <v>35</v>
      </c>
      <c r="S707" s="18" t="s">
        <v>38</v>
      </c>
      <c r="T707" s="18" t="s">
        <v>42</v>
      </c>
      <c r="U707" s="18">
        <v>2011</v>
      </c>
      <c r="V707" s="16">
        <f t="shared" ref="V707:V770" si="22">INDEX(B707:B1705,MATCH(MAX(K707:K1705),K707:K1705,0))</f>
        <v>40587</v>
      </c>
      <c r="W707" s="18" t="str">
        <f t="shared" ref="W707:W770" si="23">IF(G707=TRUE,"Holiday",IF(OR(H707=0,H707=6),"Weedend","Weekday"))</f>
        <v>Weekday</v>
      </c>
    </row>
    <row r="708" spans="1:23" x14ac:dyDescent="0.25">
      <c r="A708" s="19">
        <v>706</v>
      </c>
      <c r="B708" s="20">
        <v>40575</v>
      </c>
      <c r="C708" s="18">
        <v>1</v>
      </c>
      <c r="D708" s="18">
        <v>0</v>
      </c>
      <c r="E708" s="18">
        <v>2</v>
      </c>
      <c r="F708" s="18">
        <v>18</v>
      </c>
      <c r="G708" s="18" t="b">
        <v>0</v>
      </c>
      <c r="H708" s="18">
        <v>2</v>
      </c>
      <c r="I708" s="18">
        <v>2</v>
      </c>
      <c r="J708" s="18">
        <v>0.24</v>
      </c>
      <c r="K708">
        <v>0.2576</v>
      </c>
      <c r="L708">
        <v>0.81</v>
      </c>
      <c r="M708" s="18">
        <v>0.1045</v>
      </c>
      <c r="N708" s="18">
        <v>3</v>
      </c>
      <c r="O708" s="18">
        <v>165</v>
      </c>
      <c r="P708">
        <v>168</v>
      </c>
      <c r="Q708" s="18" t="s">
        <v>47</v>
      </c>
      <c r="R708" s="18" t="s">
        <v>35</v>
      </c>
      <c r="S708" s="18" t="s">
        <v>38</v>
      </c>
      <c r="T708" s="18" t="s">
        <v>42</v>
      </c>
      <c r="U708" s="18">
        <v>2011</v>
      </c>
      <c r="V708" s="16">
        <f t="shared" si="22"/>
        <v>40587</v>
      </c>
      <c r="W708" s="18" t="str">
        <f t="shared" si="23"/>
        <v>Weekday</v>
      </c>
    </row>
    <row r="709" spans="1:23" x14ac:dyDescent="0.25">
      <c r="A709" s="19">
        <v>707</v>
      </c>
      <c r="B709" s="20">
        <v>40575</v>
      </c>
      <c r="C709" s="18">
        <v>1</v>
      </c>
      <c r="D709" s="18">
        <v>0</v>
      </c>
      <c r="E709" s="18">
        <v>2</v>
      </c>
      <c r="F709" s="18">
        <v>19</v>
      </c>
      <c r="G709" s="18" t="b">
        <v>0</v>
      </c>
      <c r="H709" s="18">
        <v>2</v>
      </c>
      <c r="I709" s="18">
        <v>2</v>
      </c>
      <c r="J709" s="18">
        <v>0.24</v>
      </c>
      <c r="K709">
        <v>0.2424</v>
      </c>
      <c r="L709">
        <v>0.81</v>
      </c>
      <c r="M709" s="18">
        <v>0.1343</v>
      </c>
      <c r="N709" s="18">
        <v>3</v>
      </c>
      <c r="O709" s="18">
        <v>105</v>
      </c>
      <c r="P709">
        <v>108</v>
      </c>
      <c r="Q709" s="18" t="s">
        <v>47</v>
      </c>
      <c r="R709" s="18" t="s">
        <v>35</v>
      </c>
      <c r="S709" s="18" t="s">
        <v>38</v>
      </c>
      <c r="T709" s="18" t="s">
        <v>42</v>
      </c>
      <c r="U709" s="18">
        <v>2011</v>
      </c>
      <c r="V709" s="16">
        <f t="shared" si="22"/>
        <v>40587</v>
      </c>
      <c r="W709" s="18" t="str">
        <f t="shared" si="23"/>
        <v>Weekday</v>
      </c>
    </row>
    <row r="710" spans="1:23" x14ac:dyDescent="0.25">
      <c r="A710" s="19">
        <v>708</v>
      </c>
      <c r="B710" s="20">
        <v>40575</v>
      </c>
      <c r="C710" s="18">
        <v>1</v>
      </c>
      <c r="D710" s="18">
        <v>0</v>
      </c>
      <c r="E710" s="18">
        <v>2</v>
      </c>
      <c r="F710" s="18">
        <v>20</v>
      </c>
      <c r="G710" s="18" t="b">
        <v>0</v>
      </c>
      <c r="H710" s="18">
        <v>2</v>
      </c>
      <c r="I710" s="18">
        <v>2</v>
      </c>
      <c r="J710" s="18">
        <v>0.22</v>
      </c>
      <c r="K710">
        <v>0.2273</v>
      </c>
      <c r="L710">
        <v>0.87</v>
      </c>
      <c r="M710" s="18">
        <v>0.1343</v>
      </c>
      <c r="N710" s="18">
        <v>5</v>
      </c>
      <c r="O710" s="18">
        <v>69</v>
      </c>
      <c r="P710">
        <v>74</v>
      </c>
      <c r="Q710" s="18" t="s">
        <v>47</v>
      </c>
      <c r="R710" s="18" t="s">
        <v>35</v>
      </c>
      <c r="S710" s="18" t="s">
        <v>38</v>
      </c>
      <c r="T710" s="18" t="s">
        <v>42</v>
      </c>
      <c r="U710" s="18">
        <v>2011</v>
      </c>
      <c r="V710" s="16">
        <f t="shared" si="22"/>
        <v>40587</v>
      </c>
      <c r="W710" s="18" t="str">
        <f t="shared" si="23"/>
        <v>Weekday</v>
      </c>
    </row>
    <row r="711" spans="1:23" x14ac:dyDescent="0.25">
      <c r="A711" s="19">
        <v>709</v>
      </c>
      <c r="B711" s="20">
        <v>40575</v>
      </c>
      <c r="C711" s="18">
        <v>1</v>
      </c>
      <c r="D711" s="18">
        <v>0</v>
      </c>
      <c r="E711" s="18">
        <v>2</v>
      </c>
      <c r="F711" s="18">
        <v>21</v>
      </c>
      <c r="G711" s="18" t="b">
        <v>0</v>
      </c>
      <c r="H711" s="18">
        <v>2</v>
      </c>
      <c r="I711" s="18">
        <v>2</v>
      </c>
      <c r="J711" s="18">
        <v>0.22</v>
      </c>
      <c r="K711">
        <v>0.2273</v>
      </c>
      <c r="L711">
        <v>0.87</v>
      </c>
      <c r="M711" s="18">
        <v>0.1343</v>
      </c>
      <c r="N711" s="18">
        <v>0</v>
      </c>
      <c r="O711" s="18">
        <v>64</v>
      </c>
      <c r="P711">
        <v>64</v>
      </c>
      <c r="Q711" s="18" t="s">
        <v>47</v>
      </c>
      <c r="R711" s="18" t="s">
        <v>35</v>
      </c>
      <c r="S711" s="18" t="s">
        <v>38</v>
      </c>
      <c r="T711" s="18" t="s">
        <v>42</v>
      </c>
      <c r="U711" s="18">
        <v>2011</v>
      </c>
      <c r="V711" s="16">
        <f t="shared" si="22"/>
        <v>40587</v>
      </c>
      <c r="W711" s="18" t="str">
        <f t="shared" si="23"/>
        <v>Weekday</v>
      </c>
    </row>
    <row r="712" spans="1:23" x14ac:dyDescent="0.25">
      <c r="A712" s="19">
        <v>710</v>
      </c>
      <c r="B712" s="20">
        <v>40575</v>
      </c>
      <c r="C712" s="18">
        <v>1</v>
      </c>
      <c r="D712" s="18">
        <v>0</v>
      </c>
      <c r="E712" s="18">
        <v>2</v>
      </c>
      <c r="F712" s="18">
        <v>22</v>
      </c>
      <c r="G712" s="18" t="b">
        <v>0</v>
      </c>
      <c r="H712" s="18">
        <v>2</v>
      </c>
      <c r="I712" s="18">
        <v>2</v>
      </c>
      <c r="J712" s="18">
        <v>0.22</v>
      </c>
      <c r="K712">
        <v>0.2576</v>
      </c>
      <c r="L712">
        <v>0.87</v>
      </c>
      <c r="M712" s="18">
        <v>8.9599999999999999E-2</v>
      </c>
      <c r="N712" s="18">
        <v>2</v>
      </c>
      <c r="O712" s="18">
        <v>34</v>
      </c>
      <c r="P712">
        <v>36</v>
      </c>
      <c r="Q712" s="18" t="s">
        <v>47</v>
      </c>
      <c r="R712" s="18" t="s">
        <v>35</v>
      </c>
      <c r="S712" s="18" t="s">
        <v>38</v>
      </c>
      <c r="T712" s="18" t="s">
        <v>42</v>
      </c>
      <c r="U712" s="18">
        <v>2011</v>
      </c>
      <c r="V712" s="16">
        <f t="shared" si="22"/>
        <v>40587</v>
      </c>
      <c r="W712" s="18" t="str">
        <f t="shared" si="23"/>
        <v>Weekday</v>
      </c>
    </row>
    <row r="713" spans="1:23" x14ac:dyDescent="0.25">
      <c r="A713" s="19">
        <v>711</v>
      </c>
      <c r="B713" s="20">
        <v>40575</v>
      </c>
      <c r="C713" s="18">
        <v>1</v>
      </c>
      <c r="D713" s="18">
        <v>0</v>
      </c>
      <c r="E713" s="18">
        <v>2</v>
      </c>
      <c r="F713" s="18">
        <v>23</v>
      </c>
      <c r="G713" s="18" t="b">
        <v>0</v>
      </c>
      <c r="H713" s="18">
        <v>2</v>
      </c>
      <c r="I713" s="18">
        <v>3</v>
      </c>
      <c r="J713" s="18">
        <v>0.2</v>
      </c>
      <c r="K713">
        <v>0.19700000000000001</v>
      </c>
      <c r="L713">
        <v>0.93</v>
      </c>
      <c r="M713" s="18">
        <v>0.19400000000000001</v>
      </c>
      <c r="N713" s="18">
        <v>1</v>
      </c>
      <c r="O713" s="18">
        <v>15</v>
      </c>
      <c r="P713">
        <v>16</v>
      </c>
      <c r="Q713" s="18" t="s">
        <v>47</v>
      </c>
      <c r="R713" s="18" t="s">
        <v>35</v>
      </c>
      <c r="S713" s="18" t="s">
        <v>39</v>
      </c>
      <c r="T713" s="18" t="s">
        <v>42</v>
      </c>
      <c r="U713" s="18">
        <v>2011</v>
      </c>
      <c r="V713" s="16">
        <f t="shared" si="22"/>
        <v>40587</v>
      </c>
      <c r="W713" s="18" t="str">
        <f t="shared" si="23"/>
        <v>Weekday</v>
      </c>
    </row>
    <row r="714" spans="1:23" x14ac:dyDescent="0.25">
      <c r="A714" s="19">
        <v>712</v>
      </c>
      <c r="B714" s="20">
        <v>40576</v>
      </c>
      <c r="C714" s="18">
        <v>1</v>
      </c>
      <c r="D714" s="18">
        <v>0</v>
      </c>
      <c r="E714" s="18">
        <v>2</v>
      </c>
      <c r="F714" s="18">
        <v>0</v>
      </c>
      <c r="G714" s="18" t="b">
        <v>0</v>
      </c>
      <c r="H714" s="18">
        <v>3</v>
      </c>
      <c r="I714" s="18">
        <v>3</v>
      </c>
      <c r="J714" s="18">
        <v>0.22</v>
      </c>
      <c r="K714">
        <v>0.2424</v>
      </c>
      <c r="L714">
        <v>0.93</v>
      </c>
      <c r="M714" s="18">
        <v>0.1045</v>
      </c>
      <c r="N714" s="18">
        <v>0</v>
      </c>
      <c r="O714" s="18">
        <v>2</v>
      </c>
      <c r="P714">
        <v>2</v>
      </c>
      <c r="Q714" s="18" t="s">
        <v>47</v>
      </c>
      <c r="R714" s="18" t="s">
        <v>35</v>
      </c>
      <c r="S714" s="18" t="s">
        <v>39</v>
      </c>
      <c r="T714" s="18" t="s">
        <v>43</v>
      </c>
      <c r="U714" s="18">
        <v>2011</v>
      </c>
      <c r="V714" s="16">
        <f t="shared" si="22"/>
        <v>40587</v>
      </c>
      <c r="W714" s="18" t="str">
        <f t="shared" si="23"/>
        <v>Weekday</v>
      </c>
    </row>
    <row r="715" spans="1:23" x14ac:dyDescent="0.25">
      <c r="A715" s="19">
        <v>713</v>
      </c>
      <c r="B715" s="20">
        <v>40576</v>
      </c>
      <c r="C715" s="18">
        <v>1</v>
      </c>
      <c r="D715" s="18">
        <v>0</v>
      </c>
      <c r="E715" s="18">
        <v>2</v>
      </c>
      <c r="F715" s="18">
        <v>1</v>
      </c>
      <c r="G715" s="18" t="b">
        <v>0</v>
      </c>
      <c r="H715" s="18">
        <v>3</v>
      </c>
      <c r="I715" s="18">
        <v>3</v>
      </c>
      <c r="J715" s="18">
        <v>0.22</v>
      </c>
      <c r="K715">
        <v>0.2273</v>
      </c>
      <c r="L715">
        <v>0.93</v>
      </c>
      <c r="M715" s="18">
        <v>0.19400000000000001</v>
      </c>
      <c r="N715" s="18">
        <v>0</v>
      </c>
      <c r="O715" s="18">
        <v>3</v>
      </c>
      <c r="P715">
        <v>3</v>
      </c>
      <c r="Q715" s="18" t="s">
        <v>47</v>
      </c>
      <c r="R715" s="18" t="s">
        <v>35</v>
      </c>
      <c r="S715" s="18" t="s">
        <v>39</v>
      </c>
      <c r="T715" s="18" t="s">
        <v>43</v>
      </c>
      <c r="U715" s="18">
        <v>2011</v>
      </c>
      <c r="V715" s="16">
        <f t="shared" si="22"/>
        <v>40587</v>
      </c>
      <c r="W715" s="18" t="str">
        <f t="shared" si="23"/>
        <v>Weekday</v>
      </c>
    </row>
    <row r="716" spans="1:23" x14ac:dyDescent="0.25">
      <c r="A716" s="19">
        <v>714</v>
      </c>
      <c r="B716" s="20">
        <v>40576</v>
      </c>
      <c r="C716" s="18">
        <v>1</v>
      </c>
      <c r="D716" s="18">
        <v>0</v>
      </c>
      <c r="E716" s="18">
        <v>2</v>
      </c>
      <c r="F716" s="18">
        <v>2</v>
      </c>
      <c r="G716" s="18" t="b">
        <v>0</v>
      </c>
      <c r="H716" s="18">
        <v>3</v>
      </c>
      <c r="I716" s="18">
        <v>3</v>
      </c>
      <c r="J716" s="18">
        <v>0.22</v>
      </c>
      <c r="K716">
        <v>0.2273</v>
      </c>
      <c r="L716">
        <v>0.93</v>
      </c>
      <c r="M716" s="18">
        <v>0.1343</v>
      </c>
      <c r="N716" s="18">
        <v>4</v>
      </c>
      <c r="O716" s="18">
        <v>0</v>
      </c>
      <c r="P716">
        <v>4</v>
      </c>
      <c r="Q716" s="18" t="s">
        <v>47</v>
      </c>
      <c r="R716" s="18" t="s">
        <v>35</v>
      </c>
      <c r="S716" s="18" t="s">
        <v>39</v>
      </c>
      <c r="T716" s="18" t="s">
        <v>43</v>
      </c>
      <c r="U716" s="18">
        <v>2011</v>
      </c>
      <c r="V716" s="16">
        <f t="shared" si="22"/>
        <v>40587</v>
      </c>
      <c r="W716" s="18" t="str">
        <f t="shared" si="23"/>
        <v>Weekday</v>
      </c>
    </row>
    <row r="717" spans="1:23" x14ac:dyDescent="0.25">
      <c r="A717" s="19">
        <v>715</v>
      </c>
      <c r="B717" s="20">
        <v>40576</v>
      </c>
      <c r="C717" s="18">
        <v>1</v>
      </c>
      <c r="D717" s="18">
        <v>0</v>
      </c>
      <c r="E717" s="18">
        <v>2</v>
      </c>
      <c r="F717" s="18">
        <v>3</v>
      </c>
      <c r="G717" s="18" t="b">
        <v>0</v>
      </c>
      <c r="H717" s="18">
        <v>3</v>
      </c>
      <c r="I717" s="18">
        <v>3</v>
      </c>
      <c r="J717" s="18">
        <v>0.22</v>
      </c>
      <c r="K717">
        <v>0.2273</v>
      </c>
      <c r="L717">
        <v>0.93</v>
      </c>
      <c r="M717" s="18">
        <v>0.1343</v>
      </c>
      <c r="N717" s="18">
        <v>0</v>
      </c>
      <c r="O717" s="18">
        <v>1</v>
      </c>
      <c r="P717">
        <v>1</v>
      </c>
      <c r="Q717" s="18" t="s">
        <v>47</v>
      </c>
      <c r="R717" s="18" t="s">
        <v>35</v>
      </c>
      <c r="S717" s="18" t="s">
        <v>39</v>
      </c>
      <c r="T717" s="18" t="s">
        <v>43</v>
      </c>
      <c r="U717" s="18">
        <v>2011</v>
      </c>
      <c r="V717" s="16">
        <f t="shared" si="22"/>
        <v>40587</v>
      </c>
      <c r="W717" s="18" t="str">
        <f t="shared" si="23"/>
        <v>Weekday</v>
      </c>
    </row>
    <row r="718" spans="1:23" x14ac:dyDescent="0.25">
      <c r="A718" s="19">
        <v>716</v>
      </c>
      <c r="B718" s="20">
        <v>40576</v>
      </c>
      <c r="C718" s="18">
        <v>1</v>
      </c>
      <c r="D718" s="18">
        <v>0</v>
      </c>
      <c r="E718" s="18">
        <v>2</v>
      </c>
      <c r="F718" s="18">
        <v>4</v>
      </c>
      <c r="G718" s="18" t="b">
        <v>0</v>
      </c>
      <c r="H718" s="18">
        <v>3</v>
      </c>
      <c r="I718" s="18">
        <v>3</v>
      </c>
      <c r="J718" s="18">
        <v>0.22</v>
      </c>
      <c r="K718">
        <v>0.21210000000000001</v>
      </c>
      <c r="L718">
        <v>0.93</v>
      </c>
      <c r="M718" s="18">
        <v>0.28360000000000002</v>
      </c>
      <c r="N718" s="18">
        <v>0</v>
      </c>
      <c r="O718" s="18">
        <v>1</v>
      </c>
      <c r="P718">
        <v>1</v>
      </c>
      <c r="Q718" s="18" t="s">
        <v>47</v>
      </c>
      <c r="R718" s="18" t="s">
        <v>35</v>
      </c>
      <c r="S718" s="18" t="s">
        <v>39</v>
      </c>
      <c r="T718" s="18" t="s">
        <v>43</v>
      </c>
      <c r="U718" s="18">
        <v>2011</v>
      </c>
      <c r="V718" s="16">
        <f t="shared" si="22"/>
        <v>40587</v>
      </c>
      <c r="W718" s="18" t="str">
        <f t="shared" si="23"/>
        <v>Weekday</v>
      </c>
    </row>
    <row r="719" spans="1:23" x14ac:dyDescent="0.25">
      <c r="A719" s="19">
        <v>717</v>
      </c>
      <c r="B719" s="20">
        <v>40576</v>
      </c>
      <c r="C719" s="18">
        <v>1</v>
      </c>
      <c r="D719" s="18">
        <v>0</v>
      </c>
      <c r="E719" s="18">
        <v>2</v>
      </c>
      <c r="F719" s="18">
        <v>5</v>
      </c>
      <c r="G719" s="18" t="b">
        <v>0</v>
      </c>
      <c r="H719" s="18">
        <v>3</v>
      </c>
      <c r="I719" s="18">
        <v>3</v>
      </c>
      <c r="J719" s="18">
        <v>0.22</v>
      </c>
      <c r="K719">
        <v>0.2424</v>
      </c>
      <c r="L719">
        <v>0.93</v>
      </c>
      <c r="M719" s="18">
        <v>0.1045</v>
      </c>
      <c r="N719" s="18">
        <v>0</v>
      </c>
      <c r="O719" s="18">
        <v>3</v>
      </c>
      <c r="P719">
        <v>3</v>
      </c>
      <c r="Q719" s="18" t="s">
        <v>47</v>
      </c>
      <c r="R719" s="18" t="s">
        <v>35</v>
      </c>
      <c r="S719" s="18" t="s">
        <v>39</v>
      </c>
      <c r="T719" s="18" t="s">
        <v>43</v>
      </c>
      <c r="U719" s="18">
        <v>2011</v>
      </c>
      <c r="V719" s="16">
        <f t="shared" si="22"/>
        <v>40587</v>
      </c>
      <c r="W719" s="18" t="str">
        <f t="shared" si="23"/>
        <v>Weekday</v>
      </c>
    </row>
    <row r="720" spans="1:23" x14ac:dyDescent="0.25">
      <c r="A720" s="19">
        <v>718</v>
      </c>
      <c r="B720" s="20">
        <v>40576</v>
      </c>
      <c r="C720" s="18">
        <v>1</v>
      </c>
      <c r="D720" s="18">
        <v>0</v>
      </c>
      <c r="E720" s="18">
        <v>2</v>
      </c>
      <c r="F720" s="18">
        <v>6</v>
      </c>
      <c r="G720" s="18" t="b">
        <v>0</v>
      </c>
      <c r="H720" s="18">
        <v>3</v>
      </c>
      <c r="I720" s="18">
        <v>3</v>
      </c>
      <c r="J720" s="18">
        <v>0.22</v>
      </c>
      <c r="K720">
        <v>0.2424</v>
      </c>
      <c r="L720">
        <v>0.93</v>
      </c>
      <c r="M720" s="18">
        <v>0.1045</v>
      </c>
      <c r="N720" s="18">
        <v>1</v>
      </c>
      <c r="O720" s="18">
        <v>17</v>
      </c>
      <c r="P720">
        <v>18</v>
      </c>
      <c r="Q720" s="18" t="s">
        <v>47</v>
      </c>
      <c r="R720" s="18" t="s">
        <v>35</v>
      </c>
      <c r="S720" s="18" t="s">
        <v>39</v>
      </c>
      <c r="T720" s="18" t="s">
        <v>43</v>
      </c>
      <c r="U720" s="18">
        <v>2011</v>
      </c>
      <c r="V720" s="16">
        <f t="shared" si="22"/>
        <v>40587</v>
      </c>
      <c r="W720" s="18" t="str">
        <f t="shared" si="23"/>
        <v>Weekday</v>
      </c>
    </row>
    <row r="721" spans="1:23" x14ac:dyDescent="0.25">
      <c r="A721" s="19">
        <v>719</v>
      </c>
      <c r="B721" s="20">
        <v>40576</v>
      </c>
      <c r="C721" s="18">
        <v>1</v>
      </c>
      <c r="D721" s="18">
        <v>0</v>
      </c>
      <c r="E721" s="18">
        <v>2</v>
      </c>
      <c r="F721" s="18">
        <v>7</v>
      </c>
      <c r="G721" s="18" t="b">
        <v>0</v>
      </c>
      <c r="H721" s="18">
        <v>3</v>
      </c>
      <c r="I721" s="18">
        <v>3</v>
      </c>
      <c r="J721" s="18">
        <v>0.22</v>
      </c>
      <c r="K721">
        <v>0.21210000000000001</v>
      </c>
      <c r="L721">
        <v>0.93</v>
      </c>
      <c r="M721" s="18">
        <v>0.22389999999999999</v>
      </c>
      <c r="N721" s="18">
        <v>1</v>
      </c>
      <c r="O721" s="18">
        <v>48</v>
      </c>
      <c r="P721">
        <v>49</v>
      </c>
      <c r="Q721" s="18" t="s">
        <v>47</v>
      </c>
      <c r="R721" s="18" t="s">
        <v>35</v>
      </c>
      <c r="S721" s="18" t="s">
        <v>39</v>
      </c>
      <c r="T721" s="18" t="s">
        <v>43</v>
      </c>
      <c r="U721" s="18">
        <v>2011</v>
      </c>
      <c r="V721" s="16">
        <f t="shared" si="22"/>
        <v>40587</v>
      </c>
      <c r="W721" s="18" t="str">
        <f t="shared" si="23"/>
        <v>Weekday</v>
      </c>
    </row>
    <row r="722" spans="1:23" x14ac:dyDescent="0.25">
      <c r="A722" s="19">
        <v>720</v>
      </c>
      <c r="B722" s="20">
        <v>40576</v>
      </c>
      <c r="C722" s="18">
        <v>1</v>
      </c>
      <c r="D722" s="18">
        <v>0</v>
      </c>
      <c r="E722" s="18">
        <v>2</v>
      </c>
      <c r="F722" s="18">
        <v>8</v>
      </c>
      <c r="G722" s="18" t="b">
        <v>0</v>
      </c>
      <c r="H722" s="18">
        <v>3</v>
      </c>
      <c r="I722" s="18">
        <v>3</v>
      </c>
      <c r="J722" s="18">
        <v>0.22</v>
      </c>
      <c r="K722">
        <v>0.21210000000000001</v>
      </c>
      <c r="L722">
        <v>0.93</v>
      </c>
      <c r="M722" s="18">
        <v>0.22389999999999999</v>
      </c>
      <c r="N722" s="18">
        <v>1</v>
      </c>
      <c r="O722" s="18">
        <v>154</v>
      </c>
      <c r="P722">
        <v>155</v>
      </c>
      <c r="Q722" s="18" t="s">
        <v>47</v>
      </c>
      <c r="R722" s="18" t="s">
        <v>35</v>
      </c>
      <c r="S722" s="18" t="s">
        <v>39</v>
      </c>
      <c r="T722" s="18" t="s">
        <v>43</v>
      </c>
      <c r="U722" s="18">
        <v>2011</v>
      </c>
      <c r="V722" s="16">
        <f t="shared" si="22"/>
        <v>40587</v>
      </c>
      <c r="W722" s="18" t="str">
        <f t="shared" si="23"/>
        <v>Weekday</v>
      </c>
    </row>
    <row r="723" spans="1:23" x14ac:dyDescent="0.25">
      <c r="A723" s="19">
        <v>721</v>
      </c>
      <c r="B723" s="20">
        <v>40576</v>
      </c>
      <c r="C723" s="18">
        <v>1</v>
      </c>
      <c r="D723" s="18">
        <v>0</v>
      </c>
      <c r="E723" s="18">
        <v>2</v>
      </c>
      <c r="F723" s="18">
        <v>9</v>
      </c>
      <c r="G723" s="18" t="b">
        <v>0</v>
      </c>
      <c r="H723" s="18">
        <v>3</v>
      </c>
      <c r="I723" s="18">
        <v>2</v>
      </c>
      <c r="J723" s="18">
        <v>0.24</v>
      </c>
      <c r="K723">
        <v>0.2576</v>
      </c>
      <c r="L723">
        <v>0.93</v>
      </c>
      <c r="M723" s="18">
        <v>8.9599999999999999E-2</v>
      </c>
      <c r="N723" s="18">
        <v>4</v>
      </c>
      <c r="O723" s="18">
        <v>119</v>
      </c>
      <c r="P723">
        <v>123</v>
      </c>
      <c r="Q723" s="18" t="s">
        <v>47</v>
      </c>
      <c r="R723" s="18" t="s">
        <v>35</v>
      </c>
      <c r="S723" s="18" t="s">
        <v>38</v>
      </c>
      <c r="T723" s="18" t="s">
        <v>43</v>
      </c>
      <c r="U723" s="18">
        <v>2011</v>
      </c>
      <c r="V723" s="16">
        <f t="shared" si="22"/>
        <v>40587</v>
      </c>
      <c r="W723" s="18" t="str">
        <f t="shared" si="23"/>
        <v>Weekday</v>
      </c>
    </row>
    <row r="724" spans="1:23" x14ac:dyDescent="0.25">
      <c r="A724" s="19">
        <v>722</v>
      </c>
      <c r="B724" s="20">
        <v>40576</v>
      </c>
      <c r="C724" s="18">
        <v>1</v>
      </c>
      <c r="D724" s="18">
        <v>0</v>
      </c>
      <c r="E724" s="18">
        <v>2</v>
      </c>
      <c r="F724" s="18">
        <v>10</v>
      </c>
      <c r="G724" s="18" t="b">
        <v>0</v>
      </c>
      <c r="H724" s="18">
        <v>3</v>
      </c>
      <c r="I724" s="18">
        <v>2</v>
      </c>
      <c r="J724" s="18">
        <v>0.22</v>
      </c>
      <c r="K724">
        <v>0.2727</v>
      </c>
      <c r="L724">
        <v>1</v>
      </c>
      <c r="M724" s="18">
        <v>0</v>
      </c>
      <c r="N724" s="18">
        <v>2</v>
      </c>
      <c r="O724" s="18">
        <v>59</v>
      </c>
      <c r="P724">
        <v>61</v>
      </c>
      <c r="Q724" s="18" t="s">
        <v>47</v>
      </c>
      <c r="R724" s="18" t="s">
        <v>35</v>
      </c>
      <c r="S724" s="18" t="s">
        <v>38</v>
      </c>
      <c r="T724" s="18" t="s">
        <v>43</v>
      </c>
      <c r="U724" s="18">
        <v>2011</v>
      </c>
      <c r="V724" s="16">
        <f t="shared" si="22"/>
        <v>40587</v>
      </c>
      <c r="W724" s="18" t="str">
        <f t="shared" si="23"/>
        <v>Weekday</v>
      </c>
    </row>
    <row r="725" spans="1:23" x14ac:dyDescent="0.25">
      <c r="A725" s="19">
        <v>723</v>
      </c>
      <c r="B725" s="20">
        <v>40576</v>
      </c>
      <c r="C725" s="18">
        <v>1</v>
      </c>
      <c r="D725" s="18">
        <v>0</v>
      </c>
      <c r="E725" s="18">
        <v>2</v>
      </c>
      <c r="F725" s="18">
        <v>11</v>
      </c>
      <c r="G725" s="18" t="b">
        <v>0</v>
      </c>
      <c r="H725" s="18">
        <v>3</v>
      </c>
      <c r="I725" s="18">
        <v>2</v>
      </c>
      <c r="J725" s="18">
        <v>0.24</v>
      </c>
      <c r="K725">
        <v>0.2273</v>
      </c>
      <c r="L725">
        <v>0.93</v>
      </c>
      <c r="M725" s="18">
        <v>0.19400000000000001</v>
      </c>
      <c r="N725" s="18">
        <v>5</v>
      </c>
      <c r="O725" s="18">
        <v>47</v>
      </c>
      <c r="P725">
        <v>52</v>
      </c>
      <c r="Q725" s="18" t="s">
        <v>47</v>
      </c>
      <c r="R725" s="18" t="s">
        <v>35</v>
      </c>
      <c r="S725" s="18" t="s">
        <v>38</v>
      </c>
      <c r="T725" s="18" t="s">
        <v>43</v>
      </c>
      <c r="U725" s="18">
        <v>2011</v>
      </c>
      <c r="V725" s="16">
        <f t="shared" si="22"/>
        <v>40587</v>
      </c>
      <c r="W725" s="18" t="str">
        <f t="shared" si="23"/>
        <v>Weekday</v>
      </c>
    </row>
    <row r="726" spans="1:23" x14ac:dyDescent="0.25">
      <c r="A726" s="19">
        <v>724</v>
      </c>
      <c r="B726" s="20">
        <v>40576</v>
      </c>
      <c r="C726" s="18">
        <v>1</v>
      </c>
      <c r="D726" s="18">
        <v>0</v>
      </c>
      <c r="E726" s="18">
        <v>2</v>
      </c>
      <c r="F726" s="18">
        <v>12</v>
      </c>
      <c r="G726" s="18" t="b">
        <v>0</v>
      </c>
      <c r="H726" s="18">
        <v>3</v>
      </c>
      <c r="I726" s="18">
        <v>2</v>
      </c>
      <c r="J726" s="18">
        <v>0.24</v>
      </c>
      <c r="K726">
        <v>0.2273</v>
      </c>
      <c r="L726">
        <v>0.93</v>
      </c>
      <c r="M726" s="18">
        <v>0.22389999999999999</v>
      </c>
      <c r="N726" s="18">
        <v>3</v>
      </c>
      <c r="O726" s="18">
        <v>61</v>
      </c>
      <c r="P726">
        <v>64</v>
      </c>
      <c r="Q726" s="18" t="s">
        <v>47</v>
      </c>
      <c r="R726" s="18" t="s">
        <v>35</v>
      </c>
      <c r="S726" s="18" t="s">
        <v>38</v>
      </c>
      <c r="T726" s="18" t="s">
        <v>43</v>
      </c>
      <c r="U726" s="18">
        <v>2011</v>
      </c>
      <c r="V726" s="16">
        <f t="shared" si="22"/>
        <v>40587</v>
      </c>
      <c r="W726" s="18" t="str">
        <f t="shared" si="23"/>
        <v>Weekday</v>
      </c>
    </row>
    <row r="727" spans="1:23" x14ac:dyDescent="0.25">
      <c r="A727" s="19">
        <v>725</v>
      </c>
      <c r="B727" s="20">
        <v>40576</v>
      </c>
      <c r="C727" s="18">
        <v>1</v>
      </c>
      <c r="D727" s="18">
        <v>0</v>
      </c>
      <c r="E727" s="18">
        <v>2</v>
      </c>
      <c r="F727" s="18">
        <v>13</v>
      </c>
      <c r="G727" s="18" t="b">
        <v>0</v>
      </c>
      <c r="H727" s="18">
        <v>3</v>
      </c>
      <c r="I727" s="18">
        <v>1</v>
      </c>
      <c r="J727" s="18">
        <v>0.34</v>
      </c>
      <c r="K727">
        <v>0.33329999999999999</v>
      </c>
      <c r="L727">
        <v>0.93</v>
      </c>
      <c r="M727" s="18">
        <v>0.16420000000000001</v>
      </c>
      <c r="N727" s="18">
        <v>1</v>
      </c>
      <c r="O727" s="18">
        <v>74</v>
      </c>
      <c r="P727">
        <v>75</v>
      </c>
      <c r="Q727" s="18" t="s">
        <v>47</v>
      </c>
      <c r="R727" s="18" t="s">
        <v>35</v>
      </c>
      <c r="S727" s="18" t="s">
        <v>36</v>
      </c>
      <c r="T727" s="18" t="s">
        <v>43</v>
      </c>
      <c r="U727" s="18">
        <v>2011</v>
      </c>
      <c r="V727" s="16">
        <f t="shared" si="22"/>
        <v>40587</v>
      </c>
      <c r="W727" s="18" t="str">
        <f t="shared" si="23"/>
        <v>Weekday</v>
      </c>
    </row>
    <row r="728" spans="1:23" x14ac:dyDescent="0.25">
      <c r="A728" s="19">
        <v>726</v>
      </c>
      <c r="B728" s="20">
        <v>40576</v>
      </c>
      <c r="C728" s="18">
        <v>1</v>
      </c>
      <c r="D728" s="18">
        <v>0</v>
      </c>
      <c r="E728" s="18">
        <v>2</v>
      </c>
      <c r="F728" s="18">
        <v>14</v>
      </c>
      <c r="G728" s="18" t="b">
        <v>0</v>
      </c>
      <c r="H728" s="18">
        <v>3</v>
      </c>
      <c r="I728" s="18">
        <v>1</v>
      </c>
      <c r="J728" s="18">
        <v>0.38</v>
      </c>
      <c r="K728">
        <v>0.39389999999999997</v>
      </c>
      <c r="L728">
        <v>0.82</v>
      </c>
      <c r="M728" s="18">
        <v>0.3881</v>
      </c>
      <c r="N728" s="18">
        <v>2</v>
      </c>
      <c r="O728" s="18">
        <v>61</v>
      </c>
      <c r="P728">
        <v>63</v>
      </c>
      <c r="Q728" s="18" t="s">
        <v>47</v>
      </c>
      <c r="R728" s="18" t="s">
        <v>35</v>
      </c>
      <c r="S728" s="18" t="s">
        <v>36</v>
      </c>
      <c r="T728" s="18" t="s">
        <v>43</v>
      </c>
      <c r="U728" s="18">
        <v>2011</v>
      </c>
      <c r="V728" s="16">
        <f t="shared" si="22"/>
        <v>40587</v>
      </c>
      <c r="W728" s="18" t="str">
        <f t="shared" si="23"/>
        <v>Weekday</v>
      </c>
    </row>
    <row r="729" spans="1:23" x14ac:dyDescent="0.25">
      <c r="A729" s="19">
        <v>727</v>
      </c>
      <c r="B729" s="20">
        <v>40576</v>
      </c>
      <c r="C729" s="18">
        <v>1</v>
      </c>
      <c r="D729" s="18">
        <v>0</v>
      </c>
      <c r="E729" s="18">
        <v>2</v>
      </c>
      <c r="F729" s="18">
        <v>15</v>
      </c>
      <c r="G729" s="18" t="b">
        <v>0</v>
      </c>
      <c r="H729" s="18">
        <v>3</v>
      </c>
      <c r="I729" s="18">
        <v>1</v>
      </c>
      <c r="J729" s="18">
        <v>0.38</v>
      </c>
      <c r="K729">
        <v>0.39389999999999997</v>
      </c>
      <c r="L729">
        <v>0.76</v>
      </c>
      <c r="M729" s="18">
        <v>0.32840000000000003</v>
      </c>
      <c r="N729" s="18">
        <v>10</v>
      </c>
      <c r="O729" s="18">
        <v>66</v>
      </c>
      <c r="P729">
        <v>76</v>
      </c>
      <c r="Q729" s="18" t="s">
        <v>47</v>
      </c>
      <c r="R729" s="18" t="s">
        <v>35</v>
      </c>
      <c r="S729" s="18" t="s">
        <v>36</v>
      </c>
      <c r="T729" s="18" t="s">
        <v>43</v>
      </c>
      <c r="U729" s="18">
        <v>2011</v>
      </c>
      <c r="V729" s="16">
        <f t="shared" si="22"/>
        <v>40587</v>
      </c>
      <c r="W729" s="18" t="str">
        <f t="shared" si="23"/>
        <v>Weekday</v>
      </c>
    </row>
    <row r="730" spans="1:23" x14ac:dyDescent="0.25">
      <c r="A730" s="19">
        <v>728</v>
      </c>
      <c r="B730" s="20">
        <v>40576</v>
      </c>
      <c r="C730" s="18">
        <v>1</v>
      </c>
      <c r="D730" s="18">
        <v>0</v>
      </c>
      <c r="E730" s="18">
        <v>2</v>
      </c>
      <c r="F730" s="18">
        <v>16</v>
      </c>
      <c r="G730" s="18" t="b">
        <v>0</v>
      </c>
      <c r="H730" s="18">
        <v>3</v>
      </c>
      <c r="I730" s="18">
        <v>1</v>
      </c>
      <c r="J730" s="18">
        <v>0.36</v>
      </c>
      <c r="K730">
        <v>0.33329999999999999</v>
      </c>
      <c r="L730">
        <v>0.71</v>
      </c>
      <c r="M730" s="18">
        <v>0.29849999999999999</v>
      </c>
      <c r="N730" s="18">
        <v>8</v>
      </c>
      <c r="O730" s="18">
        <v>95</v>
      </c>
      <c r="P730">
        <v>103</v>
      </c>
      <c r="Q730" s="18" t="s">
        <v>47</v>
      </c>
      <c r="R730" s="18" t="s">
        <v>35</v>
      </c>
      <c r="S730" s="18" t="s">
        <v>36</v>
      </c>
      <c r="T730" s="18" t="s">
        <v>43</v>
      </c>
      <c r="U730" s="18">
        <v>2011</v>
      </c>
      <c r="V730" s="16">
        <f t="shared" si="22"/>
        <v>40587</v>
      </c>
      <c r="W730" s="18" t="str">
        <f t="shared" si="23"/>
        <v>Weekday</v>
      </c>
    </row>
    <row r="731" spans="1:23" x14ac:dyDescent="0.25">
      <c r="A731" s="19">
        <v>729</v>
      </c>
      <c r="B731" s="20">
        <v>40576</v>
      </c>
      <c r="C731" s="18">
        <v>1</v>
      </c>
      <c r="D731" s="18">
        <v>0</v>
      </c>
      <c r="E731" s="18">
        <v>2</v>
      </c>
      <c r="F731" s="18">
        <v>17</v>
      </c>
      <c r="G731" s="18" t="b">
        <v>0</v>
      </c>
      <c r="H731" s="18">
        <v>3</v>
      </c>
      <c r="I731" s="18">
        <v>1</v>
      </c>
      <c r="J731" s="18">
        <v>0.36</v>
      </c>
      <c r="K731">
        <v>0.31819999999999998</v>
      </c>
      <c r="L731">
        <v>0.53</v>
      </c>
      <c r="M731" s="18">
        <v>0.52239999999999998</v>
      </c>
      <c r="N731" s="18">
        <v>7</v>
      </c>
      <c r="O731" s="18">
        <v>183</v>
      </c>
      <c r="P731">
        <v>190</v>
      </c>
      <c r="Q731" s="18" t="s">
        <v>47</v>
      </c>
      <c r="R731" s="18" t="s">
        <v>35</v>
      </c>
      <c r="S731" s="18" t="s">
        <v>36</v>
      </c>
      <c r="T731" s="18" t="s">
        <v>43</v>
      </c>
      <c r="U731" s="18">
        <v>2011</v>
      </c>
      <c r="V731" s="16">
        <f t="shared" si="22"/>
        <v>40587</v>
      </c>
      <c r="W731" s="18" t="str">
        <f t="shared" si="23"/>
        <v>Weekday</v>
      </c>
    </row>
    <row r="732" spans="1:23" x14ac:dyDescent="0.25">
      <c r="A732" s="19">
        <v>730</v>
      </c>
      <c r="B732" s="20">
        <v>40576</v>
      </c>
      <c r="C732" s="18">
        <v>1</v>
      </c>
      <c r="D732" s="18">
        <v>0</v>
      </c>
      <c r="E732" s="18">
        <v>2</v>
      </c>
      <c r="F732" s="18">
        <v>18</v>
      </c>
      <c r="G732" s="18" t="b">
        <v>0</v>
      </c>
      <c r="H732" s="18">
        <v>3</v>
      </c>
      <c r="I732" s="18">
        <v>1</v>
      </c>
      <c r="J732" s="18">
        <v>0.34</v>
      </c>
      <c r="K732">
        <v>0.28789999999999999</v>
      </c>
      <c r="L732">
        <v>0.42</v>
      </c>
      <c r="M732" s="18">
        <v>0.55220000000000002</v>
      </c>
      <c r="N732" s="18">
        <v>7</v>
      </c>
      <c r="O732" s="18">
        <v>175</v>
      </c>
      <c r="P732">
        <v>182</v>
      </c>
      <c r="Q732" s="18" t="s">
        <v>47</v>
      </c>
      <c r="R732" s="18" t="s">
        <v>35</v>
      </c>
      <c r="S732" s="18" t="s">
        <v>36</v>
      </c>
      <c r="T732" s="18" t="s">
        <v>43</v>
      </c>
      <c r="U732" s="18">
        <v>2011</v>
      </c>
      <c r="V732" s="16">
        <f t="shared" si="22"/>
        <v>40587</v>
      </c>
      <c r="W732" s="18" t="str">
        <f t="shared" si="23"/>
        <v>Weekday</v>
      </c>
    </row>
    <row r="733" spans="1:23" x14ac:dyDescent="0.25">
      <c r="A733" s="19">
        <v>731</v>
      </c>
      <c r="B733" s="20">
        <v>40576</v>
      </c>
      <c r="C733" s="18">
        <v>1</v>
      </c>
      <c r="D733" s="18">
        <v>0</v>
      </c>
      <c r="E733" s="18">
        <v>2</v>
      </c>
      <c r="F733" s="18">
        <v>19</v>
      </c>
      <c r="G733" s="18" t="b">
        <v>0</v>
      </c>
      <c r="H733" s="18">
        <v>3</v>
      </c>
      <c r="I733" s="18">
        <v>1</v>
      </c>
      <c r="J733" s="18">
        <v>0.28000000000000003</v>
      </c>
      <c r="K733">
        <v>0.2424</v>
      </c>
      <c r="L733">
        <v>0.45</v>
      </c>
      <c r="M733" s="18">
        <v>0.49249999999999999</v>
      </c>
      <c r="N733" s="18">
        <v>3</v>
      </c>
      <c r="O733" s="18">
        <v>88</v>
      </c>
      <c r="P733">
        <v>91</v>
      </c>
      <c r="Q733" s="18" t="s">
        <v>47</v>
      </c>
      <c r="R733" s="18" t="s">
        <v>35</v>
      </c>
      <c r="S733" s="18" t="s">
        <v>36</v>
      </c>
      <c r="T733" s="18" t="s">
        <v>43</v>
      </c>
      <c r="U733" s="18">
        <v>2011</v>
      </c>
      <c r="V733" s="16">
        <f t="shared" si="22"/>
        <v>40587</v>
      </c>
      <c r="W733" s="18" t="str">
        <f t="shared" si="23"/>
        <v>Weekday</v>
      </c>
    </row>
    <row r="734" spans="1:23" x14ac:dyDescent="0.25">
      <c r="A734" s="19">
        <v>732</v>
      </c>
      <c r="B734" s="20">
        <v>40576</v>
      </c>
      <c r="C734" s="18">
        <v>1</v>
      </c>
      <c r="D734" s="18">
        <v>0</v>
      </c>
      <c r="E734" s="18">
        <v>2</v>
      </c>
      <c r="F734" s="18">
        <v>20</v>
      </c>
      <c r="G734" s="18" t="b">
        <v>0</v>
      </c>
      <c r="H734" s="18">
        <v>3</v>
      </c>
      <c r="I734" s="18">
        <v>1</v>
      </c>
      <c r="J734" s="18">
        <v>0.24</v>
      </c>
      <c r="K734">
        <v>0.19700000000000001</v>
      </c>
      <c r="L734">
        <v>0.48</v>
      </c>
      <c r="M734" s="18">
        <v>0.55220000000000002</v>
      </c>
      <c r="N734" s="18">
        <v>4</v>
      </c>
      <c r="O734" s="18">
        <v>71</v>
      </c>
      <c r="P734">
        <v>75</v>
      </c>
      <c r="Q734" s="18" t="s">
        <v>47</v>
      </c>
      <c r="R734" s="18" t="s">
        <v>35</v>
      </c>
      <c r="S734" s="18" t="s">
        <v>36</v>
      </c>
      <c r="T734" s="18" t="s">
        <v>43</v>
      </c>
      <c r="U734" s="18">
        <v>2011</v>
      </c>
      <c r="V734" s="16">
        <f t="shared" si="22"/>
        <v>40587</v>
      </c>
      <c r="W734" s="18" t="str">
        <f t="shared" si="23"/>
        <v>Weekday</v>
      </c>
    </row>
    <row r="735" spans="1:23" x14ac:dyDescent="0.25">
      <c r="A735" s="19">
        <v>733</v>
      </c>
      <c r="B735" s="20">
        <v>40576</v>
      </c>
      <c r="C735" s="18">
        <v>1</v>
      </c>
      <c r="D735" s="18">
        <v>0</v>
      </c>
      <c r="E735" s="18">
        <v>2</v>
      </c>
      <c r="F735" s="18">
        <v>21</v>
      </c>
      <c r="G735" s="18" t="b">
        <v>0</v>
      </c>
      <c r="H735" s="18">
        <v>3</v>
      </c>
      <c r="I735" s="18">
        <v>1</v>
      </c>
      <c r="J735" s="18">
        <v>0.22</v>
      </c>
      <c r="K735">
        <v>0.19700000000000001</v>
      </c>
      <c r="L735">
        <v>0.47</v>
      </c>
      <c r="M735" s="18">
        <v>0.32840000000000003</v>
      </c>
      <c r="N735" s="18">
        <v>1</v>
      </c>
      <c r="O735" s="18">
        <v>62</v>
      </c>
      <c r="P735">
        <v>63</v>
      </c>
      <c r="Q735" s="18" t="s">
        <v>47</v>
      </c>
      <c r="R735" s="18" t="s">
        <v>35</v>
      </c>
      <c r="S735" s="18" t="s">
        <v>36</v>
      </c>
      <c r="T735" s="18" t="s">
        <v>43</v>
      </c>
      <c r="U735" s="18">
        <v>2011</v>
      </c>
      <c r="V735" s="16">
        <f t="shared" si="22"/>
        <v>40587</v>
      </c>
      <c r="W735" s="18" t="str">
        <f t="shared" si="23"/>
        <v>Weekday</v>
      </c>
    </row>
    <row r="736" spans="1:23" x14ac:dyDescent="0.25">
      <c r="A736" s="19">
        <v>734</v>
      </c>
      <c r="B736" s="20">
        <v>40576</v>
      </c>
      <c r="C736" s="18">
        <v>1</v>
      </c>
      <c r="D736" s="18">
        <v>0</v>
      </c>
      <c r="E736" s="18">
        <v>2</v>
      </c>
      <c r="F736" s="18">
        <v>22</v>
      </c>
      <c r="G736" s="18" t="b">
        <v>0</v>
      </c>
      <c r="H736" s="18">
        <v>3</v>
      </c>
      <c r="I736" s="18">
        <v>1</v>
      </c>
      <c r="J736" s="18">
        <v>0.22</v>
      </c>
      <c r="K736">
        <v>0.21210000000000001</v>
      </c>
      <c r="L736">
        <v>0.44</v>
      </c>
      <c r="M736" s="18">
        <v>0.25369999999999998</v>
      </c>
      <c r="N736" s="18">
        <v>5</v>
      </c>
      <c r="O736" s="18">
        <v>35</v>
      </c>
      <c r="P736">
        <v>40</v>
      </c>
      <c r="Q736" s="18" t="s">
        <v>47</v>
      </c>
      <c r="R736" s="18" t="s">
        <v>35</v>
      </c>
      <c r="S736" s="18" t="s">
        <v>36</v>
      </c>
      <c r="T736" s="18" t="s">
        <v>43</v>
      </c>
      <c r="U736" s="18">
        <v>2011</v>
      </c>
      <c r="V736" s="16">
        <f t="shared" si="22"/>
        <v>40587</v>
      </c>
      <c r="W736" s="18" t="str">
        <f t="shared" si="23"/>
        <v>Weekday</v>
      </c>
    </row>
    <row r="737" spans="1:23" x14ac:dyDescent="0.25">
      <c r="A737" s="19">
        <v>735</v>
      </c>
      <c r="B737" s="20">
        <v>40576</v>
      </c>
      <c r="C737" s="18">
        <v>1</v>
      </c>
      <c r="D737" s="18">
        <v>0</v>
      </c>
      <c r="E737" s="18">
        <v>2</v>
      </c>
      <c r="F737" s="18">
        <v>23</v>
      </c>
      <c r="G737" s="18" t="b">
        <v>0</v>
      </c>
      <c r="H737" s="18">
        <v>3</v>
      </c>
      <c r="I737" s="18">
        <v>1</v>
      </c>
      <c r="J737" s="18">
        <v>0.2</v>
      </c>
      <c r="K737">
        <v>0.16669999999999999</v>
      </c>
      <c r="L737">
        <v>0.44</v>
      </c>
      <c r="M737" s="18">
        <v>0.44779999999999998</v>
      </c>
      <c r="N737" s="18">
        <v>3</v>
      </c>
      <c r="O737" s="18">
        <v>29</v>
      </c>
      <c r="P737">
        <v>32</v>
      </c>
      <c r="Q737" s="18" t="s">
        <v>47</v>
      </c>
      <c r="R737" s="18" t="s">
        <v>35</v>
      </c>
      <c r="S737" s="18" t="s">
        <v>36</v>
      </c>
      <c r="T737" s="18" t="s">
        <v>43</v>
      </c>
      <c r="U737" s="18">
        <v>2011</v>
      </c>
      <c r="V737" s="16">
        <f t="shared" si="22"/>
        <v>40587</v>
      </c>
      <c r="W737" s="18" t="str">
        <f t="shared" si="23"/>
        <v>Weekday</v>
      </c>
    </row>
    <row r="738" spans="1:23" x14ac:dyDescent="0.25">
      <c r="A738" s="19">
        <v>736</v>
      </c>
      <c r="B738" s="20">
        <v>40577</v>
      </c>
      <c r="C738" s="18">
        <v>1</v>
      </c>
      <c r="D738" s="18">
        <v>0</v>
      </c>
      <c r="E738" s="18">
        <v>2</v>
      </c>
      <c r="F738" s="18">
        <v>0</v>
      </c>
      <c r="G738" s="18" t="b">
        <v>0</v>
      </c>
      <c r="H738" s="18">
        <v>4</v>
      </c>
      <c r="I738" s="18">
        <v>1</v>
      </c>
      <c r="J738" s="18">
        <v>0.2</v>
      </c>
      <c r="K738">
        <v>0.16669999999999999</v>
      </c>
      <c r="L738">
        <v>0.4</v>
      </c>
      <c r="M738" s="18">
        <v>0.44779999999999998</v>
      </c>
      <c r="N738" s="18">
        <v>1</v>
      </c>
      <c r="O738" s="18">
        <v>11</v>
      </c>
      <c r="P738">
        <v>12</v>
      </c>
      <c r="Q738" s="18" t="s">
        <v>47</v>
      </c>
      <c r="R738" s="18" t="s">
        <v>35</v>
      </c>
      <c r="S738" s="18" t="s">
        <v>36</v>
      </c>
      <c r="T738" s="18" t="s">
        <v>44</v>
      </c>
      <c r="U738" s="18">
        <v>2011</v>
      </c>
      <c r="V738" s="16">
        <f t="shared" si="22"/>
        <v>40587</v>
      </c>
      <c r="W738" s="18" t="str">
        <f t="shared" si="23"/>
        <v>Weekday</v>
      </c>
    </row>
    <row r="739" spans="1:23" x14ac:dyDescent="0.25">
      <c r="A739" s="19">
        <v>737</v>
      </c>
      <c r="B739" s="20">
        <v>40577</v>
      </c>
      <c r="C739" s="18">
        <v>1</v>
      </c>
      <c r="D739" s="18">
        <v>0</v>
      </c>
      <c r="E739" s="18">
        <v>2</v>
      </c>
      <c r="F739" s="18">
        <v>1</v>
      </c>
      <c r="G739" s="18" t="b">
        <v>0</v>
      </c>
      <c r="H739" s="18">
        <v>4</v>
      </c>
      <c r="I739" s="18">
        <v>1</v>
      </c>
      <c r="J739" s="18">
        <v>0.2</v>
      </c>
      <c r="K739">
        <v>0.1515</v>
      </c>
      <c r="L739">
        <v>0.44</v>
      </c>
      <c r="M739" s="18">
        <v>0.52239999999999998</v>
      </c>
      <c r="N739" s="18">
        <v>0</v>
      </c>
      <c r="O739" s="18">
        <v>5</v>
      </c>
      <c r="P739">
        <v>5</v>
      </c>
      <c r="Q739" s="18" t="s">
        <v>47</v>
      </c>
      <c r="R739" s="18" t="s">
        <v>35</v>
      </c>
      <c r="S739" s="18" t="s">
        <v>36</v>
      </c>
      <c r="T739" s="18" t="s">
        <v>44</v>
      </c>
      <c r="U739" s="18">
        <v>2011</v>
      </c>
      <c r="V739" s="16">
        <f t="shared" si="22"/>
        <v>40587</v>
      </c>
      <c r="W739" s="18" t="str">
        <f t="shared" si="23"/>
        <v>Weekday</v>
      </c>
    </row>
    <row r="740" spans="1:23" x14ac:dyDescent="0.25">
      <c r="A740" s="19">
        <v>738</v>
      </c>
      <c r="B740" s="20">
        <v>40577</v>
      </c>
      <c r="C740" s="18">
        <v>1</v>
      </c>
      <c r="D740" s="18">
        <v>0</v>
      </c>
      <c r="E740" s="18">
        <v>2</v>
      </c>
      <c r="F740" s="18">
        <v>2</v>
      </c>
      <c r="G740" s="18" t="b">
        <v>0</v>
      </c>
      <c r="H740" s="18">
        <v>4</v>
      </c>
      <c r="I740" s="18">
        <v>1</v>
      </c>
      <c r="J740" s="18">
        <v>0.18</v>
      </c>
      <c r="K740">
        <v>0.16669999999999999</v>
      </c>
      <c r="L740">
        <v>0.43</v>
      </c>
      <c r="M740" s="18">
        <v>0.25369999999999998</v>
      </c>
      <c r="N740" s="18">
        <v>0</v>
      </c>
      <c r="O740" s="18">
        <v>2</v>
      </c>
      <c r="P740">
        <v>2</v>
      </c>
      <c r="Q740" s="18" t="s">
        <v>47</v>
      </c>
      <c r="R740" s="18" t="s">
        <v>35</v>
      </c>
      <c r="S740" s="18" t="s">
        <v>36</v>
      </c>
      <c r="T740" s="18" t="s">
        <v>44</v>
      </c>
      <c r="U740" s="18">
        <v>2011</v>
      </c>
      <c r="V740" s="16">
        <f t="shared" si="22"/>
        <v>40587</v>
      </c>
      <c r="W740" s="18" t="str">
        <f t="shared" si="23"/>
        <v>Weekday</v>
      </c>
    </row>
    <row r="741" spans="1:23" x14ac:dyDescent="0.25">
      <c r="A741" s="19">
        <v>739</v>
      </c>
      <c r="B741" s="20">
        <v>40577</v>
      </c>
      <c r="C741" s="18">
        <v>1</v>
      </c>
      <c r="D741" s="18">
        <v>0</v>
      </c>
      <c r="E741" s="18">
        <v>2</v>
      </c>
      <c r="F741" s="18">
        <v>3</v>
      </c>
      <c r="G741" s="18" t="b">
        <v>0</v>
      </c>
      <c r="H741" s="18">
        <v>4</v>
      </c>
      <c r="I741" s="18">
        <v>1</v>
      </c>
      <c r="J741" s="18">
        <v>0.18</v>
      </c>
      <c r="K741">
        <v>0.16669999999999999</v>
      </c>
      <c r="L741">
        <v>0.43</v>
      </c>
      <c r="M741" s="18">
        <v>0.25369999999999998</v>
      </c>
      <c r="N741" s="18">
        <v>0</v>
      </c>
      <c r="O741" s="18">
        <v>1</v>
      </c>
      <c r="P741">
        <v>1</v>
      </c>
      <c r="Q741" s="18" t="s">
        <v>47</v>
      </c>
      <c r="R741" s="18" t="s">
        <v>35</v>
      </c>
      <c r="S741" s="18" t="s">
        <v>36</v>
      </c>
      <c r="T741" s="18" t="s">
        <v>44</v>
      </c>
      <c r="U741" s="18">
        <v>2011</v>
      </c>
      <c r="V741" s="16">
        <f t="shared" si="22"/>
        <v>40587</v>
      </c>
      <c r="W741" s="18" t="str">
        <f t="shared" si="23"/>
        <v>Weekday</v>
      </c>
    </row>
    <row r="742" spans="1:23" x14ac:dyDescent="0.25">
      <c r="A742" s="19">
        <v>740</v>
      </c>
      <c r="B742" s="20">
        <v>40577</v>
      </c>
      <c r="C742" s="18">
        <v>1</v>
      </c>
      <c r="D742" s="18">
        <v>0</v>
      </c>
      <c r="E742" s="18">
        <v>2</v>
      </c>
      <c r="F742" s="18">
        <v>5</v>
      </c>
      <c r="G742" s="18" t="b">
        <v>0</v>
      </c>
      <c r="H742" s="18">
        <v>4</v>
      </c>
      <c r="I742" s="18">
        <v>1</v>
      </c>
      <c r="J742" s="18">
        <v>0.16</v>
      </c>
      <c r="K742">
        <v>0.13639999999999999</v>
      </c>
      <c r="L742">
        <v>0.5</v>
      </c>
      <c r="M742" s="18">
        <v>0.29849999999999999</v>
      </c>
      <c r="N742" s="18">
        <v>0</v>
      </c>
      <c r="O742" s="18">
        <v>2</v>
      </c>
      <c r="P742">
        <v>2</v>
      </c>
      <c r="Q742" s="18" t="s">
        <v>47</v>
      </c>
      <c r="R742" s="18" t="s">
        <v>35</v>
      </c>
      <c r="S742" s="18" t="s">
        <v>36</v>
      </c>
      <c r="T742" s="18" t="s">
        <v>44</v>
      </c>
      <c r="U742" s="18">
        <v>2011</v>
      </c>
      <c r="V742" s="16">
        <f t="shared" si="22"/>
        <v>40587</v>
      </c>
      <c r="W742" s="18" t="str">
        <f t="shared" si="23"/>
        <v>Weekday</v>
      </c>
    </row>
    <row r="743" spans="1:23" x14ac:dyDescent="0.25">
      <c r="A743" s="19">
        <v>741</v>
      </c>
      <c r="B743" s="20">
        <v>40577</v>
      </c>
      <c r="C743" s="18">
        <v>1</v>
      </c>
      <c r="D743" s="18">
        <v>0</v>
      </c>
      <c r="E743" s="18">
        <v>2</v>
      </c>
      <c r="F743" s="18">
        <v>6</v>
      </c>
      <c r="G743" s="18" t="b">
        <v>0</v>
      </c>
      <c r="H743" s="18">
        <v>4</v>
      </c>
      <c r="I743" s="18">
        <v>1</v>
      </c>
      <c r="J743" s="18">
        <v>0.16</v>
      </c>
      <c r="K743">
        <v>0.13639999999999999</v>
      </c>
      <c r="L743">
        <v>0.43</v>
      </c>
      <c r="M743" s="18">
        <v>0.35820000000000002</v>
      </c>
      <c r="N743" s="18">
        <v>0</v>
      </c>
      <c r="O743" s="18">
        <v>39</v>
      </c>
      <c r="P743">
        <v>39</v>
      </c>
      <c r="Q743" s="18" t="s">
        <v>47</v>
      </c>
      <c r="R743" s="18" t="s">
        <v>35</v>
      </c>
      <c r="S743" s="18" t="s">
        <v>36</v>
      </c>
      <c r="T743" s="18" t="s">
        <v>44</v>
      </c>
      <c r="U743" s="18">
        <v>2011</v>
      </c>
      <c r="V743" s="16">
        <f t="shared" si="22"/>
        <v>40587</v>
      </c>
      <c r="W743" s="18" t="str">
        <f t="shared" si="23"/>
        <v>Weekday</v>
      </c>
    </row>
    <row r="744" spans="1:23" x14ac:dyDescent="0.25">
      <c r="A744" s="19">
        <v>742</v>
      </c>
      <c r="B744" s="20">
        <v>40577</v>
      </c>
      <c r="C744" s="18">
        <v>1</v>
      </c>
      <c r="D744" s="18">
        <v>0</v>
      </c>
      <c r="E744" s="18">
        <v>2</v>
      </c>
      <c r="F744" s="18">
        <v>7</v>
      </c>
      <c r="G744" s="18" t="b">
        <v>0</v>
      </c>
      <c r="H744" s="18">
        <v>4</v>
      </c>
      <c r="I744" s="18">
        <v>1</v>
      </c>
      <c r="J744" s="18">
        <v>0.14000000000000001</v>
      </c>
      <c r="K744">
        <v>0.1212</v>
      </c>
      <c r="L744">
        <v>0.5</v>
      </c>
      <c r="M744" s="18">
        <v>0.32840000000000003</v>
      </c>
      <c r="N744" s="18">
        <v>1</v>
      </c>
      <c r="O744" s="18">
        <v>86</v>
      </c>
      <c r="P744">
        <v>87</v>
      </c>
      <c r="Q744" s="18" t="s">
        <v>47</v>
      </c>
      <c r="R744" s="18" t="s">
        <v>35</v>
      </c>
      <c r="S744" s="18" t="s">
        <v>36</v>
      </c>
      <c r="T744" s="18" t="s">
        <v>44</v>
      </c>
      <c r="U744" s="18">
        <v>2011</v>
      </c>
      <c r="V744" s="16">
        <f t="shared" si="22"/>
        <v>40587</v>
      </c>
      <c r="W744" s="18" t="str">
        <f t="shared" si="23"/>
        <v>Weekday</v>
      </c>
    </row>
    <row r="745" spans="1:23" x14ac:dyDescent="0.25">
      <c r="A745" s="19">
        <v>743</v>
      </c>
      <c r="B745" s="20">
        <v>40577</v>
      </c>
      <c r="C745" s="18">
        <v>1</v>
      </c>
      <c r="D745" s="18">
        <v>0</v>
      </c>
      <c r="E745" s="18">
        <v>2</v>
      </c>
      <c r="F745" s="18">
        <v>8</v>
      </c>
      <c r="G745" s="18" t="b">
        <v>0</v>
      </c>
      <c r="H745" s="18">
        <v>4</v>
      </c>
      <c r="I745" s="18">
        <v>1</v>
      </c>
      <c r="J745" s="18">
        <v>0.14000000000000001</v>
      </c>
      <c r="K745">
        <v>0.1212</v>
      </c>
      <c r="L745">
        <v>0.5</v>
      </c>
      <c r="M745" s="18">
        <v>0.35820000000000002</v>
      </c>
      <c r="N745" s="18">
        <v>4</v>
      </c>
      <c r="O745" s="18">
        <v>184</v>
      </c>
      <c r="P745">
        <v>188</v>
      </c>
      <c r="Q745" s="18" t="s">
        <v>47</v>
      </c>
      <c r="R745" s="18" t="s">
        <v>35</v>
      </c>
      <c r="S745" s="18" t="s">
        <v>36</v>
      </c>
      <c r="T745" s="18" t="s">
        <v>44</v>
      </c>
      <c r="U745" s="18">
        <v>2011</v>
      </c>
      <c r="V745" s="16">
        <f t="shared" si="22"/>
        <v>40587</v>
      </c>
      <c r="W745" s="18" t="str">
        <f t="shared" si="23"/>
        <v>Weekday</v>
      </c>
    </row>
    <row r="746" spans="1:23" x14ac:dyDescent="0.25">
      <c r="A746" s="19">
        <v>744</v>
      </c>
      <c r="B746" s="20">
        <v>40577</v>
      </c>
      <c r="C746" s="18">
        <v>1</v>
      </c>
      <c r="D746" s="18">
        <v>0</v>
      </c>
      <c r="E746" s="18">
        <v>2</v>
      </c>
      <c r="F746" s="18">
        <v>9</v>
      </c>
      <c r="G746" s="18" t="b">
        <v>0</v>
      </c>
      <c r="H746" s="18">
        <v>4</v>
      </c>
      <c r="I746" s="18">
        <v>1</v>
      </c>
      <c r="J746" s="18">
        <v>0.16</v>
      </c>
      <c r="K746">
        <v>0.13639999999999999</v>
      </c>
      <c r="L746">
        <v>0.47</v>
      </c>
      <c r="M746" s="18">
        <v>0.29849999999999999</v>
      </c>
      <c r="N746" s="18">
        <v>6</v>
      </c>
      <c r="O746" s="18">
        <v>127</v>
      </c>
      <c r="P746">
        <v>133</v>
      </c>
      <c r="Q746" s="18" t="s">
        <v>47</v>
      </c>
      <c r="R746" s="18" t="s">
        <v>35</v>
      </c>
      <c r="S746" s="18" t="s">
        <v>36</v>
      </c>
      <c r="T746" s="18" t="s">
        <v>44</v>
      </c>
      <c r="U746" s="18">
        <v>2011</v>
      </c>
      <c r="V746" s="16">
        <f t="shared" si="22"/>
        <v>40587</v>
      </c>
      <c r="W746" s="18" t="str">
        <f t="shared" si="23"/>
        <v>Weekday</v>
      </c>
    </row>
    <row r="747" spans="1:23" x14ac:dyDescent="0.25">
      <c r="A747" s="19">
        <v>745</v>
      </c>
      <c r="B747" s="20">
        <v>40577</v>
      </c>
      <c r="C747" s="18">
        <v>1</v>
      </c>
      <c r="D747" s="18">
        <v>0</v>
      </c>
      <c r="E747" s="18">
        <v>2</v>
      </c>
      <c r="F747" s="18">
        <v>10</v>
      </c>
      <c r="G747" s="18" t="b">
        <v>0</v>
      </c>
      <c r="H747" s="18">
        <v>4</v>
      </c>
      <c r="I747" s="18">
        <v>1</v>
      </c>
      <c r="J747" s="18">
        <v>0.18</v>
      </c>
      <c r="K747">
        <v>0.1515</v>
      </c>
      <c r="L747">
        <v>0.43</v>
      </c>
      <c r="M747" s="18">
        <v>0.32840000000000003</v>
      </c>
      <c r="N747" s="18">
        <v>2</v>
      </c>
      <c r="O747" s="18">
        <v>50</v>
      </c>
      <c r="P747">
        <v>52</v>
      </c>
      <c r="Q747" s="18" t="s">
        <v>47</v>
      </c>
      <c r="R747" s="18" t="s">
        <v>35</v>
      </c>
      <c r="S747" s="18" t="s">
        <v>36</v>
      </c>
      <c r="T747" s="18" t="s">
        <v>44</v>
      </c>
      <c r="U747" s="18">
        <v>2011</v>
      </c>
      <c r="V747" s="16">
        <f t="shared" si="22"/>
        <v>40587</v>
      </c>
      <c r="W747" s="18" t="str">
        <f t="shared" si="23"/>
        <v>Weekday</v>
      </c>
    </row>
    <row r="748" spans="1:23" x14ac:dyDescent="0.25">
      <c r="A748" s="19">
        <v>746</v>
      </c>
      <c r="B748" s="20">
        <v>40577</v>
      </c>
      <c r="C748" s="18">
        <v>1</v>
      </c>
      <c r="D748" s="18">
        <v>0</v>
      </c>
      <c r="E748" s="18">
        <v>2</v>
      </c>
      <c r="F748" s="18">
        <v>11</v>
      </c>
      <c r="G748" s="18" t="b">
        <v>0</v>
      </c>
      <c r="H748" s="18">
        <v>4</v>
      </c>
      <c r="I748" s="18">
        <v>1</v>
      </c>
      <c r="J748" s="18">
        <v>0.18</v>
      </c>
      <c r="K748">
        <v>0.13639999999999999</v>
      </c>
      <c r="L748">
        <v>0.43</v>
      </c>
      <c r="M748" s="18">
        <v>0.44779999999999998</v>
      </c>
      <c r="N748" s="18">
        <v>9</v>
      </c>
      <c r="O748" s="18">
        <v>55</v>
      </c>
      <c r="P748">
        <v>64</v>
      </c>
      <c r="Q748" s="18" t="s">
        <v>47</v>
      </c>
      <c r="R748" s="18" t="s">
        <v>35</v>
      </c>
      <c r="S748" s="18" t="s">
        <v>36</v>
      </c>
      <c r="T748" s="18" t="s">
        <v>44</v>
      </c>
      <c r="U748" s="18">
        <v>2011</v>
      </c>
      <c r="V748" s="16">
        <f t="shared" si="22"/>
        <v>40587</v>
      </c>
      <c r="W748" s="18" t="str">
        <f t="shared" si="23"/>
        <v>Weekday</v>
      </c>
    </row>
    <row r="749" spans="1:23" x14ac:dyDescent="0.25">
      <c r="A749" s="19">
        <v>747</v>
      </c>
      <c r="B749" s="20">
        <v>40577</v>
      </c>
      <c r="C749" s="18">
        <v>1</v>
      </c>
      <c r="D749" s="18">
        <v>0</v>
      </c>
      <c r="E749" s="18">
        <v>2</v>
      </c>
      <c r="F749" s="18">
        <v>12</v>
      </c>
      <c r="G749" s="18" t="b">
        <v>0</v>
      </c>
      <c r="H749" s="18">
        <v>4</v>
      </c>
      <c r="I749" s="18">
        <v>1</v>
      </c>
      <c r="J749" s="18">
        <v>0.2</v>
      </c>
      <c r="K749">
        <v>0.18179999999999999</v>
      </c>
      <c r="L749">
        <v>0.4</v>
      </c>
      <c r="M749" s="18">
        <v>0.35820000000000002</v>
      </c>
      <c r="N749" s="18">
        <v>2</v>
      </c>
      <c r="O749" s="18">
        <v>67</v>
      </c>
      <c r="P749">
        <v>69</v>
      </c>
      <c r="Q749" s="18" t="s">
        <v>47</v>
      </c>
      <c r="R749" s="18" t="s">
        <v>35</v>
      </c>
      <c r="S749" s="18" t="s">
        <v>36</v>
      </c>
      <c r="T749" s="18" t="s">
        <v>44</v>
      </c>
      <c r="U749" s="18">
        <v>2011</v>
      </c>
      <c r="V749" s="16">
        <f t="shared" si="22"/>
        <v>40587</v>
      </c>
      <c r="W749" s="18" t="str">
        <f t="shared" si="23"/>
        <v>Weekday</v>
      </c>
    </row>
    <row r="750" spans="1:23" x14ac:dyDescent="0.25">
      <c r="A750" s="19">
        <v>748</v>
      </c>
      <c r="B750" s="20">
        <v>40577</v>
      </c>
      <c r="C750" s="18">
        <v>1</v>
      </c>
      <c r="D750" s="18">
        <v>0</v>
      </c>
      <c r="E750" s="18">
        <v>2</v>
      </c>
      <c r="F750" s="18">
        <v>13</v>
      </c>
      <c r="G750" s="18" t="b">
        <v>0</v>
      </c>
      <c r="H750" s="18">
        <v>4</v>
      </c>
      <c r="I750" s="18">
        <v>1</v>
      </c>
      <c r="J750" s="18">
        <v>0.2</v>
      </c>
      <c r="K750">
        <v>0.16669999999999999</v>
      </c>
      <c r="L750">
        <v>0.4</v>
      </c>
      <c r="M750" s="18">
        <v>0.41789999999999999</v>
      </c>
      <c r="N750" s="18">
        <v>4</v>
      </c>
      <c r="O750" s="18">
        <v>47</v>
      </c>
      <c r="P750">
        <v>51</v>
      </c>
      <c r="Q750" s="18" t="s">
        <v>47</v>
      </c>
      <c r="R750" s="18" t="s">
        <v>35</v>
      </c>
      <c r="S750" s="18" t="s">
        <v>36</v>
      </c>
      <c r="T750" s="18" t="s">
        <v>44</v>
      </c>
      <c r="U750" s="18">
        <v>2011</v>
      </c>
      <c r="V750" s="16">
        <f t="shared" si="22"/>
        <v>40587</v>
      </c>
      <c r="W750" s="18" t="str">
        <f t="shared" si="23"/>
        <v>Weekday</v>
      </c>
    </row>
    <row r="751" spans="1:23" x14ac:dyDescent="0.25">
      <c r="A751" s="19">
        <v>749</v>
      </c>
      <c r="B751" s="20">
        <v>40577</v>
      </c>
      <c r="C751" s="18">
        <v>1</v>
      </c>
      <c r="D751" s="18">
        <v>0</v>
      </c>
      <c r="E751" s="18">
        <v>2</v>
      </c>
      <c r="F751" s="18">
        <v>14</v>
      </c>
      <c r="G751" s="18" t="b">
        <v>0</v>
      </c>
      <c r="H751" s="18">
        <v>4</v>
      </c>
      <c r="I751" s="18">
        <v>1</v>
      </c>
      <c r="J751" s="18">
        <v>0.22</v>
      </c>
      <c r="K751">
        <v>0.19700000000000001</v>
      </c>
      <c r="L751">
        <v>0.37</v>
      </c>
      <c r="M751" s="18">
        <v>0.3881</v>
      </c>
      <c r="N751" s="18">
        <v>4</v>
      </c>
      <c r="O751" s="18">
        <v>43</v>
      </c>
      <c r="P751">
        <v>47</v>
      </c>
      <c r="Q751" s="18" t="s">
        <v>47</v>
      </c>
      <c r="R751" s="18" t="s">
        <v>35</v>
      </c>
      <c r="S751" s="18" t="s">
        <v>36</v>
      </c>
      <c r="T751" s="18" t="s">
        <v>44</v>
      </c>
      <c r="U751" s="18">
        <v>2011</v>
      </c>
      <c r="V751" s="16">
        <f t="shared" si="22"/>
        <v>40587</v>
      </c>
      <c r="W751" s="18" t="str">
        <f t="shared" si="23"/>
        <v>Weekday</v>
      </c>
    </row>
    <row r="752" spans="1:23" x14ac:dyDescent="0.25">
      <c r="A752" s="19">
        <v>750</v>
      </c>
      <c r="B752" s="20">
        <v>40577</v>
      </c>
      <c r="C752" s="18">
        <v>1</v>
      </c>
      <c r="D752" s="18">
        <v>0</v>
      </c>
      <c r="E752" s="18">
        <v>2</v>
      </c>
      <c r="F752" s="18">
        <v>15</v>
      </c>
      <c r="G752" s="18" t="b">
        <v>0</v>
      </c>
      <c r="H752" s="18">
        <v>4</v>
      </c>
      <c r="I752" s="18">
        <v>1</v>
      </c>
      <c r="J752" s="18">
        <v>0.22</v>
      </c>
      <c r="K752">
        <v>0.19700000000000001</v>
      </c>
      <c r="L752">
        <v>0.37</v>
      </c>
      <c r="M752" s="18">
        <v>0.32840000000000003</v>
      </c>
      <c r="N752" s="18">
        <v>4</v>
      </c>
      <c r="O752" s="18">
        <v>56</v>
      </c>
      <c r="P752">
        <v>60</v>
      </c>
      <c r="Q752" s="18" t="s">
        <v>47</v>
      </c>
      <c r="R752" s="18" t="s">
        <v>35</v>
      </c>
      <c r="S752" s="18" t="s">
        <v>36</v>
      </c>
      <c r="T752" s="18" t="s">
        <v>44</v>
      </c>
      <c r="U752" s="18">
        <v>2011</v>
      </c>
      <c r="V752" s="16">
        <f t="shared" si="22"/>
        <v>40587</v>
      </c>
      <c r="W752" s="18" t="str">
        <f t="shared" si="23"/>
        <v>Weekday</v>
      </c>
    </row>
    <row r="753" spans="1:23" x14ac:dyDescent="0.25">
      <c r="A753" s="19">
        <v>751</v>
      </c>
      <c r="B753" s="20">
        <v>40577</v>
      </c>
      <c r="C753" s="18">
        <v>1</v>
      </c>
      <c r="D753" s="18">
        <v>0</v>
      </c>
      <c r="E753" s="18">
        <v>2</v>
      </c>
      <c r="F753" s="18">
        <v>16</v>
      </c>
      <c r="G753" s="18" t="b">
        <v>0</v>
      </c>
      <c r="H753" s="18">
        <v>4</v>
      </c>
      <c r="I753" s="18">
        <v>1</v>
      </c>
      <c r="J753" s="18">
        <v>0.22</v>
      </c>
      <c r="K753">
        <v>0.21210000000000001</v>
      </c>
      <c r="L753">
        <v>0.37</v>
      </c>
      <c r="M753" s="18">
        <v>0.25369999999999998</v>
      </c>
      <c r="N753" s="18">
        <v>5</v>
      </c>
      <c r="O753" s="18">
        <v>73</v>
      </c>
      <c r="P753">
        <v>78</v>
      </c>
      <c r="Q753" s="18" t="s">
        <v>47</v>
      </c>
      <c r="R753" s="18" t="s">
        <v>35</v>
      </c>
      <c r="S753" s="18" t="s">
        <v>36</v>
      </c>
      <c r="T753" s="18" t="s">
        <v>44</v>
      </c>
      <c r="U753" s="18">
        <v>2011</v>
      </c>
      <c r="V753" s="16">
        <f t="shared" si="22"/>
        <v>40587</v>
      </c>
      <c r="W753" s="18" t="str">
        <f t="shared" si="23"/>
        <v>Weekday</v>
      </c>
    </row>
    <row r="754" spans="1:23" x14ac:dyDescent="0.25">
      <c r="A754" s="19">
        <v>752</v>
      </c>
      <c r="B754" s="20">
        <v>40577</v>
      </c>
      <c r="C754" s="18">
        <v>1</v>
      </c>
      <c r="D754" s="18">
        <v>0</v>
      </c>
      <c r="E754" s="18">
        <v>2</v>
      </c>
      <c r="F754" s="18">
        <v>17</v>
      </c>
      <c r="G754" s="18" t="b">
        <v>0</v>
      </c>
      <c r="H754" s="18">
        <v>4</v>
      </c>
      <c r="I754" s="18">
        <v>1</v>
      </c>
      <c r="J754" s="18">
        <v>0.2</v>
      </c>
      <c r="K754">
        <v>0.19700000000000001</v>
      </c>
      <c r="L754">
        <v>0.4</v>
      </c>
      <c r="M754" s="18">
        <v>0.19400000000000001</v>
      </c>
      <c r="N754" s="18">
        <v>5</v>
      </c>
      <c r="O754" s="18">
        <v>170</v>
      </c>
      <c r="P754">
        <v>175</v>
      </c>
      <c r="Q754" s="18" t="s">
        <v>47</v>
      </c>
      <c r="R754" s="18" t="s">
        <v>35</v>
      </c>
      <c r="S754" s="18" t="s">
        <v>36</v>
      </c>
      <c r="T754" s="18" t="s">
        <v>44</v>
      </c>
      <c r="U754" s="18">
        <v>2011</v>
      </c>
      <c r="V754" s="16">
        <f t="shared" si="22"/>
        <v>40587</v>
      </c>
      <c r="W754" s="18" t="str">
        <f t="shared" si="23"/>
        <v>Weekday</v>
      </c>
    </row>
    <row r="755" spans="1:23" x14ac:dyDescent="0.25">
      <c r="A755" s="19">
        <v>753</v>
      </c>
      <c r="B755" s="20">
        <v>40577</v>
      </c>
      <c r="C755" s="18">
        <v>1</v>
      </c>
      <c r="D755" s="18">
        <v>0</v>
      </c>
      <c r="E755" s="18">
        <v>2</v>
      </c>
      <c r="F755" s="18">
        <v>18</v>
      </c>
      <c r="G755" s="18" t="b">
        <v>0</v>
      </c>
      <c r="H755" s="18">
        <v>4</v>
      </c>
      <c r="I755" s="18">
        <v>1</v>
      </c>
      <c r="J755" s="18">
        <v>0.2</v>
      </c>
      <c r="K755">
        <v>0.21210000000000001</v>
      </c>
      <c r="L755">
        <v>0.4</v>
      </c>
      <c r="M755" s="18">
        <v>0.16420000000000001</v>
      </c>
      <c r="N755" s="18">
        <v>2</v>
      </c>
      <c r="O755" s="18">
        <v>145</v>
      </c>
      <c r="P755">
        <v>147</v>
      </c>
      <c r="Q755" s="18" t="s">
        <v>47</v>
      </c>
      <c r="R755" s="18" t="s">
        <v>35</v>
      </c>
      <c r="S755" s="18" t="s">
        <v>36</v>
      </c>
      <c r="T755" s="18" t="s">
        <v>44</v>
      </c>
      <c r="U755" s="18">
        <v>2011</v>
      </c>
      <c r="V755" s="16">
        <f t="shared" si="22"/>
        <v>40587</v>
      </c>
      <c r="W755" s="18" t="str">
        <f t="shared" si="23"/>
        <v>Weekday</v>
      </c>
    </row>
    <row r="756" spans="1:23" x14ac:dyDescent="0.25">
      <c r="A756" s="19">
        <v>754</v>
      </c>
      <c r="B756" s="20">
        <v>40577</v>
      </c>
      <c r="C756" s="18">
        <v>1</v>
      </c>
      <c r="D756" s="18">
        <v>0</v>
      </c>
      <c r="E756" s="18">
        <v>2</v>
      </c>
      <c r="F756" s="18">
        <v>19</v>
      </c>
      <c r="G756" s="18" t="b">
        <v>0</v>
      </c>
      <c r="H756" s="18">
        <v>4</v>
      </c>
      <c r="I756" s="18">
        <v>1</v>
      </c>
      <c r="J756" s="18">
        <v>0.2</v>
      </c>
      <c r="K756">
        <v>0.2576</v>
      </c>
      <c r="L756">
        <v>0.4</v>
      </c>
      <c r="M756" s="18">
        <v>0</v>
      </c>
      <c r="N756" s="18">
        <v>4</v>
      </c>
      <c r="O756" s="18">
        <v>92</v>
      </c>
      <c r="P756">
        <v>96</v>
      </c>
      <c r="Q756" s="18" t="s">
        <v>47</v>
      </c>
      <c r="R756" s="18" t="s">
        <v>35</v>
      </c>
      <c r="S756" s="18" t="s">
        <v>36</v>
      </c>
      <c r="T756" s="18" t="s">
        <v>44</v>
      </c>
      <c r="U756" s="18">
        <v>2011</v>
      </c>
      <c r="V756" s="16">
        <f t="shared" si="22"/>
        <v>40587</v>
      </c>
      <c r="W756" s="18" t="str">
        <f t="shared" si="23"/>
        <v>Weekday</v>
      </c>
    </row>
    <row r="757" spans="1:23" x14ac:dyDescent="0.25">
      <c r="A757" s="19">
        <v>755</v>
      </c>
      <c r="B757" s="20">
        <v>40577</v>
      </c>
      <c r="C757" s="18">
        <v>1</v>
      </c>
      <c r="D757" s="18">
        <v>0</v>
      </c>
      <c r="E757" s="18">
        <v>2</v>
      </c>
      <c r="F757" s="18">
        <v>20</v>
      </c>
      <c r="G757" s="18" t="b">
        <v>0</v>
      </c>
      <c r="H757" s="18">
        <v>4</v>
      </c>
      <c r="I757" s="18">
        <v>1</v>
      </c>
      <c r="J757" s="18">
        <v>0.2</v>
      </c>
      <c r="K757">
        <v>0.2273</v>
      </c>
      <c r="L757">
        <v>0.47</v>
      </c>
      <c r="M757" s="18">
        <v>8.9599999999999999E-2</v>
      </c>
      <c r="N757" s="18">
        <v>1</v>
      </c>
      <c r="O757" s="18">
        <v>108</v>
      </c>
      <c r="P757">
        <v>109</v>
      </c>
      <c r="Q757" s="18" t="s">
        <v>47</v>
      </c>
      <c r="R757" s="18" t="s">
        <v>35</v>
      </c>
      <c r="S757" s="18" t="s">
        <v>36</v>
      </c>
      <c r="T757" s="18" t="s">
        <v>44</v>
      </c>
      <c r="U757" s="18">
        <v>2011</v>
      </c>
      <c r="V757" s="16">
        <f t="shared" si="22"/>
        <v>40587</v>
      </c>
      <c r="W757" s="18" t="str">
        <f t="shared" si="23"/>
        <v>Weekday</v>
      </c>
    </row>
    <row r="758" spans="1:23" x14ac:dyDescent="0.25">
      <c r="A758" s="19">
        <v>756</v>
      </c>
      <c r="B758" s="20">
        <v>40577</v>
      </c>
      <c r="C758" s="18">
        <v>1</v>
      </c>
      <c r="D758" s="18">
        <v>0</v>
      </c>
      <c r="E758" s="18">
        <v>2</v>
      </c>
      <c r="F758" s="18">
        <v>21</v>
      </c>
      <c r="G758" s="18" t="b">
        <v>0</v>
      </c>
      <c r="H758" s="18">
        <v>4</v>
      </c>
      <c r="I758" s="18">
        <v>1</v>
      </c>
      <c r="J758" s="18">
        <v>0.18</v>
      </c>
      <c r="K758">
        <v>0.21210000000000001</v>
      </c>
      <c r="L758">
        <v>0.55000000000000004</v>
      </c>
      <c r="M758" s="18">
        <v>0.1045</v>
      </c>
      <c r="N758" s="18">
        <v>1</v>
      </c>
      <c r="O758" s="18">
        <v>53</v>
      </c>
      <c r="P758">
        <v>54</v>
      </c>
      <c r="Q758" s="18" t="s">
        <v>47</v>
      </c>
      <c r="R758" s="18" t="s">
        <v>35</v>
      </c>
      <c r="S758" s="18" t="s">
        <v>36</v>
      </c>
      <c r="T758" s="18" t="s">
        <v>44</v>
      </c>
      <c r="U758" s="18">
        <v>2011</v>
      </c>
      <c r="V758" s="16">
        <f t="shared" si="22"/>
        <v>40587</v>
      </c>
      <c r="W758" s="18" t="str">
        <f t="shared" si="23"/>
        <v>Weekday</v>
      </c>
    </row>
    <row r="759" spans="1:23" x14ac:dyDescent="0.25">
      <c r="A759" s="19">
        <v>757</v>
      </c>
      <c r="B759" s="20">
        <v>40577</v>
      </c>
      <c r="C759" s="18">
        <v>1</v>
      </c>
      <c r="D759" s="18">
        <v>0</v>
      </c>
      <c r="E759" s="18">
        <v>2</v>
      </c>
      <c r="F759" s="18">
        <v>22</v>
      </c>
      <c r="G759" s="18" t="b">
        <v>0</v>
      </c>
      <c r="H759" s="18">
        <v>4</v>
      </c>
      <c r="I759" s="18">
        <v>1</v>
      </c>
      <c r="J759" s="18">
        <v>0.18</v>
      </c>
      <c r="K759">
        <v>0.21210000000000001</v>
      </c>
      <c r="L759">
        <v>0.51</v>
      </c>
      <c r="M759" s="18">
        <v>8.9599999999999999E-2</v>
      </c>
      <c r="N759" s="18">
        <v>2</v>
      </c>
      <c r="O759" s="18">
        <v>39</v>
      </c>
      <c r="P759">
        <v>41</v>
      </c>
      <c r="Q759" s="18" t="s">
        <v>47</v>
      </c>
      <c r="R759" s="18" t="s">
        <v>35</v>
      </c>
      <c r="S759" s="18" t="s">
        <v>36</v>
      </c>
      <c r="T759" s="18" t="s">
        <v>44</v>
      </c>
      <c r="U759" s="18">
        <v>2011</v>
      </c>
      <c r="V759" s="16">
        <f t="shared" si="22"/>
        <v>40587</v>
      </c>
      <c r="W759" s="18" t="str">
        <f t="shared" si="23"/>
        <v>Weekday</v>
      </c>
    </row>
    <row r="760" spans="1:23" x14ac:dyDescent="0.25">
      <c r="A760" s="19">
        <v>758</v>
      </c>
      <c r="B760" s="20">
        <v>40577</v>
      </c>
      <c r="C760" s="18">
        <v>1</v>
      </c>
      <c r="D760" s="18">
        <v>0</v>
      </c>
      <c r="E760" s="18">
        <v>2</v>
      </c>
      <c r="F760" s="18">
        <v>23</v>
      </c>
      <c r="G760" s="18" t="b">
        <v>0</v>
      </c>
      <c r="H760" s="18">
        <v>4</v>
      </c>
      <c r="I760" s="18">
        <v>1</v>
      </c>
      <c r="J760" s="18">
        <v>0.2</v>
      </c>
      <c r="K760">
        <v>0.2273</v>
      </c>
      <c r="L760">
        <v>0.47</v>
      </c>
      <c r="M760" s="18">
        <v>0.1045</v>
      </c>
      <c r="N760" s="18">
        <v>4</v>
      </c>
      <c r="O760" s="18">
        <v>34</v>
      </c>
      <c r="P760">
        <v>38</v>
      </c>
      <c r="Q760" s="18" t="s">
        <v>47</v>
      </c>
      <c r="R760" s="18" t="s">
        <v>35</v>
      </c>
      <c r="S760" s="18" t="s">
        <v>36</v>
      </c>
      <c r="T760" s="18" t="s">
        <v>44</v>
      </c>
      <c r="U760" s="18">
        <v>2011</v>
      </c>
      <c r="V760" s="16">
        <f t="shared" si="22"/>
        <v>40587</v>
      </c>
      <c r="W760" s="18" t="str">
        <f t="shared" si="23"/>
        <v>Weekday</v>
      </c>
    </row>
    <row r="761" spans="1:23" x14ac:dyDescent="0.25">
      <c r="A761" s="19">
        <v>759</v>
      </c>
      <c r="B761" s="20">
        <v>40578</v>
      </c>
      <c r="C761" s="18">
        <v>1</v>
      </c>
      <c r="D761" s="18">
        <v>0</v>
      </c>
      <c r="E761" s="18">
        <v>2</v>
      </c>
      <c r="F761" s="18">
        <v>0</v>
      </c>
      <c r="G761" s="18" t="b">
        <v>0</v>
      </c>
      <c r="H761" s="18">
        <v>5</v>
      </c>
      <c r="I761" s="18">
        <v>2</v>
      </c>
      <c r="J761" s="18">
        <v>0.2</v>
      </c>
      <c r="K761">
        <v>0.2576</v>
      </c>
      <c r="L761">
        <v>0.44</v>
      </c>
      <c r="M761" s="18">
        <v>0</v>
      </c>
      <c r="N761" s="18">
        <v>3</v>
      </c>
      <c r="O761" s="18">
        <v>10</v>
      </c>
      <c r="P761">
        <v>13</v>
      </c>
      <c r="Q761" s="18" t="s">
        <v>47</v>
      </c>
      <c r="R761" s="18" t="s">
        <v>35</v>
      </c>
      <c r="S761" s="18" t="s">
        <v>38</v>
      </c>
      <c r="T761" s="18" t="s">
        <v>45</v>
      </c>
      <c r="U761" s="18">
        <v>2011</v>
      </c>
      <c r="V761" s="16">
        <f t="shared" si="22"/>
        <v>40587</v>
      </c>
      <c r="W761" s="18" t="str">
        <f t="shared" si="23"/>
        <v>Weekday</v>
      </c>
    </row>
    <row r="762" spans="1:23" x14ac:dyDescent="0.25">
      <c r="A762" s="19">
        <v>760</v>
      </c>
      <c r="B762" s="20">
        <v>40578</v>
      </c>
      <c r="C762" s="18">
        <v>1</v>
      </c>
      <c r="D762" s="18">
        <v>0</v>
      </c>
      <c r="E762" s="18">
        <v>2</v>
      </c>
      <c r="F762" s="18">
        <v>1</v>
      </c>
      <c r="G762" s="18" t="b">
        <v>0</v>
      </c>
      <c r="H762" s="18">
        <v>5</v>
      </c>
      <c r="I762" s="18">
        <v>2</v>
      </c>
      <c r="J762" s="18">
        <v>0.16</v>
      </c>
      <c r="K762">
        <v>0.2273</v>
      </c>
      <c r="L762">
        <v>0.59</v>
      </c>
      <c r="M762" s="18">
        <v>0</v>
      </c>
      <c r="N762" s="18">
        <v>0</v>
      </c>
      <c r="O762" s="18">
        <v>7</v>
      </c>
      <c r="P762">
        <v>7</v>
      </c>
      <c r="Q762" s="18" t="s">
        <v>47</v>
      </c>
      <c r="R762" s="18" t="s">
        <v>35</v>
      </c>
      <c r="S762" s="18" t="s">
        <v>38</v>
      </c>
      <c r="T762" s="18" t="s">
        <v>45</v>
      </c>
      <c r="U762" s="18">
        <v>2011</v>
      </c>
      <c r="V762" s="16">
        <f t="shared" si="22"/>
        <v>40587</v>
      </c>
      <c r="W762" s="18" t="str">
        <f t="shared" si="23"/>
        <v>Weekday</v>
      </c>
    </row>
    <row r="763" spans="1:23" x14ac:dyDescent="0.25">
      <c r="A763" s="19">
        <v>761</v>
      </c>
      <c r="B763" s="20">
        <v>40578</v>
      </c>
      <c r="C763" s="18">
        <v>1</v>
      </c>
      <c r="D763" s="18">
        <v>0</v>
      </c>
      <c r="E763" s="18">
        <v>2</v>
      </c>
      <c r="F763" s="18">
        <v>2</v>
      </c>
      <c r="G763" s="18" t="b">
        <v>0</v>
      </c>
      <c r="H763" s="18">
        <v>5</v>
      </c>
      <c r="I763" s="18">
        <v>2</v>
      </c>
      <c r="J763" s="18">
        <v>0.14000000000000001</v>
      </c>
      <c r="K763">
        <v>0.16669999999999999</v>
      </c>
      <c r="L763">
        <v>0.63</v>
      </c>
      <c r="M763" s="18">
        <v>0.1045</v>
      </c>
      <c r="N763" s="18">
        <v>0</v>
      </c>
      <c r="O763" s="18">
        <v>1</v>
      </c>
      <c r="P763">
        <v>1</v>
      </c>
      <c r="Q763" s="18" t="s">
        <v>47</v>
      </c>
      <c r="R763" s="18" t="s">
        <v>35</v>
      </c>
      <c r="S763" s="18" t="s">
        <v>38</v>
      </c>
      <c r="T763" s="18" t="s">
        <v>45</v>
      </c>
      <c r="U763" s="18">
        <v>2011</v>
      </c>
      <c r="V763" s="16">
        <f t="shared" si="22"/>
        <v>40587</v>
      </c>
      <c r="W763" s="18" t="str">
        <f t="shared" si="23"/>
        <v>Weekday</v>
      </c>
    </row>
    <row r="764" spans="1:23" x14ac:dyDescent="0.25">
      <c r="A764" s="19">
        <v>762</v>
      </c>
      <c r="B764" s="20">
        <v>40578</v>
      </c>
      <c r="C764" s="18">
        <v>1</v>
      </c>
      <c r="D764" s="18">
        <v>0</v>
      </c>
      <c r="E764" s="18">
        <v>2</v>
      </c>
      <c r="F764" s="18">
        <v>3</v>
      </c>
      <c r="G764" s="18" t="b">
        <v>0</v>
      </c>
      <c r="H764" s="18">
        <v>5</v>
      </c>
      <c r="I764" s="18">
        <v>2</v>
      </c>
      <c r="J764" s="18">
        <v>0.14000000000000001</v>
      </c>
      <c r="K764">
        <v>0.16669999999999999</v>
      </c>
      <c r="L764">
        <v>0.63</v>
      </c>
      <c r="M764" s="18">
        <v>0.1045</v>
      </c>
      <c r="N764" s="18">
        <v>0</v>
      </c>
      <c r="O764" s="18">
        <v>1</v>
      </c>
      <c r="P764">
        <v>1</v>
      </c>
      <c r="Q764" s="18" t="s">
        <v>47</v>
      </c>
      <c r="R764" s="18" t="s">
        <v>35</v>
      </c>
      <c r="S764" s="18" t="s">
        <v>38</v>
      </c>
      <c r="T764" s="18" t="s">
        <v>45</v>
      </c>
      <c r="U764" s="18">
        <v>2011</v>
      </c>
      <c r="V764" s="16">
        <f t="shared" si="22"/>
        <v>40587</v>
      </c>
      <c r="W764" s="18" t="str">
        <f t="shared" si="23"/>
        <v>Weekday</v>
      </c>
    </row>
    <row r="765" spans="1:23" x14ac:dyDescent="0.25">
      <c r="A765" s="19">
        <v>763</v>
      </c>
      <c r="B765" s="20">
        <v>40578</v>
      </c>
      <c r="C765" s="18">
        <v>1</v>
      </c>
      <c r="D765" s="18">
        <v>0</v>
      </c>
      <c r="E765" s="18">
        <v>2</v>
      </c>
      <c r="F765" s="18">
        <v>5</v>
      </c>
      <c r="G765" s="18" t="b">
        <v>0</v>
      </c>
      <c r="H765" s="18">
        <v>5</v>
      </c>
      <c r="I765" s="18">
        <v>2</v>
      </c>
      <c r="J765" s="18">
        <v>0.14000000000000001</v>
      </c>
      <c r="K765">
        <v>0.1515</v>
      </c>
      <c r="L765">
        <v>0.63</v>
      </c>
      <c r="M765" s="18">
        <v>0.1343</v>
      </c>
      <c r="N765" s="18">
        <v>0</v>
      </c>
      <c r="O765" s="18">
        <v>7</v>
      </c>
      <c r="P765">
        <v>7</v>
      </c>
      <c r="Q765" s="18" t="s">
        <v>47</v>
      </c>
      <c r="R765" s="18" t="s">
        <v>35</v>
      </c>
      <c r="S765" s="18" t="s">
        <v>38</v>
      </c>
      <c r="T765" s="18" t="s">
        <v>45</v>
      </c>
      <c r="U765" s="18">
        <v>2011</v>
      </c>
      <c r="V765" s="16">
        <f t="shared" si="22"/>
        <v>40587</v>
      </c>
      <c r="W765" s="18" t="str">
        <f t="shared" si="23"/>
        <v>Weekday</v>
      </c>
    </row>
    <row r="766" spans="1:23" x14ac:dyDescent="0.25">
      <c r="A766" s="19">
        <v>764</v>
      </c>
      <c r="B766" s="20">
        <v>40578</v>
      </c>
      <c r="C766" s="18">
        <v>1</v>
      </c>
      <c r="D766" s="18">
        <v>0</v>
      </c>
      <c r="E766" s="18">
        <v>2</v>
      </c>
      <c r="F766" s="18">
        <v>6</v>
      </c>
      <c r="G766" s="18" t="b">
        <v>0</v>
      </c>
      <c r="H766" s="18">
        <v>5</v>
      </c>
      <c r="I766" s="18">
        <v>2</v>
      </c>
      <c r="J766" s="18">
        <v>0.16</v>
      </c>
      <c r="K766">
        <v>0.2273</v>
      </c>
      <c r="L766">
        <v>0.55000000000000004</v>
      </c>
      <c r="M766" s="18">
        <v>0</v>
      </c>
      <c r="N766" s="18">
        <v>2</v>
      </c>
      <c r="O766" s="18">
        <v>26</v>
      </c>
      <c r="P766">
        <v>28</v>
      </c>
      <c r="Q766" s="18" t="s">
        <v>47</v>
      </c>
      <c r="R766" s="18" t="s">
        <v>35</v>
      </c>
      <c r="S766" s="18" t="s">
        <v>38</v>
      </c>
      <c r="T766" s="18" t="s">
        <v>45</v>
      </c>
      <c r="U766" s="18">
        <v>2011</v>
      </c>
      <c r="V766" s="16">
        <f t="shared" si="22"/>
        <v>40587</v>
      </c>
      <c r="W766" s="18" t="str">
        <f t="shared" si="23"/>
        <v>Weekday</v>
      </c>
    </row>
    <row r="767" spans="1:23" x14ac:dyDescent="0.25">
      <c r="A767" s="19">
        <v>765</v>
      </c>
      <c r="B767" s="20">
        <v>40578</v>
      </c>
      <c r="C767" s="18">
        <v>1</v>
      </c>
      <c r="D767" s="18">
        <v>0</v>
      </c>
      <c r="E767" s="18">
        <v>2</v>
      </c>
      <c r="F767" s="18">
        <v>7</v>
      </c>
      <c r="G767" s="18" t="b">
        <v>0</v>
      </c>
      <c r="H767" s="18">
        <v>5</v>
      </c>
      <c r="I767" s="18">
        <v>1</v>
      </c>
      <c r="J767" s="18">
        <v>0.14000000000000001</v>
      </c>
      <c r="K767">
        <v>0.21210000000000001</v>
      </c>
      <c r="L767">
        <v>0.59</v>
      </c>
      <c r="M767" s="18">
        <v>0</v>
      </c>
      <c r="N767" s="18">
        <v>0</v>
      </c>
      <c r="O767" s="18">
        <v>87</v>
      </c>
      <c r="P767">
        <v>87</v>
      </c>
      <c r="Q767" s="18" t="s">
        <v>47</v>
      </c>
      <c r="R767" s="18" t="s">
        <v>35</v>
      </c>
      <c r="S767" s="18" t="s">
        <v>36</v>
      </c>
      <c r="T767" s="18" t="s">
        <v>45</v>
      </c>
      <c r="U767" s="18">
        <v>2011</v>
      </c>
      <c r="V767" s="16">
        <f t="shared" si="22"/>
        <v>40587</v>
      </c>
      <c r="W767" s="18" t="str">
        <f t="shared" si="23"/>
        <v>Weekday</v>
      </c>
    </row>
    <row r="768" spans="1:23" x14ac:dyDescent="0.25">
      <c r="A768" s="19">
        <v>766</v>
      </c>
      <c r="B768" s="20">
        <v>40578</v>
      </c>
      <c r="C768" s="18">
        <v>1</v>
      </c>
      <c r="D768" s="18">
        <v>0</v>
      </c>
      <c r="E768" s="18">
        <v>2</v>
      </c>
      <c r="F768" s="18">
        <v>8</v>
      </c>
      <c r="G768" s="18" t="b">
        <v>0</v>
      </c>
      <c r="H768" s="18">
        <v>5</v>
      </c>
      <c r="I768" s="18">
        <v>1</v>
      </c>
      <c r="J768" s="18">
        <v>0.14000000000000001</v>
      </c>
      <c r="K768">
        <v>0.1515</v>
      </c>
      <c r="L768">
        <v>0.74</v>
      </c>
      <c r="M768" s="18">
        <v>0.1343</v>
      </c>
      <c r="N768" s="18">
        <v>3</v>
      </c>
      <c r="O768" s="18">
        <v>217</v>
      </c>
      <c r="P768">
        <v>220</v>
      </c>
      <c r="Q768" s="18" t="s">
        <v>47</v>
      </c>
      <c r="R768" s="18" t="s">
        <v>35</v>
      </c>
      <c r="S768" s="18" t="s">
        <v>36</v>
      </c>
      <c r="T768" s="18" t="s">
        <v>45</v>
      </c>
      <c r="U768" s="18">
        <v>2011</v>
      </c>
      <c r="V768" s="16">
        <f t="shared" si="22"/>
        <v>40587</v>
      </c>
      <c r="W768" s="18" t="str">
        <f t="shared" si="23"/>
        <v>Weekday</v>
      </c>
    </row>
    <row r="769" spans="1:23" x14ac:dyDescent="0.25">
      <c r="A769" s="19">
        <v>767</v>
      </c>
      <c r="B769" s="20">
        <v>40578</v>
      </c>
      <c r="C769" s="18">
        <v>1</v>
      </c>
      <c r="D769" s="18">
        <v>0</v>
      </c>
      <c r="E769" s="18">
        <v>2</v>
      </c>
      <c r="F769" s="18">
        <v>9</v>
      </c>
      <c r="G769" s="18" t="b">
        <v>0</v>
      </c>
      <c r="H769" s="18">
        <v>5</v>
      </c>
      <c r="I769" s="18">
        <v>2</v>
      </c>
      <c r="J769" s="18">
        <v>0.16</v>
      </c>
      <c r="K769">
        <v>0.18179999999999999</v>
      </c>
      <c r="L769">
        <v>0.8</v>
      </c>
      <c r="M769" s="18">
        <v>0.1343</v>
      </c>
      <c r="N769" s="18">
        <v>3</v>
      </c>
      <c r="O769" s="18">
        <v>124</v>
      </c>
      <c r="P769">
        <v>127</v>
      </c>
      <c r="Q769" s="18" t="s">
        <v>47</v>
      </c>
      <c r="R769" s="18" t="s">
        <v>35</v>
      </c>
      <c r="S769" s="18" t="s">
        <v>38</v>
      </c>
      <c r="T769" s="18" t="s">
        <v>45</v>
      </c>
      <c r="U769" s="18">
        <v>2011</v>
      </c>
      <c r="V769" s="16">
        <f t="shared" si="22"/>
        <v>40587</v>
      </c>
      <c r="W769" s="18" t="str">
        <f t="shared" si="23"/>
        <v>Weekday</v>
      </c>
    </row>
    <row r="770" spans="1:23" x14ac:dyDescent="0.25">
      <c r="A770" s="19">
        <v>768</v>
      </c>
      <c r="B770" s="20">
        <v>40578</v>
      </c>
      <c r="C770" s="18">
        <v>1</v>
      </c>
      <c r="D770" s="18">
        <v>0</v>
      </c>
      <c r="E770" s="18">
        <v>2</v>
      </c>
      <c r="F770" s="18">
        <v>10</v>
      </c>
      <c r="G770" s="18" t="b">
        <v>0</v>
      </c>
      <c r="H770" s="18">
        <v>5</v>
      </c>
      <c r="I770" s="18">
        <v>2</v>
      </c>
      <c r="J770" s="18">
        <v>0.2</v>
      </c>
      <c r="K770">
        <v>0.21210000000000001</v>
      </c>
      <c r="L770">
        <v>0.51</v>
      </c>
      <c r="M770" s="18">
        <v>0.1343</v>
      </c>
      <c r="N770" s="18">
        <v>5</v>
      </c>
      <c r="O770" s="18">
        <v>46</v>
      </c>
      <c r="P770">
        <v>51</v>
      </c>
      <c r="Q770" s="18" t="s">
        <v>47</v>
      </c>
      <c r="R770" s="18" t="s">
        <v>35</v>
      </c>
      <c r="S770" s="18" t="s">
        <v>38</v>
      </c>
      <c r="T770" s="18" t="s">
        <v>45</v>
      </c>
      <c r="U770" s="18">
        <v>2011</v>
      </c>
      <c r="V770" s="16">
        <f t="shared" si="22"/>
        <v>40587</v>
      </c>
      <c r="W770" s="18" t="str">
        <f t="shared" si="23"/>
        <v>Weekday</v>
      </c>
    </row>
    <row r="771" spans="1:23" x14ac:dyDescent="0.25">
      <c r="A771" s="19">
        <v>769</v>
      </c>
      <c r="B771" s="20">
        <v>40578</v>
      </c>
      <c r="C771" s="18">
        <v>1</v>
      </c>
      <c r="D771" s="18">
        <v>0</v>
      </c>
      <c r="E771" s="18">
        <v>2</v>
      </c>
      <c r="F771" s="18">
        <v>11</v>
      </c>
      <c r="G771" s="18" t="b">
        <v>0</v>
      </c>
      <c r="H771" s="18">
        <v>5</v>
      </c>
      <c r="I771" s="18">
        <v>1</v>
      </c>
      <c r="J771" s="18">
        <v>0.22</v>
      </c>
      <c r="K771">
        <v>0.2273</v>
      </c>
      <c r="L771">
        <v>0.51</v>
      </c>
      <c r="M771" s="18">
        <v>0.16420000000000001</v>
      </c>
      <c r="N771" s="18">
        <v>3</v>
      </c>
      <c r="O771" s="18">
        <v>61</v>
      </c>
      <c r="P771">
        <v>64</v>
      </c>
      <c r="Q771" s="18" t="s">
        <v>47</v>
      </c>
      <c r="R771" s="18" t="s">
        <v>35</v>
      </c>
      <c r="S771" s="18" t="s">
        <v>36</v>
      </c>
      <c r="T771" s="18" t="s">
        <v>45</v>
      </c>
      <c r="U771" s="18">
        <v>2011</v>
      </c>
      <c r="V771" s="16">
        <f t="shared" ref="V771:V834" si="24">INDEX(B771:B1769,MATCH(MAX(K771:K1769),K771:K1769,0))</f>
        <v>40587</v>
      </c>
      <c r="W771" s="18" t="str">
        <f t="shared" ref="W771:W834" si="25">IF(G771=TRUE,"Holiday",IF(OR(H771=0,H771=6),"Weedend","Weekday"))</f>
        <v>Weekday</v>
      </c>
    </row>
    <row r="772" spans="1:23" x14ac:dyDescent="0.25">
      <c r="A772" s="19">
        <v>770</v>
      </c>
      <c r="B772" s="20">
        <v>40578</v>
      </c>
      <c r="C772" s="18">
        <v>1</v>
      </c>
      <c r="D772" s="18">
        <v>0</v>
      </c>
      <c r="E772" s="18">
        <v>2</v>
      </c>
      <c r="F772" s="18">
        <v>12</v>
      </c>
      <c r="G772" s="18" t="b">
        <v>0</v>
      </c>
      <c r="H772" s="18">
        <v>5</v>
      </c>
      <c r="I772" s="18">
        <v>2</v>
      </c>
      <c r="J772" s="18">
        <v>0.24</v>
      </c>
      <c r="K772">
        <v>0.2424</v>
      </c>
      <c r="L772">
        <v>0.48</v>
      </c>
      <c r="M772" s="18">
        <v>0.16420000000000001</v>
      </c>
      <c r="N772" s="18">
        <v>8</v>
      </c>
      <c r="O772" s="18">
        <v>78</v>
      </c>
      <c r="P772">
        <v>86</v>
      </c>
      <c r="Q772" s="18" t="s">
        <v>47</v>
      </c>
      <c r="R772" s="18" t="s">
        <v>35</v>
      </c>
      <c r="S772" s="18" t="s">
        <v>38</v>
      </c>
      <c r="T772" s="18" t="s">
        <v>45</v>
      </c>
      <c r="U772" s="18">
        <v>2011</v>
      </c>
      <c r="V772" s="16">
        <f t="shared" si="24"/>
        <v>40587</v>
      </c>
      <c r="W772" s="18" t="str">
        <f t="shared" si="25"/>
        <v>Weekday</v>
      </c>
    </row>
    <row r="773" spans="1:23" x14ac:dyDescent="0.25">
      <c r="A773" s="19">
        <v>771</v>
      </c>
      <c r="B773" s="20">
        <v>40578</v>
      </c>
      <c r="C773" s="18">
        <v>1</v>
      </c>
      <c r="D773" s="18">
        <v>0</v>
      </c>
      <c r="E773" s="18">
        <v>2</v>
      </c>
      <c r="F773" s="18">
        <v>13</v>
      </c>
      <c r="G773" s="18" t="b">
        <v>0</v>
      </c>
      <c r="H773" s="18">
        <v>5</v>
      </c>
      <c r="I773" s="18">
        <v>2</v>
      </c>
      <c r="J773" s="18">
        <v>0.26</v>
      </c>
      <c r="K773">
        <v>0.2576</v>
      </c>
      <c r="L773">
        <v>0.5</v>
      </c>
      <c r="M773" s="18">
        <v>0.22389999999999999</v>
      </c>
      <c r="N773" s="18">
        <v>9</v>
      </c>
      <c r="O773" s="18">
        <v>73</v>
      </c>
      <c r="P773">
        <v>82</v>
      </c>
      <c r="Q773" s="18" t="s">
        <v>47</v>
      </c>
      <c r="R773" s="18" t="s">
        <v>35</v>
      </c>
      <c r="S773" s="18" t="s">
        <v>38</v>
      </c>
      <c r="T773" s="18" t="s">
        <v>45</v>
      </c>
      <c r="U773" s="18">
        <v>2011</v>
      </c>
      <c r="V773" s="16">
        <f t="shared" si="24"/>
        <v>40587</v>
      </c>
      <c r="W773" s="18" t="str">
        <f t="shared" si="25"/>
        <v>Weekday</v>
      </c>
    </row>
    <row r="774" spans="1:23" x14ac:dyDescent="0.25">
      <c r="A774" s="19">
        <v>772</v>
      </c>
      <c r="B774" s="20">
        <v>40578</v>
      </c>
      <c r="C774" s="18">
        <v>1</v>
      </c>
      <c r="D774" s="18">
        <v>0</v>
      </c>
      <c r="E774" s="18">
        <v>2</v>
      </c>
      <c r="F774" s="18">
        <v>14</v>
      </c>
      <c r="G774" s="18" t="b">
        <v>0</v>
      </c>
      <c r="H774" s="18">
        <v>5</v>
      </c>
      <c r="I774" s="18">
        <v>2</v>
      </c>
      <c r="J774" s="18">
        <v>0.28000000000000003</v>
      </c>
      <c r="K774">
        <v>0.2727</v>
      </c>
      <c r="L774">
        <v>0.45</v>
      </c>
      <c r="M774" s="18">
        <v>0.16420000000000001</v>
      </c>
      <c r="N774" s="18">
        <v>15</v>
      </c>
      <c r="O774" s="18">
        <v>76</v>
      </c>
      <c r="P774">
        <v>91</v>
      </c>
      <c r="Q774" s="18" t="s">
        <v>47</v>
      </c>
      <c r="R774" s="18" t="s">
        <v>35</v>
      </c>
      <c r="S774" s="18" t="s">
        <v>38</v>
      </c>
      <c r="T774" s="18" t="s">
        <v>45</v>
      </c>
      <c r="U774" s="18">
        <v>2011</v>
      </c>
      <c r="V774" s="16">
        <f t="shared" si="24"/>
        <v>40587</v>
      </c>
      <c r="W774" s="18" t="str">
        <f t="shared" si="25"/>
        <v>Weekday</v>
      </c>
    </row>
    <row r="775" spans="1:23" x14ac:dyDescent="0.25">
      <c r="A775" s="19">
        <v>773</v>
      </c>
      <c r="B775" s="20">
        <v>40578</v>
      </c>
      <c r="C775" s="18">
        <v>1</v>
      </c>
      <c r="D775" s="18">
        <v>0</v>
      </c>
      <c r="E775" s="18">
        <v>2</v>
      </c>
      <c r="F775" s="18">
        <v>15</v>
      </c>
      <c r="G775" s="18" t="b">
        <v>0</v>
      </c>
      <c r="H775" s="18">
        <v>5</v>
      </c>
      <c r="I775" s="18">
        <v>2</v>
      </c>
      <c r="J775" s="18">
        <v>0.28000000000000003</v>
      </c>
      <c r="K775">
        <v>0.2727</v>
      </c>
      <c r="L775">
        <v>0.48</v>
      </c>
      <c r="M775" s="18">
        <v>0.25369999999999998</v>
      </c>
      <c r="N775" s="18">
        <v>9</v>
      </c>
      <c r="O775" s="18">
        <v>81</v>
      </c>
      <c r="P775">
        <v>90</v>
      </c>
      <c r="Q775" s="18" t="s">
        <v>47</v>
      </c>
      <c r="R775" s="18" t="s">
        <v>35</v>
      </c>
      <c r="S775" s="18" t="s">
        <v>38</v>
      </c>
      <c r="T775" s="18" t="s">
        <v>45</v>
      </c>
      <c r="U775" s="18">
        <v>2011</v>
      </c>
      <c r="V775" s="16">
        <f t="shared" si="24"/>
        <v>40587</v>
      </c>
      <c r="W775" s="18" t="str">
        <f t="shared" si="25"/>
        <v>Weekday</v>
      </c>
    </row>
    <row r="776" spans="1:23" x14ac:dyDescent="0.25">
      <c r="A776" s="19">
        <v>774</v>
      </c>
      <c r="B776" s="20">
        <v>40578</v>
      </c>
      <c r="C776" s="18">
        <v>1</v>
      </c>
      <c r="D776" s="18">
        <v>0</v>
      </c>
      <c r="E776" s="18">
        <v>2</v>
      </c>
      <c r="F776" s="18">
        <v>16</v>
      </c>
      <c r="G776" s="18" t="b">
        <v>0</v>
      </c>
      <c r="H776" s="18">
        <v>5</v>
      </c>
      <c r="I776" s="18">
        <v>2</v>
      </c>
      <c r="J776" s="18">
        <v>0.3</v>
      </c>
      <c r="K776">
        <v>0.28789999999999999</v>
      </c>
      <c r="L776">
        <v>0.42</v>
      </c>
      <c r="M776" s="18">
        <v>0.22389999999999999</v>
      </c>
      <c r="N776" s="18">
        <v>8</v>
      </c>
      <c r="O776" s="18">
        <v>91</v>
      </c>
      <c r="P776">
        <v>99</v>
      </c>
      <c r="Q776" s="18" t="s">
        <v>47</v>
      </c>
      <c r="R776" s="18" t="s">
        <v>35</v>
      </c>
      <c r="S776" s="18" t="s">
        <v>38</v>
      </c>
      <c r="T776" s="18" t="s">
        <v>45</v>
      </c>
      <c r="U776" s="18">
        <v>2011</v>
      </c>
      <c r="V776" s="16">
        <f t="shared" si="24"/>
        <v>40587</v>
      </c>
      <c r="W776" s="18" t="str">
        <f t="shared" si="25"/>
        <v>Weekday</v>
      </c>
    </row>
    <row r="777" spans="1:23" x14ac:dyDescent="0.25">
      <c r="A777" s="19">
        <v>775</v>
      </c>
      <c r="B777" s="20">
        <v>40578</v>
      </c>
      <c r="C777" s="18">
        <v>1</v>
      </c>
      <c r="D777" s="18">
        <v>0</v>
      </c>
      <c r="E777" s="18">
        <v>2</v>
      </c>
      <c r="F777" s="18">
        <v>17</v>
      </c>
      <c r="G777" s="18" t="b">
        <v>0</v>
      </c>
      <c r="H777" s="18">
        <v>5</v>
      </c>
      <c r="I777" s="18">
        <v>2</v>
      </c>
      <c r="J777" s="18">
        <v>0.26</v>
      </c>
      <c r="K777">
        <v>0.2727</v>
      </c>
      <c r="L777">
        <v>0.56000000000000005</v>
      </c>
      <c r="M777" s="18">
        <v>0.1343</v>
      </c>
      <c r="N777" s="18">
        <v>10</v>
      </c>
      <c r="O777" s="18">
        <v>195</v>
      </c>
      <c r="P777">
        <v>205</v>
      </c>
      <c r="Q777" s="18" t="s">
        <v>47</v>
      </c>
      <c r="R777" s="18" t="s">
        <v>35</v>
      </c>
      <c r="S777" s="18" t="s">
        <v>38</v>
      </c>
      <c r="T777" s="18" t="s">
        <v>45</v>
      </c>
      <c r="U777" s="18">
        <v>2011</v>
      </c>
      <c r="V777" s="16">
        <f t="shared" si="24"/>
        <v>40587</v>
      </c>
      <c r="W777" s="18" t="str">
        <f t="shared" si="25"/>
        <v>Weekday</v>
      </c>
    </row>
    <row r="778" spans="1:23" x14ac:dyDescent="0.25">
      <c r="A778" s="19">
        <v>776</v>
      </c>
      <c r="B778" s="20">
        <v>40578</v>
      </c>
      <c r="C778" s="18">
        <v>1</v>
      </c>
      <c r="D778" s="18">
        <v>0</v>
      </c>
      <c r="E778" s="18">
        <v>2</v>
      </c>
      <c r="F778" s="18">
        <v>18</v>
      </c>
      <c r="G778" s="18" t="b">
        <v>0</v>
      </c>
      <c r="H778" s="18">
        <v>5</v>
      </c>
      <c r="I778" s="18">
        <v>2</v>
      </c>
      <c r="J778" s="18">
        <v>0.24</v>
      </c>
      <c r="K778">
        <v>0.2576</v>
      </c>
      <c r="L778">
        <v>0.6</v>
      </c>
      <c r="M778" s="18">
        <v>0.1045</v>
      </c>
      <c r="N778" s="18">
        <v>3</v>
      </c>
      <c r="O778" s="18">
        <v>152</v>
      </c>
      <c r="P778">
        <v>155</v>
      </c>
      <c r="Q778" s="18" t="s">
        <v>47</v>
      </c>
      <c r="R778" s="18" t="s">
        <v>35</v>
      </c>
      <c r="S778" s="18" t="s">
        <v>38</v>
      </c>
      <c r="T778" s="18" t="s">
        <v>45</v>
      </c>
      <c r="U778" s="18">
        <v>2011</v>
      </c>
      <c r="V778" s="16">
        <f t="shared" si="24"/>
        <v>40587</v>
      </c>
      <c r="W778" s="18" t="str">
        <f t="shared" si="25"/>
        <v>Weekday</v>
      </c>
    </row>
    <row r="779" spans="1:23" x14ac:dyDescent="0.25">
      <c r="A779" s="19">
        <v>777</v>
      </c>
      <c r="B779" s="20">
        <v>40578</v>
      </c>
      <c r="C779" s="18">
        <v>1</v>
      </c>
      <c r="D779" s="18">
        <v>0</v>
      </c>
      <c r="E779" s="18">
        <v>2</v>
      </c>
      <c r="F779" s="18">
        <v>19</v>
      </c>
      <c r="G779" s="18" t="b">
        <v>0</v>
      </c>
      <c r="H779" s="18">
        <v>5</v>
      </c>
      <c r="I779" s="18">
        <v>2</v>
      </c>
      <c r="J779" s="18">
        <v>0.24</v>
      </c>
      <c r="K779">
        <v>0.2424</v>
      </c>
      <c r="L779">
        <v>0.65</v>
      </c>
      <c r="M779" s="18">
        <v>0.1343</v>
      </c>
      <c r="N779" s="18">
        <v>1</v>
      </c>
      <c r="O779" s="18">
        <v>102</v>
      </c>
      <c r="P779">
        <v>103</v>
      </c>
      <c r="Q779" s="18" t="s">
        <v>47</v>
      </c>
      <c r="R779" s="18" t="s">
        <v>35</v>
      </c>
      <c r="S779" s="18" t="s">
        <v>38</v>
      </c>
      <c r="T779" s="18" t="s">
        <v>45</v>
      </c>
      <c r="U779" s="18">
        <v>2011</v>
      </c>
      <c r="V779" s="16">
        <f t="shared" si="24"/>
        <v>40587</v>
      </c>
      <c r="W779" s="18" t="str">
        <f t="shared" si="25"/>
        <v>Weekday</v>
      </c>
    </row>
    <row r="780" spans="1:23" x14ac:dyDescent="0.25">
      <c r="A780" s="19">
        <v>778</v>
      </c>
      <c r="B780" s="20">
        <v>40578</v>
      </c>
      <c r="C780" s="18">
        <v>1</v>
      </c>
      <c r="D780" s="18">
        <v>0</v>
      </c>
      <c r="E780" s="18">
        <v>2</v>
      </c>
      <c r="F780" s="18">
        <v>20</v>
      </c>
      <c r="G780" s="18" t="b">
        <v>0</v>
      </c>
      <c r="H780" s="18">
        <v>5</v>
      </c>
      <c r="I780" s="18">
        <v>2</v>
      </c>
      <c r="J780" s="18">
        <v>0.24</v>
      </c>
      <c r="K780">
        <v>0.2424</v>
      </c>
      <c r="L780">
        <v>0.65</v>
      </c>
      <c r="M780" s="18">
        <v>0.16420000000000001</v>
      </c>
      <c r="N780" s="18">
        <v>2</v>
      </c>
      <c r="O780" s="18">
        <v>69</v>
      </c>
      <c r="P780">
        <v>71</v>
      </c>
      <c r="Q780" s="18" t="s">
        <v>47</v>
      </c>
      <c r="R780" s="18" t="s">
        <v>35</v>
      </c>
      <c r="S780" s="18" t="s">
        <v>38</v>
      </c>
      <c r="T780" s="18" t="s">
        <v>45</v>
      </c>
      <c r="U780" s="18">
        <v>2011</v>
      </c>
      <c r="V780" s="16">
        <f t="shared" si="24"/>
        <v>40587</v>
      </c>
      <c r="W780" s="18" t="str">
        <f t="shared" si="25"/>
        <v>Weekday</v>
      </c>
    </row>
    <row r="781" spans="1:23" x14ac:dyDescent="0.25">
      <c r="A781" s="19">
        <v>779</v>
      </c>
      <c r="B781" s="20">
        <v>40578</v>
      </c>
      <c r="C781" s="18">
        <v>1</v>
      </c>
      <c r="D781" s="18">
        <v>0</v>
      </c>
      <c r="E781" s="18">
        <v>2</v>
      </c>
      <c r="F781" s="18">
        <v>21</v>
      </c>
      <c r="G781" s="18" t="b">
        <v>0</v>
      </c>
      <c r="H781" s="18">
        <v>5</v>
      </c>
      <c r="I781" s="18">
        <v>2</v>
      </c>
      <c r="J781" s="18">
        <v>0.24</v>
      </c>
      <c r="K781">
        <v>0.2424</v>
      </c>
      <c r="L781">
        <v>0.7</v>
      </c>
      <c r="M781" s="18">
        <v>0.16420000000000001</v>
      </c>
      <c r="N781" s="18">
        <v>2</v>
      </c>
      <c r="O781" s="18">
        <v>41</v>
      </c>
      <c r="P781">
        <v>43</v>
      </c>
      <c r="Q781" s="18" t="s">
        <v>47</v>
      </c>
      <c r="R781" s="18" t="s">
        <v>35</v>
      </c>
      <c r="S781" s="18" t="s">
        <v>38</v>
      </c>
      <c r="T781" s="18" t="s">
        <v>45</v>
      </c>
      <c r="U781" s="18">
        <v>2011</v>
      </c>
      <c r="V781" s="16">
        <f t="shared" si="24"/>
        <v>40587</v>
      </c>
      <c r="W781" s="18" t="str">
        <f t="shared" si="25"/>
        <v>Weekday</v>
      </c>
    </row>
    <row r="782" spans="1:23" x14ac:dyDescent="0.25">
      <c r="A782" s="19">
        <v>780</v>
      </c>
      <c r="B782" s="20">
        <v>40578</v>
      </c>
      <c r="C782" s="18">
        <v>1</v>
      </c>
      <c r="D782" s="18">
        <v>0</v>
      </c>
      <c r="E782" s="18">
        <v>2</v>
      </c>
      <c r="F782" s="18">
        <v>22</v>
      </c>
      <c r="G782" s="18" t="b">
        <v>0</v>
      </c>
      <c r="H782" s="18">
        <v>5</v>
      </c>
      <c r="I782" s="18">
        <v>2</v>
      </c>
      <c r="J782" s="18">
        <v>0.24</v>
      </c>
      <c r="K782">
        <v>0.2424</v>
      </c>
      <c r="L782">
        <v>0.65</v>
      </c>
      <c r="M782" s="18">
        <v>0.16420000000000001</v>
      </c>
      <c r="N782" s="18">
        <v>1</v>
      </c>
      <c r="O782" s="18">
        <v>45</v>
      </c>
      <c r="P782">
        <v>46</v>
      </c>
      <c r="Q782" s="18" t="s">
        <v>47</v>
      </c>
      <c r="R782" s="18" t="s">
        <v>35</v>
      </c>
      <c r="S782" s="18" t="s">
        <v>38</v>
      </c>
      <c r="T782" s="18" t="s">
        <v>45</v>
      </c>
      <c r="U782" s="18">
        <v>2011</v>
      </c>
      <c r="V782" s="16">
        <f t="shared" si="24"/>
        <v>40587</v>
      </c>
      <c r="W782" s="18" t="str">
        <f t="shared" si="25"/>
        <v>Weekday</v>
      </c>
    </row>
    <row r="783" spans="1:23" x14ac:dyDescent="0.25">
      <c r="A783" s="19">
        <v>781</v>
      </c>
      <c r="B783" s="20">
        <v>40578</v>
      </c>
      <c r="C783" s="18">
        <v>1</v>
      </c>
      <c r="D783" s="18">
        <v>0</v>
      </c>
      <c r="E783" s="18">
        <v>2</v>
      </c>
      <c r="F783" s="18">
        <v>23</v>
      </c>
      <c r="G783" s="18" t="b">
        <v>0</v>
      </c>
      <c r="H783" s="18">
        <v>5</v>
      </c>
      <c r="I783" s="18">
        <v>2</v>
      </c>
      <c r="J783" s="18">
        <v>0.24</v>
      </c>
      <c r="K783">
        <v>0.2424</v>
      </c>
      <c r="L783">
        <v>0.7</v>
      </c>
      <c r="M783" s="18">
        <v>0.1343</v>
      </c>
      <c r="N783" s="18">
        <v>1</v>
      </c>
      <c r="O783" s="18">
        <v>30</v>
      </c>
      <c r="P783">
        <v>31</v>
      </c>
      <c r="Q783" s="18" t="s">
        <v>47</v>
      </c>
      <c r="R783" s="18" t="s">
        <v>35</v>
      </c>
      <c r="S783" s="18" t="s">
        <v>38</v>
      </c>
      <c r="T783" s="18" t="s">
        <v>45</v>
      </c>
      <c r="U783" s="18">
        <v>2011</v>
      </c>
      <c r="V783" s="16">
        <f t="shared" si="24"/>
        <v>40587</v>
      </c>
      <c r="W783" s="18" t="str">
        <f t="shared" si="25"/>
        <v>Weekday</v>
      </c>
    </row>
    <row r="784" spans="1:23" x14ac:dyDescent="0.25">
      <c r="A784" s="19">
        <v>782</v>
      </c>
      <c r="B784" s="20">
        <v>40579</v>
      </c>
      <c r="C784" s="18">
        <v>1</v>
      </c>
      <c r="D784" s="18">
        <v>0</v>
      </c>
      <c r="E784" s="18">
        <v>2</v>
      </c>
      <c r="F784" s="18">
        <v>0</v>
      </c>
      <c r="G784" s="18" t="b">
        <v>0</v>
      </c>
      <c r="H784" s="18">
        <v>6</v>
      </c>
      <c r="I784" s="18">
        <v>2</v>
      </c>
      <c r="J784" s="18">
        <v>0.24</v>
      </c>
      <c r="K784">
        <v>0.2424</v>
      </c>
      <c r="L784">
        <v>0.7</v>
      </c>
      <c r="M784" s="18">
        <v>0.16420000000000001</v>
      </c>
      <c r="N784" s="18">
        <v>3</v>
      </c>
      <c r="O784" s="18">
        <v>36</v>
      </c>
      <c r="P784">
        <v>39</v>
      </c>
      <c r="Q784" s="18" t="s">
        <v>47</v>
      </c>
      <c r="R784" s="18" t="s">
        <v>35</v>
      </c>
      <c r="S784" s="18" t="s">
        <v>38</v>
      </c>
      <c r="T784" s="18" t="s">
        <v>37</v>
      </c>
      <c r="U784" s="18">
        <v>2011</v>
      </c>
      <c r="V784" s="16">
        <f t="shared" si="24"/>
        <v>40587</v>
      </c>
      <c r="W784" s="18" t="str">
        <f t="shared" si="25"/>
        <v>Weedend</v>
      </c>
    </row>
    <row r="785" spans="1:23" x14ac:dyDescent="0.25">
      <c r="A785" s="19">
        <v>783</v>
      </c>
      <c r="B785" s="20">
        <v>40579</v>
      </c>
      <c r="C785" s="18">
        <v>1</v>
      </c>
      <c r="D785" s="18">
        <v>0</v>
      </c>
      <c r="E785" s="18">
        <v>2</v>
      </c>
      <c r="F785" s="18">
        <v>1</v>
      </c>
      <c r="G785" s="18" t="b">
        <v>0</v>
      </c>
      <c r="H785" s="18">
        <v>6</v>
      </c>
      <c r="I785" s="18">
        <v>2</v>
      </c>
      <c r="J785" s="18">
        <v>0.24</v>
      </c>
      <c r="K785">
        <v>0.2424</v>
      </c>
      <c r="L785">
        <v>0.65</v>
      </c>
      <c r="M785" s="18">
        <v>0.16420000000000001</v>
      </c>
      <c r="N785" s="18">
        <v>1</v>
      </c>
      <c r="O785" s="18">
        <v>17</v>
      </c>
      <c r="P785">
        <v>18</v>
      </c>
      <c r="Q785" s="18" t="s">
        <v>47</v>
      </c>
      <c r="R785" s="18" t="s">
        <v>35</v>
      </c>
      <c r="S785" s="18" t="s">
        <v>38</v>
      </c>
      <c r="T785" s="18" t="s">
        <v>37</v>
      </c>
      <c r="U785" s="18">
        <v>2011</v>
      </c>
      <c r="V785" s="16">
        <f t="shared" si="24"/>
        <v>40587</v>
      </c>
      <c r="W785" s="18" t="str">
        <f t="shared" si="25"/>
        <v>Weedend</v>
      </c>
    </row>
    <row r="786" spans="1:23" x14ac:dyDescent="0.25">
      <c r="A786" s="19">
        <v>784</v>
      </c>
      <c r="B786" s="20">
        <v>40579</v>
      </c>
      <c r="C786" s="18">
        <v>1</v>
      </c>
      <c r="D786" s="18">
        <v>0</v>
      </c>
      <c r="E786" s="18">
        <v>2</v>
      </c>
      <c r="F786" s="18">
        <v>2</v>
      </c>
      <c r="G786" s="18" t="b">
        <v>0</v>
      </c>
      <c r="H786" s="18">
        <v>6</v>
      </c>
      <c r="I786" s="18">
        <v>2</v>
      </c>
      <c r="J786" s="18">
        <v>0.24</v>
      </c>
      <c r="K786">
        <v>0.2424</v>
      </c>
      <c r="L786">
        <v>0.75</v>
      </c>
      <c r="M786" s="18">
        <v>0.16420000000000001</v>
      </c>
      <c r="N786" s="18">
        <v>5</v>
      </c>
      <c r="O786" s="18">
        <v>12</v>
      </c>
      <c r="P786">
        <v>17</v>
      </c>
      <c r="Q786" s="18" t="s">
        <v>47</v>
      </c>
      <c r="R786" s="18" t="s">
        <v>35</v>
      </c>
      <c r="S786" s="18" t="s">
        <v>38</v>
      </c>
      <c r="T786" s="18" t="s">
        <v>37</v>
      </c>
      <c r="U786" s="18">
        <v>2011</v>
      </c>
      <c r="V786" s="16">
        <f t="shared" si="24"/>
        <v>40587</v>
      </c>
      <c r="W786" s="18" t="str">
        <f t="shared" si="25"/>
        <v>Weedend</v>
      </c>
    </row>
    <row r="787" spans="1:23" x14ac:dyDescent="0.25">
      <c r="A787" s="19">
        <v>785</v>
      </c>
      <c r="B787" s="20">
        <v>40579</v>
      </c>
      <c r="C787" s="18">
        <v>1</v>
      </c>
      <c r="D787" s="18">
        <v>0</v>
      </c>
      <c r="E787" s="18">
        <v>2</v>
      </c>
      <c r="F787" s="18">
        <v>3</v>
      </c>
      <c r="G787" s="18" t="b">
        <v>0</v>
      </c>
      <c r="H787" s="18">
        <v>6</v>
      </c>
      <c r="I787" s="18">
        <v>2</v>
      </c>
      <c r="J787" s="18">
        <v>0.24</v>
      </c>
      <c r="K787">
        <v>0.2424</v>
      </c>
      <c r="L787">
        <v>0.75</v>
      </c>
      <c r="M787" s="18">
        <v>0.16420000000000001</v>
      </c>
      <c r="N787" s="18">
        <v>1</v>
      </c>
      <c r="O787" s="18">
        <v>10</v>
      </c>
      <c r="P787">
        <v>11</v>
      </c>
      <c r="Q787" s="18" t="s">
        <v>47</v>
      </c>
      <c r="R787" s="18" t="s">
        <v>35</v>
      </c>
      <c r="S787" s="18" t="s">
        <v>38</v>
      </c>
      <c r="T787" s="18" t="s">
        <v>37</v>
      </c>
      <c r="U787" s="18">
        <v>2011</v>
      </c>
      <c r="V787" s="16">
        <f t="shared" si="24"/>
        <v>40587</v>
      </c>
      <c r="W787" s="18" t="str">
        <f t="shared" si="25"/>
        <v>Weedend</v>
      </c>
    </row>
    <row r="788" spans="1:23" x14ac:dyDescent="0.25">
      <c r="A788" s="19">
        <v>786</v>
      </c>
      <c r="B788" s="20">
        <v>40579</v>
      </c>
      <c r="C788" s="18">
        <v>1</v>
      </c>
      <c r="D788" s="18">
        <v>0</v>
      </c>
      <c r="E788" s="18">
        <v>2</v>
      </c>
      <c r="F788" s="18">
        <v>4</v>
      </c>
      <c r="G788" s="18" t="b">
        <v>0</v>
      </c>
      <c r="H788" s="18">
        <v>6</v>
      </c>
      <c r="I788" s="18">
        <v>3</v>
      </c>
      <c r="J788" s="18">
        <v>0.22</v>
      </c>
      <c r="K788">
        <v>0.2273</v>
      </c>
      <c r="L788">
        <v>0.93</v>
      </c>
      <c r="M788" s="18">
        <v>0.1343</v>
      </c>
      <c r="N788" s="18">
        <v>0</v>
      </c>
      <c r="O788" s="18">
        <v>8</v>
      </c>
      <c r="P788">
        <v>8</v>
      </c>
      <c r="Q788" s="18" t="s">
        <v>47</v>
      </c>
      <c r="R788" s="18" t="s">
        <v>35</v>
      </c>
      <c r="S788" s="18" t="s">
        <v>39</v>
      </c>
      <c r="T788" s="18" t="s">
        <v>37</v>
      </c>
      <c r="U788" s="18">
        <v>2011</v>
      </c>
      <c r="V788" s="16">
        <f t="shared" si="24"/>
        <v>40587</v>
      </c>
      <c r="W788" s="18" t="str">
        <f t="shared" si="25"/>
        <v>Weedend</v>
      </c>
    </row>
    <row r="789" spans="1:23" x14ac:dyDescent="0.25">
      <c r="A789" s="19">
        <v>787</v>
      </c>
      <c r="B789" s="20">
        <v>40579</v>
      </c>
      <c r="C789" s="18">
        <v>1</v>
      </c>
      <c r="D789" s="18">
        <v>0</v>
      </c>
      <c r="E789" s="18">
        <v>2</v>
      </c>
      <c r="F789" s="18">
        <v>5</v>
      </c>
      <c r="G789" s="18" t="b">
        <v>0</v>
      </c>
      <c r="H789" s="18">
        <v>6</v>
      </c>
      <c r="I789" s="18">
        <v>3</v>
      </c>
      <c r="J789" s="18">
        <v>0.2</v>
      </c>
      <c r="K789">
        <v>0.2273</v>
      </c>
      <c r="L789">
        <v>1</v>
      </c>
      <c r="M789" s="18">
        <v>8.9599999999999999E-2</v>
      </c>
      <c r="N789" s="18">
        <v>0</v>
      </c>
      <c r="O789" s="18">
        <v>9</v>
      </c>
      <c r="P789">
        <v>9</v>
      </c>
      <c r="Q789" s="18" t="s">
        <v>47</v>
      </c>
      <c r="R789" s="18" t="s">
        <v>35</v>
      </c>
      <c r="S789" s="18" t="s">
        <v>39</v>
      </c>
      <c r="T789" s="18" t="s">
        <v>37</v>
      </c>
      <c r="U789" s="18">
        <v>2011</v>
      </c>
      <c r="V789" s="16">
        <f t="shared" si="24"/>
        <v>40587</v>
      </c>
      <c r="W789" s="18" t="str">
        <f t="shared" si="25"/>
        <v>Weedend</v>
      </c>
    </row>
    <row r="790" spans="1:23" x14ac:dyDescent="0.25">
      <c r="A790" s="19">
        <v>788</v>
      </c>
      <c r="B790" s="20">
        <v>40579</v>
      </c>
      <c r="C790" s="18">
        <v>1</v>
      </c>
      <c r="D790" s="18">
        <v>0</v>
      </c>
      <c r="E790" s="18">
        <v>2</v>
      </c>
      <c r="F790" s="18">
        <v>6</v>
      </c>
      <c r="G790" s="18" t="b">
        <v>0</v>
      </c>
      <c r="H790" s="18">
        <v>6</v>
      </c>
      <c r="I790" s="18">
        <v>3</v>
      </c>
      <c r="J790" s="18">
        <v>0.2</v>
      </c>
      <c r="K790">
        <v>0.2576</v>
      </c>
      <c r="L790">
        <v>1</v>
      </c>
      <c r="M790" s="18">
        <v>0</v>
      </c>
      <c r="N790" s="18">
        <v>0</v>
      </c>
      <c r="O790" s="18">
        <v>4</v>
      </c>
      <c r="P790">
        <v>4</v>
      </c>
      <c r="Q790" s="18" t="s">
        <v>47</v>
      </c>
      <c r="R790" s="18" t="s">
        <v>35</v>
      </c>
      <c r="S790" s="18" t="s">
        <v>39</v>
      </c>
      <c r="T790" s="18" t="s">
        <v>37</v>
      </c>
      <c r="U790" s="18">
        <v>2011</v>
      </c>
      <c r="V790" s="16">
        <f t="shared" si="24"/>
        <v>40587</v>
      </c>
      <c r="W790" s="18" t="str">
        <f t="shared" si="25"/>
        <v>Weedend</v>
      </c>
    </row>
    <row r="791" spans="1:23" x14ac:dyDescent="0.25">
      <c r="A791" s="19">
        <v>789</v>
      </c>
      <c r="B791" s="20">
        <v>40579</v>
      </c>
      <c r="C791" s="18">
        <v>1</v>
      </c>
      <c r="D791" s="18">
        <v>0</v>
      </c>
      <c r="E791" s="18">
        <v>2</v>
      </c>
      <c r="F791" s="18">
        <v>7</v>
      </c>
      <c r="G791" s="18" t="b">
        <v>0</v>
      </c>
      <c r="H791" s="18">
        <v>6</v>
      </c>
      <c r="I791" s="18">
        <v>3</v>
      </c>
      <c r="J791" s="18">
        <v>0.22</v>
      </c>
      <c r="K791">
        <v>0.2576</v>
      </c>
      <c r="L791">
        <v>0.93</v>
      </c>
      <c r="M791" s="18">
        <v>8.9599999999999999E-2</v>
      </c>
      <c r="N791" s="18">
        <v>0</v>
      </c>
      <c r="O791" s="18">
        <v>4</v>
      </c>
      <c r="P791">
        <v>4</v>
      </c>
      <c r="Q791" s="18" t="s">
        <v>47</v>
      </c>
      <c r="R791" s="18" t="s">
        <v>35</v>
      </c>
      <c r="S791" s="18" t="s">
        <v>39</v>
      </c>
      <c r="T791" s="18" t="s">
        <v>37</v>
      </c>
      <c r="U791" s="18">
        <v>2011</v>
      </c>
      <c r="V791" s="16">
        <f t="shared" si="24"/>
        <v>40587</v>
      </c>
      <c r="W791" s="18" t="str">
        <f t="shared" si="25"/>
        <v>Weedend</v>
      </c>
    </row>
    <row r="792" spans="1:23" x14ac:dyDescent="0.25">
      <c r="A792" s="19">
        <v>790</v>
      </c>
      <c r="B792" s="20">
        <v>40579</v>
      </c>
      <c r="C792" s="18">
        <v>1</v>
      </c>
      <c r="D792" s="18">
        <v>0</v>
      </c>
      <c r="E792" s="18">
        <v>2</v>
      </c>
      <c r="F792" s="18">
        <v>8</v>
      </c>
      <c r="G792" s="18" t="b">
        <v>0</v>
      </c>
      <c r="H792" s="18">
        <v>6</v>
      </c>
      <c r="I792" s="18">
        <v>3</v>
      </c>
      <c r="J792" s="18">
        <v>0.2</v>
      </c>
      <c r="K792">
        <v>0.2273</v>
      </c>
      <c r="L792">
        <v>1</v>
      </c>
      <c r="M792" s="18">
        <v>8.9599999999999999E-2</v>
      </c>
      <c r="N792" s="18">
        <v>0</v>
      </c>
      <c r="O792" s="18">
        <v>10</v>
      </c>
      <c r="P792">
        <v>10</v>
      </c>
      <c r="Q792" s="18" t="s">
        <v>47</v>
      </c>
      <c r="R792" s="18" t="s">
        <v>35</v>
      </c>
      <c r="S792" s="18" t="s">
        <v>39</v>
      </c>
      <c r="T792" s="18" t="s">
        <v>37</v>
      </c>
      <c r="U792" s="18">
        <v>2011</v>
      </c>
      <c r="V792" s="16">
        <f t="shared" si="24"/>
        <v>40587</v>
      </c>
      <c r="W792" s="18" t="str">
        <f t="shared" si="25"/>
        <v>Weedend</v>
      </c>
    </row>
    <row r="793" spans="1:23" x14ac:dyDescent="0.25">
      <c r="A793" s="19">
        <v>791</v>
      </c>
      <c r="B793" s="20">
        <v>40579</v>
      </c>
      <c r="C793" s="18">
        <v>1</v>
      </c>
      <c r="D793" s="18">
        <v>0</v>
      </c>
      <c r="E793" s="18">
        <v>2</v>
      </c>
      <c r="F793" s="18">
        <v>9</v>
      </c>
      <c r="G793" s="18" t="b">
        <v>0</v>
      </c>
      <c r="H793" s="18">
        <v>6</v>
      </c>
      <c r="I793" s="18">
        <v>3</v>
      </c>
      <c r="J793" s="18">
        <v>0.2</v>
      </c>
      <c r="K793">
        <v>0.2273</v>
      </c>
      <c r="L793">
        <v>1</v>
      </c>
      <c r="M793" s="18">
        <v>8.9599999999999999E-2</v>
      </c>
      <c r="N793" s="18">
        <v>3</v>
      </c>
      <c r="O793" s="18">
        <v>17</v>
      </c>
      <c r="P793">
        <v>20</v>
      </c>
      <c r="Q793" s="18" t="s">
        <v>47</v>
      </c>
      <c r="R793" s="18" t="s">
        <v>35</v>
      </c>
      <c r="S793" s="18" t="s">
        <v>39</v>
      </c>
      <c r="T793" s="18" t="s">
        <v>37</v>
      </c>
      <c r="U793" s="18">
        <v>2011</v>
      </c>
      <c r="V793" s="16">
        <f t="shared" si="24"/>
        <v>40587</v>
      </c>
      <c r="W793" s="18" t="str">
        <f t="shared" si="25"/>
        <v>Weedend</v>
      </c>
    </row>
    <row r="794" spans="1:23" x14ac:dyDescent="0.25">
      <c r="A794" s="19">
        <v>792</v>
      </c>
      <c r="B794" s="20">
        <v>40579</v>
      </c>
      <c r="C794" s="18">
        <v>1</v>
      </c>
      <c r="D794" s="18">
        <v>0</v>
      </c>
      <c r="E794" s="18">
        <v>2</v>
      </c>
      <c r="F794" s="18">
        <v>10</v>
      </c>
      <c r="G794" s="18" t="b">
        <v>0</v>
      </c>
      <c r="H794" s="18">
        <v>6</v>
      </c>
      <c r="I794" s="18">
        <v>3</v>
      </c>
      <c r="J794" s="18">
        <v>0.2</v>
      </c>
      <c r="K794">
        <v>0.21210000000000001</v>
      </c>
      <c r="L794">
        <v>1</v>
      </c>
      <c r="M794" s="18">
        <v>0.1343</v>
      </c>
      <c r="N794" s="18">
        <v>3</v>
      </c>
      <c r="O794" s="18">
        <v>31</v>
      </c>
      <c r="P794">
        <v>34</v>
      </c>
      <c r="Q794" s="18" t="s">
        <v>47</v>
      </c>
      <c r="R794" s="18" t="s">
        <v>35</v>
      </c>
      <c r="S794" s="18" t="s">
        <v>39</v>
      </c>
      <c r="T794" s="18" t="s">
        <v>37</v>
      </c>
      <c r="U794" s="18">
        <v>2011</v>
      </c>
      <c r="V794" s="16">
        <f t="shared" si="24"/>
        <v>40587</v>
      </c>
      <c r="W794" s="18" t="str">
        <f t="shared" si="25"/>
        <v>Weedend</v>
      </c>
    </row>
    <row r="795" spans="1:23" x14ac:dyDescent="0.25">
      <c r="A795" s="19">
        <v>793</v>
      </c>
      <c r="B795" s="20">
        <v>40579</v>
      </c>
      <c r="C795" s="18">
        <v>1</v>
      </c>
      <c r="D795" s="18">
        <v>0</v>
      </c>
      <c r="E795" s="18">
        <v>2</v>
      </c>
      <c r="F795" s="18">
        <v>11</v>
      </c>
      <c r="G795" s="18" t="b">
        <v>0</v>
      </c>
      <c r="H795" s="18">
        <v>6</v>
      </c>
      <c r="I795" s="18">
        <v>3</v>
      </c>
      <c r="J795" s="18">
        <v>0.22</v>
      </c>
      <c r="K795">
        <v>0.2273</v>
      </c>
      <c r="L795">
        <v>1</v>
      </c>
      <c r="M795" s="18">
        <v>0.1343</v>
      </c>
      <c r="N795" s="18">
        <v>1</v>
      </c>
      <c r="O795" s="18">
        <v>46</v>
      </c>
      <c r="P795">
        <v>47</v>
      </c>
      <c r="Q795" s="18" t="s">
        <v>47</v>
      </c>
      <c r="R795" s="18" t="s">
        <v>35</v>
      </c>
      <c r="S795" s="18" t="s">
        <v>39</v>
      </c>
      <c r="T795" s="18" t="s">
        <v>37</v>
      </c>
      <c r="U795" s="18">
        <v>2011</v>
      </c>
      <c r="V795" s="16">
        <f t="shared" si="24"/>
        <v>40587</v>
      </c>
      <c r="W795" s="18" t="str">
        <f t="shared" si="25"/>
        <v>Weedend</v>
      </c>
    </row>
    <row r="796" spans="1:23" x14ac:dyDescent="0.25">
      <c r="A796" s="19">
        <v>794</v>
      </c>
      <c r="B796" s="20">
        <v>40579</v>
      </c>
      <c r="C796" s="18">
        <v>1</v>
      </c>
      <c r="D796" s="18">
        <v>0</v>
      </c>
      <c r="E796" s="18">
        <v>2</v>
      </c>
      <c r="F796" s="18">
        <v>12</v>
      </c>
      <c r="G796" s="18" t="b">
        <v>0</v>
      </c>
      <c r="H796" s="18">
        <v>6</v>
      </c>
      <c r="I796" s="18">
        <v>3</v>
      </c>
      <c r="J796" s="18">
        <v>0.22</v>
      </c>
      <c r="K796">
        <v>0.2273</v>
      </c>
      <c r="L796">
        <v>1</v>
      </c>
      <c r="M796" s="18">
        <v>0.16420000000000001</v>
      </c>
      <c r="N796" s="18">
        <v>10</v>
      </c>
      <c r="O796" s="18">
        <v>42</v>
      </c>
      <c r="P796">
        <v>52</v>
      </c>
      <c r="Q796" s="18" t="s">
        <v>47</v>
      </c>
      <c r="R796" s="18" t="s">
        <v>35</v>
      </c>
      <c r="S796" s="18" t="s">
        <v>39</v>
      </c>
      <c r="T796" s="18" t="s">
        <v>37</v>
      </c>
      <c r="U796" s="18">
        <v>2011</v>
      </c>
      <c r="V796" s="16">
        <f t="shared" si="24"/>
        <v>40587</v>
      </c>
      <c r="W796" s="18" t="str">
        <f t="shared" si="25"/>
        <v>Weedend</v>
      </c>
    </row>
    <row r="797" spans="1:23" x14ac:dyDescent="0.25">
      <c r="A797" s="19">
        <v>795</v>
      </c>
      <c r="B797" s="20">
        <v>40579</v>
      </c>
      <c r="C797" s="18">
        <v>1</v>
      </c>
      <c r="D797" s="18">
        <v>0</v>
      </c>
      <c r="E797" s="18">
        <v>2</v>
      </c>
      <c r="F797" s="18">
        <v>13</v>
      </c>
      <c r="G797" s="18" t="b">
        <v>0</v>
      </c>
      <c r="H797" s="18">
        <v>6</v>
      </c>
      <c r="I797" s="18">
        <v>3</v>
      </c>
      <c r="J797" s="18">
        <v>0.22</v>
      </c>
      <c r="K797">
        <v>0.2273</v>
      </c>
      <c r="L797">
        <v>1</v>
      </c>
      <c r="M797" s="18">
        <v>0.16420000000000001</v>
      </c>
      <c r="N797" s="18">
        <v>10</v>
      </c>
      <c r="O797" s="18">
        <v>62</v>
      </c>
      <c r="P797">
        <v>72</v>
      </c>
      <c r="Q797" s="18" t="s">
        <v>47</v>
      </c>
      <c r="R797" s="18" t="s">
        <v>35</v>
      </c>
      <c r="S797" s="18" t="s">
        <v>39</v>
      </c>
      <c r="T797" s="18" t="s">
        <v>37</v>
      </c>
      <c r="U797" s="18">
        <v>2011</v>
      </c>
      <c r="V797" s="16">
        <f t="shared" si="24"/>
        <v>40587</v>
      </c>
      <c r="W797" s="18" t="str">
        <f t="shared" si="25"/>
        <v>Weedend</v>
      </c>
    </row>
    <row r="798" spans="1:23" x14ac:dyDescent="0.25">
      <c r="A798" s="19">
        <v>796</v>
      </c>
      <c r="B798" s="20">
        <v>40579</v>
      </c>
      <c r="C798" s="18">
        <v>1</v>
      </c>
      <c r="D798" s="18">
        <v>0</v>
      </c>
      <c r="E798" s="18">
        <v>2</v>
      </c>
      <c r="F798" s="18">
        <v>14</v>
      </c>
      <c r="G798" s="18" t="b">
        <v>0</v>
      </c>
      <c r="H798" s="18">
        <v>6</v>
      </c>
      <c r="I798" s="18">
        <v>3</v>
      </c>
      <c r="J798" s="18">
        <v>0.22</v>
      </c>
      <c r="K798">
        <v>0.2727</v>
      </c>
      <c r="L798">
        <v>1</v>
      </c>
      <c r="M798" s="18">
        <v>0</v>
      </c>
      <c r="N798" s="18">
        <v>5</v>
      </c>
      <c r="O798" s="18">
        <v>50</v>
      </c>
      <c r="P798">
        <v>55</v>
      </c>
      <c r="Q798" s="18" t="s">
        <v>47</v>
      </c>
      <c r="R798" s="18" t="s">
        <v>35</v>
      </c>
      <c r="S798" s="18" t="s">
        <v>39</v>
      </c>
      <c r="T798" s="18" t="s">
        <v>37</v>
      </c>
      <c r="U798" s="18">
        <v>2011</v>
      </c>
      <c r="V798" s="16">
        <f t="shared" si="24"/>
        <v>40587</v>
      </c>
      <c r="W798" s="18" t="str">
        <f t="shared" si="25"/>
        <v>Weedend</v>
      </c>
    </row>
    <row r="799" spans="1:23" x14ac:dyDescent="0.25">
      <c r="A799" s="19">
        <v>797</v>
      </c>
      <c r="B799" s="20">
        <v>40579</v>
      </c>
      <c r="C799" s="18">
        <v>1</v>
      </c>
      <c r="D799" s="18">
        <v>0</v>
      </c>
      <c r="E799" s="18">
        <v>2</v>
      </c>
      <c r="F799" s="18">
        <v>15</v>
      </c>
      <c r="G799" s="18" t="b">
        <v>0</v>
      </c>
      <c r="H799" s="18">
        <v>6</v>
      </c>
      <c r="I799" s="18">
        <v>3</v>
      </c>
      <c r="J799" s="18">
        <v>0.22</v>
      </c>
      <c r="K799">
        <v>0.2727</v>
      </c>
      <c r="L799">
        <v>1</v>
      </c>
      <c r="M799" s="18">
        <v>0</v>
      </c>
      <c r="N799" s="18">
        <v>11</v>
      </c>
      <c r="O799" s="18">
        <v>49</v>
      </c>
      <c r="P799">
        <v>60</v>
      </c>
      <c r="Q799" s="18" t="s">
        <v>47</v>
      </c>
      <c r="R799" s="18" t="s">
        <v>35</v>
      </c>
      <c r="S799" s="18" t="s">
        <v>39</v>
      </c>
      <c r="T799" s="18" t="s">
        <v>37</v>
      </c>
      <c r="U799" s="18">
        <v>2011</v>
      </c>
      <c r="V799" s="16">
        <f t="shared" si="24"/>
        <v>40587</v>
      </c>
      <c r="W799" s="18" t="str">
        <f t="shared" si="25"/>
        <v>Weedend</v>
      </c>
    </row>
    <row r="800" spans="1:23" x14ac:dyDescent="0.25">
      <c r="A800" s="19">
        <v>798</v>
      </c>
      <c r="B800" s="20">
        <v>40579</v>
      </c>
      <c r="C800" s="18">
        <v>1</v>
      </c>
      <c r="D800" s="18">
        <v>0</v>
      </c>
      <c r="E800" s="18">
        <v>2</v>
      </c>
      <c r="F800" s="18">
        <v>16</v>
      </c>
      <c r="G800" s="18" t="b">
        <v>0</v>
      </c>
      <c r="H800" s="18">
        <v>6</v>
      </c>
      <c r="I800" s="18">
        <v>3</v>
      </c>
      <c r="J800" s="18">
        <v>0.22</v>
      </c>
      <c r="K800">
        <v>0.2273</v>
      </c>
      <c r="L800">
        <v>1</v>
      </c>
      <c r="M800" s="18">
        <v>0.1343</v>
      </c>
      <c r="N800" s="18">
        <v>8</v>
      </c>
      <c r="O800" s="18">
        <v>63</v>
      </c>
      <c r="P800">
        <v>71</v>
      </c>
      <c r="Q800" s="18" t="s">
        <v>47</v>
      </c>
      <c r="R800" s="18" t="s">
        <v>35</v>
      </c>
      <c r="S800" s="18" t="s">
        <v>39</v>
      </c>
      <c r="T800" s="18" t="s">
        <v>37</v>
      </c>
      <c r="U800" s="18">
        <v>2011</v>
      </c>
      <c r="V800" s="16">
        <f t="shared" si="24"/>
        <v>40587</v>
      </c>
      <c r="W800" s="18" t="str">
        <f t="shared" si="25"/>
        <v>Weedend</v>
      </c>
    </row>
    <row r="801" spans="1:23" x14ac:dyDescent="0.25">
      <c r="A801" s="19">
        <v>799</v>
      </c>
      <c r="B801" s="20">
        <v>40579</v>
      </c>
      <c r="C801" s="18">
        <v>1</v>
      </c>
      <c r="D801" s="18">
        <v>0</v>
      </c>
      <c r="E801" s="18">
        <v>2</v>
      </c>
      <c r="F801" s="18">
        <v>17</v>
      </c>
      <c r="G801" s="18" t="b">
        <v>0</v>
      </c>
      <c r="H801" s="18">
        <v>6</v>
      </c>
      <c r="I801" s="18">
        <v>2</v>
      </c>
      <c r="J801" s="18">
        <v>0.24</v>
      </c>
      <c r="K801">
        <v>0.21210000000000001</v>
      </c>
      <c r="L801">
        <v>1</v>
      </c>
      <c r="M801" s="18">
        <v>0.28360000000000002</v>
      </c>
      <c r="N801" s="18">
        <v>14</v>
      </c>
      <c r="O801" s="18">
        <v>64</v>
      </c>
      <c r="P801">
        <v>78</v>
      </c>
      <c r="Q801" s="18" t="s">
        <v>47</v>
      </c>
      <c r="R801" s="18" t="s">
        <v>35</v>
      </c>
      <c r="S801" s="18" t="s">
        <v>38</v>
      </c>
      <c r="T801" s="18" t="s">
        <v>37</v>
      </c>
      <c r="U801" s="18">
        <v>2011</v>
      </c>
      <c r="V801" s="16">
        <f t="shared" si="24"/>
        <v>40587</v>
      </c>
      <c r="W801" s="18" t="str">
        <f t="shared" si="25"/>
        <v>Weedend</v>
      </c>
    </row>
    <row r="802" spans="1:23" x14ac:dyDescent="0.25">
      <c r="A802" s="19">
        <v>800</v>
      </c>
      <c r="B802" s="20">
        <v>40579</v>
      </c>
      <c r="C802" s="18">
        <v>1</v>
      </c>
      <c r="D802" s="18">
        <v>0</v>
      </c>
      <c r="E802" s="18">
        <v>2</v>
      </c>
      <c r="F802" s="18">
        <v>18</v>
      </c>
      <c r="G802" s="18" t="b">
        <v>0</v>
      </c>
      <c r="H802" s="18">
        <v>6</v>
      </c>
      <c r="I802" s="18">
        <v>2</v>
      </c>
      <c r="J802" s="18">
        <v>0.28000000000000003</v>
      </c>
      <c r="K802">
        <v>0.2424</v>
      </c>
      <c r="L802">
        <v>0.93</v>
      </c>
      <c r="M802" s="18">
        <v>0.44779999999999998</v>
      </c>
      <c r="N802" s="18">
        <v>2</v>
      </c>
      <c r="O802" s="18">
        <v>81</v>
      </c>
      <c r="P802">
        <v>83</v>
      </c>
      <c r="Q802" s="18" t="s">
        <v>47</v>
      </c>
      <c r="R802" s="18" t="s">
        <v>35</v>
      </c>
      <c r="S802" s="18" t="s">
        <v>38</v>
      </c>
      <c r="T802" s="18" t="s">
        <v>37</v>
      </c>
      <c r="U802" s="18">
        <v>2011</v>
      </c>
      <c r="V802" s="16">
        <f t="shared" si="24"/>
        <v>40587</v>
      </c>
      <c r="W802" s="18" t="str">
        <f t="shared" si="25"/>
        <v>Weedend</v>
      </c>
    </row>
    <row r="803" spans="1:23" x14ac:dyDescent="0.25">
      <c r="A803" s="19">
        <v>801</v>
      </c>
      <c r="B803" s="20">
        <v>40579</v>
      </c>
      <c r="C803" s="18">
        <v>1</v>
      </c>
      <c r="D803" s="18">
        <v>0</v>
      </c>
      <c r="E803" s="18">
        <v>2</v>
      </c>
      <c r="F803" s="18">
        <v>19</v>
      </c>
      <c r="G803" s="18" t="b">
        <v>0</v>
      </c>
      <c r="H803" s="18">
        <v>6</v>
      </c>
      <c r="I803" s="18">
        <v>2</v>
      </c>
      <c r="J803" s="18">
        <v>0.28000000000000003</v>
      </c>
      <c r="K803">
        <v>0.2424</v>
      </c>
      <c r="L803">
        <v>0.93</v>
      </c>
      <c r="M803" s="18">
        <v>0.44779999999999998</v>
      </c>
      <c r="N803" s="18">
        <v>6</v>
      </c>
      <c r="O803" s="18">
        <v>78</v>
      </c>
      <c r="P803">
        <v>84</v>
      </c>
      <c r="Q803" s="18" t="s">
        <v>47</v>
      </c>
      <c r="R803" s="18" t="s">
        <v>35</v>
      </c>
      <c r="S803" s="18" t="s">
        <v>38</v>
      </c>
      <c r="T803" s="18" t="s">
        <v>37</v>
      </c>
      <c r="U803" s="18">
        <v>2011</v>
      </c>
      <c r="V803" s="16">
        <f t="shared" si="24"/>
        <v>40587</v>
      </c>
      <c r="W803" s="18" t="str">
        <f t="shared" si="25"/>
        <v>Weedend</v>
      </c>
    </row>
    <row r="804" spans="1:23" x14ac:dyDescent="0.25">
      <c r="A804" s="19">
        <v>802</v>
      </c>
      <c r="B804" s="20">
        <v>40579</v>
      </c>
      <c r="C804" s="18">
        <v>1</v>
      </c>
      <c r="D804" s="18">
        <v>0</v>
      </c>
      <c r="E804" s="18">
        <v>2</v>
      </c>
      <c r="F804" s="18">
        <v>20</v>
      </c>
      <c r="G804" s="18" t="b">
        <v>0</v>
      </c>
      <c r="H804" s="18">
        <v>6</v>
      </c>
      <c r="I804" s="18">
        <v>1</v>
      </c>
      <c r="J804" s="18">
        <v>0.3</v>
      </c>
      <c r="K804">
        <v>0.28789999999999999</v>
      </c>
      <c r="L804">
        <v>0.87</v>
      </c>
      <c r="M804" s="18">
        <v>0.25369999999999998</v>
      </c>
      <c r="N804" s="18">
        <v>5</v>
      </c>
      <c r="O804" s="18">
        <v>64</v>
      </c>
      <c r="P804">
        <v>69</v>
      </c>
      <c r="Q804" s="18" t="s">
        <v>47</v>
      </c>
      <c r="R804" s="18" t="s">
        <v>35</v>
      </c>
      <c r="S804" s="18" t="s">
        <v>36</v>
      </c>
      <c r="T804" s="18" t="s">
        <v>37</v>
      </c>
      <c r="U804" s="18">
        <v>2011</v>
      </c>
      <c r="V804" s="16">
        <f t="shared" si="24"/>
        <v>40587</v>
      </c>
      <c r="W804" s="18" t="str">
        <f t="shared" si="25"/>
        <v>Weedend</v>
      </c>
    </row>
    <row r="805" spans="1:23" x14ac:dyDescent="0.25">
      <c r="A805" s="19">
        <v>803</v>
      </c>
      <c r="B805" s="20">
        <v>40579</v>
      </c>
      <c r="C805" s="18">
        <v>1</v>
      </c>
      <c r="D805" s="18">
        <v>0</v>
      </c>
      <c r="E805" s="18">
        <v>2</v>
      </c>
      <c r="F805" s="18">
        <v>21</v>
      </c>
      <c r="G805" s="18" t="b">
        <v>0</v>
      </c>
      <c r="H805" s="18">
        <v>6</v>
      </c>
      <c r="I805" s="18">
        <v>1</v>
      </c>
      <c r="J805" s="18">
        <v>0.26</v>
      </c>
      <c r="K805">
        <v>0.2576</v>
      </c>
      <c r="L805">
        <v>1</v>
      </c>
      <c r="M805" s="18">
        <v>0.19400000000000001</v>
      </c>
      <c r="N805" s="18">
        <v>3</v>
      </c>
      <c r="O805" s="18">
        <v>53</v>
      </c>
      <c r="P805">
        <v>56</v>
      </c>
      <c r="Q805" s="18" t="s">
        <v>47</v>
      </c>
      <c r="R805" s="18" t="s">
        <v>35</v>
      </c>
      <c r="S805" s="18" t="s">
        <v>36</v>
      </c>
      <c r="T805" s="18" t="s">
        <v>37</v>
      </c>
      <c r="U805" s="18">
        <v>2011</v>
      </c>
      <c r="V805" s="16">
        <f t="shared" si="24"/>
        <v>40587</v>
      </c>
      <c r="W805" s="18" t="str">
        <f t="shared" si="25"/>
        <v>Weedend</v>
      </c>
    </row>
    <row r="806" spans="1:23" x14ac:dyDescent="0.25">
      <c r="A806" s="19">
        <v>804</v>
      </c>
      <c r="B806" s="20">
        <v>40579</v>
      </c>
      <c r="C806" s="18">
        <v>1</v>
      </c>
      <c r="D806" s="18">
        <v>0</v>
      </c>
      <c r="E806" s="18">
        <v>2</v>
      </c>
      <c r="F806" s="18">
        <v>22</v>
      </c>
      <c r="G806" s="18" t="b">
        <v>0</v>
      </c>
      <c r="H806" s="18">
        <v>6</v>
      </c>
      <c r="I806" s="18">
        <v>1</v>
      </c>
      <c r="J806" s="18">
        <v>0.26</v>
      </c>
      <c r="K806">
        <v>0.2727</v>
      </c>
      <c r="L806">
        <v>0.93</v>
      </c>
      <c r="M806" s="18">
        <v>0.1343</v>
      </c>
      <c r="N806" s="18">
        <v>2</v>
      </c>
      <c r="O806" s="18">
        <v>43</v>
      </c>
      <c r="P806">
        <v>45</v>
      </c>
      <c r="Q806" s="18" t="s">
        <v>47</v>
      </c>
      <c r="R806" s="18" t="s">
        <v>35</v>
      </c>
      <c r="S806" s="18" t="s">
        <v>36</v>
      </c>
      <c r="T806" s="18" t="s">
        <v>37</v>
      </c>
      <c r="U806" s="18">
        <v>2011</v>
      </c>
      <c r="V806" s="16">
        <f t="shared" si="24"/>
        <v>40587</v>
      </c>
      <c r="W806" s="18" t="str">
        <f t="shared" si="25"/>
        <v>Weedend</v>
      </c>
    </row>
    <row r="807" spans="1:23" x14ac:dyDescent="0.25">
      <c r="A807" s="19">
        <v>805</v>
      </c>
      <c r="B807" s="20">
        <v>40579</v>
      </c>
      <c r="C807" s="18">
        <v>1</v>
      </c>
      <c r="D807" s="18">
        <v>0</v>
      </c>
      <c r="E807" s="18">
        <v>2</v>
      </c>
      <c r="F807" s="18">
        <v>23</v>
      </c>
      <c r="G807" s="18" t="b">
        <v>0</v>
      </c>
      <c r="H807" s="18">
        <v>6</v>
      </c>
      <c r="I807" s="18">
        <v>1</v>
      </c>
      <c r="J807" s="18">
        <v>0.26</v>
      </c>
      <c r="K807">
        <v>0.2576</v>
      </c>
      <c r="L807">
        <v>0.93</v>
      </c>
      <c r="M807" s="18">
        <v>0.22389999999999999</v>
      </c>
      <c r="N807" s="18">
        <v>7</v>
      </c>
      <c r="O807" s="18">
        <v>52</v>
      </c>
      <c r="P807">
        <v>59</v>
      </c>
      <c r="Q807" s="18" t="s">
        <v>47</v>
      </c>
      <c r="R807" s="18" t="s">
        <v>35</v>
      </c>
      <c r="S807" s="18" t="s">
        <v>36</v>
      </c>
      <c r="T807" s="18" t="s">
        <v>37</v>
      </c>
      <c r="U807" s="18">
        <v>2011</v>
      </c>
      <c r="V807" s="16">
        <f t="shared" si="24"/>
        <v>40587</v>
      </c>
      <c r="W807" s="18" t="str">
        <f t="shared" si="25"/>
        <v>Weedend</v>
      </c>
    </row>
    <row r="808" spans="1:23" x14ac:dyDescent="0.25">
      <c r="A808" s="19">
        <v>806</v>
      </c>
      <c r="B808" s="20">
        <v>40580</v>
      </c>
      <c r="C808" s="18">
        <v>1</v>
      </c>
      <c r="D808" s="18">
        <v>0</v>
      </c>
      <c r="E808" s="18">
        <v>2</v>
      </c>
      <c r="F808" s="18">
        <v>0</v>
      </c>
      <c r="G808" s="18" t="b">
        <v>0</v>
      </c>
      <c r="H808" s="18">
        <v>0</v>
      </c>
      <c r="I808" s="18">
        <v>1</v>
      </c>
      <c r="J808" s="18">
        <v>0.26</v>
      </c>
      <c r="K808">
        <v>0.2576</v>
      </c>
      <c r="L808">
        <v>0.7</v>
      </c>
      <c r="M808" s="18">
        <v>0.19400000000000001</v>
      </c>
      <c r="N808" s="18">
        <v>2</v>
      </c>
      <c r="O808" s="18">
        <v>37</v>
      </c>
      <c r="P808">
        <v>39</v>
      </c>
      <c r="Q808" s="18" t="s">
        <v>47</v>
      </c>
      <c r="R808" s="18" t="s">
        <v>35</v>
      </c>
      <c r="S808" s="18" t="s">
        <v>36</v>
      </c>
      <c r="T808" s="18" t="s">
        <v>40</v>
      </c>
      <c r="U808" s="18">
        <v>2011</v>
      </c>
      <c r="V808" s="16">
        <f t="shared" si="24"/>
        <v>40587</v>
      </c>
      <c r="W808" s="18" t="str">
        <f t="shared" si="25"/>
        <v>Weedend</v>
      </c>
    </row>
    <row r="809" spans="1:23" x14ac:dyDescent="0.25">
      <c r="A809" s="19">
        <v>807</v>
      </c>
      <c r="B809" s="20">
        <v>40580</v>
      </c>
      <c r="C809" s="18">
        <v>1</v>
      </c>
      <c r="D809" s="18">
        <v>0</v>
      </c>
      <c r="E809" s="18">
        <v>2</v>
      </c>
      <c r="F809" s="18">
        <v>1</v>
      </c>
      <c r="G809" s="18" t="b">
        <v>0</v>
      </c>
      <c r="H809" s="18">
        <v>0</v>
      </c>
      <c r="I809" s="18">
        <v>1</v>
      </c>
      <c r="J809" s="18">
        <v>0.26</v>
      </c>
      <c r="K809">
        <v>0.2273</v>
      </c>
      <c r="L809">
        <v>0.65</v>
      </c>
      <c r="M809" s="18">
        <v>0.41789999999999999</v>
      </c>
      <c r="N809" s="18">
        <v>4</v>
      </c>
      <c r="O809" s="18">
        <v>40</v>
      </c>
      <c r="P809">
        <v>44</v>
      </c>
      <c r="Q809" s="18" t="s">
        <v>47</v>
      </c>
      <c r="R809" s="18" t="s">
        <v>35</v>
      </c>
      <c r="S809" s="18" t="s">
        <v>36</v>
      </c>
      <c r="T809" s="18" t="s">
        <v>40</v>
      </c>
      <c r="U809" s="18">
        <v>2011</v>
      </c>
      <c r="V809" s="16">
        <f t="shared" si="24"/>
        <v>40587</v>
      </c>
      <c r="W809" s="18" t="str">
        <f t="shared" si="25"/>
        <v>Weedend</v>
      </c>
    </row>
    <row r="810" spans="1:23" x14ac:dyDescent="0.25">
      <c r="A810" s="19">
        <v>808</v>
      </c>
      <c r="B810" s="20">
        <v>40580</v>
      </c>
      <c r="C810" s="18">
        <v>1</v>
      </c>
      <c r="D810" s="18">
        <v>0</v>
      </c>
      <c r="E810" s="18">
        <v>2</v>
      </c>
      <c r="F810" s="18">
        <v>2</v>
      </c>
      <c r="G810" s="18" t="b">
        <v>0</v>
      </c>
      <c r="H810" s="18">
        <v>0</v>
      </c>
      <c r="I810" s="18">
        <v>1</v>
      </c>
      <c r="J810" s="18">
        <v>0.26</v>
      </c>
      <c r="K810">
        <v>0.2273</v>
      </c>
      <c r="L810">
        <v>0.6</v>
      </c>
      <c r="M810" s="18">
        <v>0.32840000000000003</v>
      </c>
      <c r="N810" s="18">
        <v>0</v>
      </c>
      <c r="O810" s="18">
        <v>20</v>
      </c>
      <c r="P810">
        <v>20</v>
      </c>
      <c r="Q810" s="18" t="s">
        <v>47</v>
      </c>
      <c r="R810" s="18" t="s">
        <v>35</v>
      </c>
      <c r="S810" s="18" t="s">
        <v>36</v>
      </c>
      <c r="T810" s="18" t="s">
        <v>40</v>
      </c>
      <c r="U810" s="18">
        <v>2011</v>
      </c>
      <c r="V810" s="16">
        <f t="shared" si="24"/>
        <v>40587</v>
      </c>
      <c r="W810" s="18" t="str">
        <f t="shared" si="25"/>
        <v>Weedend</v>
      </c>
    </row>
    <row r="811" spans="1:23" x14ac:dyDescent="0.25">
      <c r="A811" s="19">
        <v>809</v>
      </c>
      <c r="B811" s="20">
        <v>40580</v>
      </c>
      <c r="C811" s="18">
        <v>1</v>
      </c>
      <c r="D811" s="18">
        <v>0</v>
      </c>
      <c r="E811" s="18">
        <v>2</v>
      </c>
      <c r="F811" s="18">
        <v>3</v>
      </c>
      <c r="G811" s="18" t="b">
        <v>0</v>
      </c>
      <c r="H811" s="18">
        <v>0</v>
      </c>
      <c r="I811" s="18">
        <v>1</v>
      </c>
      <c r="J811" s="18">
        <v>0.26</v>
      </c>
      <c r="K811">
        <v>0.28789999999999999</v>
      </c>
      <c r="L811">
        <v>0.6</v>
      </c>
      <c r="M811" s="18">
        <v>8.9599999999999999E-2</v>
      </c>
      <c r="N811" s="18">
        <v>3</v>
      </c>
      <c r="O811" s="18">
        <v>10</v>
      </c>
      <c r="P811">
        <v>13</v>
      </c>
      <c r="Q811" s="18" t="s">
        <v>47</v>
      </c>
      <c r="R811" s="18" t="s">
        <v>35</v>
      </c>
      <c r="S811" s="18" t="s">
        <v>36</v>
      </c>
      <c r="T811" s="18" t="s">
        <v>40</v>
      </c>
      <c r="U811" s="18">
        <v>2011</v>
      </c>
      <c r="V811" s="16">
        <f t="shared" si="24"/>
        <v>40587</v>
      </c>
      <c r="W811" s="18" t="str">
        <f t="shared" si="25"/>
        <v>Weedend</v>
      </c>
    </row>
    <row r="812" spans="1:23" x14ac:dyDescent="0.25">
      <c r="A812" s="19">
        <v>810</v>
      </c>
      <c r="B812" s="20">
        <v>40580</v>
      </c>
      <c r="C812" s="18">
        <v>1</v>
      </c>
      <c r="D812" s="18">
        <v>0</v>
      </c>
      <c r="E812" s="18">
        <v>2</v>
      </c>
      <c r="F812" s="18">
        <v>4</v>
      </c>
      <c r="G812" s="18" t="b">
        <v>0</v>
      </c>
      <c r="H812" s="18">
        <v>0</v>
      </c>
      <c r="I812" s="18">
        <v>1</v>
      </c>
      <c r="J812" s="18">
        <v>0.26</v>
      </c>
      <c r="K812">
        <v>0.2273</v>
      </c>
      <c r="L812">
        <v>0.6</v>
      </c>
      <c r="M812" s="18">
        <v>0.35820000000000002</v>
      </c>
      <c r="N812" s="18">
        <v>0</v>
      </c>
      <c r="O812" s="18">
        <v>2</v>
      </c>
      <c r="P812">
        <v>2</v>
      </c>
      <c r="Q812" s="18" t="s">
        <v>47</v>
      </c>
      <c r="R812" s="18" t="s">
        <v>35</v>
      </c>
      <c r="S812" s="18" t="s">
        <v>36</v>
      </c>
      <c r="T812" s="18" t="s">
        <v>40</v>
      </c>
      <c r="U812" s="18">
        <v>2011</v>
      </c>
      <c r="V812" s="16">
        <f t="shared" si="24"/>
        <v>40587</v>
      </c>
      <c r="W812" s="18" t="str">
        <f t="shared" si="25"/>
        <v>Weedend</v>
      </c>
    </row>
    <row r="813" spans="1:23" x14ac:dyDescent="0.25">
      <c r="A813" s="19">
        <v>811</v>
      </c>
      <c r="B813" s="20">
        <v>40580</v>
      </c>
      <c r="C813" s="18">
        <v>1</v>
      </c>
      <c r="D813" s="18">
        <v>0</v>
      </c>
      <c r="E813" s="18">
        <v>2</v>
      </c>
      <c r="F813" s="18">
        <v>5</v>
      </c>
      <c r="G813" s="18" t="b">
        <v>0</v>
      </c>
      <c r="H813" s="18">
        <v>0</v>
      </c>
      <c r="I813" s="18">
        <v>1</v>
      </c>
      <c r="J813" s="18">
        <v>0.26</v>
      </c>
      <c r="K813">
        <v>0.2576</v>
      </c>
      <c r="L813">
        <v>0.6</v>
      </c>
      <c r="M813" s="18">
        <v>0.22389999999999999</v>
      </c>
      <c r="N813" s="18">
        <v>0</v>
      </c>
      <c r="O813" s="18">
        <v>1</v>
      </c>
      <c r="P813">
        <v>1</v>
      </c>
      <c r="Q813" s="18" t="s">
        <v>47</v>
      </c>
      <c r="R813" s="18" t="s">
        <v>35</v>
      </c>
      <c r="S813" s="18" t="s">
        <v>36</v>
      </c>
      <c r="T813" s="18" t="s">
        <v>40</v>
      </c>
      <c r="U813" s="18">
        <v>2011</v>
      </c>
      <c r="V813" s="16">
        <f t="shared" si="24"/>
        <v>40587</v>
      </c>
      <c r="W813" s="18" t="str">
        <f t="shared" si="25"/>
        <v>Weedend</v>
      </c>
    </row>
    <row r="814" spans="1:23" x14ac:dyDescent="0.25">
      <c r="A814" s="19">
        <v>812</v>
      </c>
      <c r="B814" s="20">
        <v>40580</v>
      </c>
      <c r="C814" s="18">
        <v>1</v>
      </c>
      <c r="D814" s="18">
        <v>0</v>
      </c>
      <c r="E814" s="18">
        <v>2</v>
      </c>
      <c r="F814" s="18">
        <v>6</v>
      </c>
      <c r="G814" s="18" t="b">
        <v>0</v>
      </c>
      <c r="H814" s="18">
        <v>0</v>
      </c>
      <c r="I814" s="18">
        <v>1</v>
      </c>
      <c r="J814" s="18">
        <v>0.26</v>
      </c>
      <c r="K814">
        <v>0.2576</v>
      </c>
      <c r="L814">
        <v>0.6</v>
      </c>
      <c r="M814" s="18">
        <v>0.22389999999999999</v>
      </c>
      <c r="N814" s="18">
        <v>0</v>
      </c>
      <c r="O814" s="18">
        <v>1</v>
      </c>
      <c r="P814">
        <v>1</v>
      </c>
      <c r="Q814" s="18" t="s">
        <v>47</v>
      </c>
      <c r="R814" s="18" t="s">
        <v>35</v>
      </c>
      <c r="S814" s="18" t="s">
        <v>36</v>
      </c>
      <c r="T814" s="18" t="s">
        <v>40</v>
      </c>
      <c r="U814" s="18">
        <v>2011</v>
      </c>
      <c r="V814" s="16">
        <f t="shared" si="24"/>
        <v>40587</v>
      </c>
      <c r="W814" s="18" t="str">
        <f t="shared" si="25"/>
        <v>Weedend</v>
      </c>
    </row>
    <row r="815" spans="1:23" x14ac:dyDescent="0.25">
      <c r="A815" s="19">
        <v>813</v>
      </c>
      <c r="B815" s="20">
        <v>40580</v>
      </c>
      <c r="C815" s="18">
        <v>1</v>
      </c>
      <c r="D815" s="18">
        <v>0</v>
      </c>
      <c r="E815" s="18">
        <v>2</v>
      </c>
      <c r="F815" s="18">
        <v>7</v>
      </c>
      <c r="G815" s="18" t="b">
        <v>0</v>
      </c>
      <c r="H815" s="18">
        <v>0</v>
      </c>
      <c r="I815" s="18">
        <v>1</v>
      </c>
      <c r="J815" s="18">
        <v>0.24</v>
      </c>
      <c r="K815">
        <v>0.2424</v>
      </c>
      <c r="L815">
        <v>0.65</v>
      </c>
      <c r="M815" s="18">
        <v>0.16420000000000001</v>
      </c>
      <c r="N815" s="18">
        <v>0</v>
      </c>
      <c r="O815" s="18">
        <v>8</v>
      </c>
      <c r="P815">
        <v>8</v>
      </c>
      <c r="Q815" s="18" t="s">
        <v>47</v>
      </c>
      <c r="R815" s="18" t="s">
        <v>35</v>
      </c>
      <c r="S815" s="18" t="s">
        <v>36</v>
      </c>
      <c r="T815" s="18" t="s">
        <v>40</v>
      </c>
      <c r="U815" s="18">
        <v>2011</v>
      </c>
      <c r="V815" s="16">
        <f t="shared" si="24"/>
        <v>40587</v>
      </c>
      <c r="W815" s="18" t="str">
        <f t="shared" si="25"/>
        <v>Weedend</v>
      </c>
    </row>
    <row r="816" spans="1:23" x14ac:dyDescent="0.25">
      <c r="A816" s="19">
        <v>814</v>
      </c>
      <c r="B816" s="20">
        <v>40580</v>
      </c>
      <c r="C816" s="18">
        <v>1</v>
      </c>
      <c r="D816" s="18">
        <v>0</v>
      </c>
      <c r="E816" s="18">
        <v>2</v>
      </c>
      <c r="F816" s="18">
        <v>8</v>
      </c>
      <c r="G816" s="18" t="b">
        <v>0</v>
      </c>
      <c r="H816" s="18">
        <v>0</v>
      </c>
      <c r="I816" s="18">
        <v>1</v>
      </c>
      <c r="J816" s="18">
        <v>0.24</v>
      </c>
      <c r="K816">
        <v>0.2576</v>
      </c>
      <c r="L816">
        <v>0.65</v>
      </c>
      <c r="M816" s="18">
        <v>0.1045</v>
      </c>
      <c r="N816" s="18">
        <v>2</v>
      </c>
      <c r="O816" s="18">
        <v>21</v>
      </c>
      <c r="P816">
        <v>23</v>
      </c>
      <c r="Q816" s="18" t="s">
        <v>47</v>
      </c>
      <c r="R816" s="18" t="s">
        <v>35</v>
      </c>
      <c r="S816" s="18" t="s">
        <v>36</v>
      </c>
      <c r="T816" s="18" t="s">
        <v>40</v>
      </c>
      <c r="U816" s="18">
        <v>2011</v>
      </c>
      <c r="V816" s="16">
        <f t="shared" si="24"/>
        <v>40587</v>
      </c>
      <c r="W816" s="18" t="str">
        <f t="shared" si="25"/>
        <v>Weedend</v>
      </c>
    </row>
    <row r="817" spans="1:23" x14ac:dyDescent="0.25">
      <c r="A817" s="19">
        <v>815</v>
      </c>
      <c r="B817" s="20">
        <v>40580</v>
      </c>
      <c r="C817" s="18">
        <v>1</v>
      </c>
      <c r="D817" s="18">
        <v>0</v>
      </c>
      <c r="E817" s="18">
        <v>2</v>
      </c>
      <c r="F817" s="18">
        <v>9</v>
      </c>
      <c r="G817" s="18" t="b">
        <v>0</v>
      </c>
      <c r="H817" s="18">
        <v>0</v>
      </c>
      <c r="I817" s="18">
        <v>1</v>
      </c>
      <c r="J817" s="18">
        <v>0.28000000000000003</v>
      </c>
      <c r="K817">
        <v>0.28789999999999999</v>
      </c>
      <c r="L817">
        <v>0.56000000000000005</v>
      </c>
      <c r="M817" s="18">
        <v>0.1045</v>
      </c>
      <c r="N817" s="18">
        <v>7</v>
      </c>
      <c r="O817" s="18">
        <v>38</v>
      </c>
      <c r="P817">
        <v>45</v>
      </c>
      <c r="Q817" s="18" t="s">
        <v>47</v>
      </c>
      <c r="R817" s="18" t="s">
        <v>35</v>
      </c>
      <c r="S817" s="18" t="s">
        <v>36</v>
      </c>
      <c r="T817" s="18" t="s">
        <v>40</v>
      </c>
      <c r="U817" s="18">
        <v>2011</v>
      </c>
      <c r="V817" s="16">
        <f t="shared" si="24"/>
        <v>40587</v>
      </c>
      <c r="W817" s="18" t="str">
        <f t="shared" si="25"/>
        <v>Weedend</v>
      </c>
    </row>
    <row r="818" spans="1:23" x14ac:dyDescent="0.25">
      <c r="A818" s="19">
        <v>816</v>
      </c>
      <c r="B818" s="20">
        <v>40580</v>
      </c>
      <c r="C818" s="18">
        <v>1</v>
      </c>
      <c r="D818" s="18">
        <v>0</v>
      </c>
      <c r="E818" s="18">
        <v>2</v>
      </c>
      <c r="F818" s="18">
        <v>10</v>
      </c>
      <c r="G818" s="18" t="b">
        <v>0</v>
      </c>
      <c r="H818" s="18">
        <v>0</v>
      </c>
      <c r="I818" s="18">
        <v>1</v>
      </c>
      <c r="J818" s="18">
        <v>0.3</v>
      </c>
      <c r="K818">
        <v>0.28789999999999999</v>
      </c>
      <c r="L818">
        <v>0.52</v>
      </c>
      <c r="M818" s="18">
        <v>0.25369999999999998</v>
      </c>
      <c r="N818" s="18">
        <v>15</v>
      </c>
      <c r="O818" s="18">
        <v>74</v>
      </c>
      <c r="P818">
        <v>89</v>
      </c>
      <c r="Q818" s="18" t="s">
        <v>47</v>
      </c>
      <c r="R818" s="18" t="s">
        <v>35</v>
      </c>
      <c r="S818" s="18" t="s">
        <v>36</v>
      </c>
      <c r="T818" s="18" t="s">
        <v>40</v>
      </c>
      <c r="U818" s="18">
        <v>2011</v>
      </c>
      <c r="V818" s="16">
        <f t="shared" si="24"/>
        <v>40587</v>
      </c>
      <c r="W818" s="18" t="str">
        <f t="shared" si="25"/>
        <v>Weedend</v>
      </c>
    </row>
    <row r="819" spans="1:23" x14ac:dyDescent="0.25">
      <c r="A819" s="19">
        <v>817</v>
      </c>
      <c r="B819" s="20">
        <v>40580</v>
      </c>
      <c r="C819" s="18">
        <v>1</v>
      </c>
      <c r="D819" s="18">
        <v>0</v>
      </c>
      <c r="E819" s="18">
        <v>2</v>
      </c>
      <c r="F819" s="18">
        <v>11</v>
      </c>
      <c r="G819" s="18" t="b">
        <v>0</v>
      </c>
      <c r="H819" s="18">
        <v>0</v>
      </c>
      <c r="I819" s="18">
        <v>1</v>
      </c>
      <c r="J819" s="18">
        <v>0.32</v>
      </c>
      <c r="K819">
        <v>0.30299999999999999</v>
      </c>
      <c r="L819">
        <v>0.49</v>
      </c>
      <c r="M819" s="18">
        <v>0.25369999999999998</v>
      </c>
      <c r="N819" s="18">
        <v>28</v>
      </c>
      <c r="O819" s="18">
        <v>89</v>
      </c>
      <c r="P819">
        <v>117</v>
      </c>
      <c r="Q819" s="18" t="s">
        <v>47</v>
      </c>
      <c r="R819" s="18" t="s">
        <v>35</v>
      </c>
      <c r="S819" s="18" t="s">
        <v>36</v>
      </c>
      <c r="T819" s="18" t="s">
        <v>40</v>
      </c>
      <c r="U819" s="18">
        <v>2011</v>
      </c>
      <c r="V819" s="16">
        <f t="shared" si="24"/>
        <v>40587</v>
      </c>
      <c r="W819" s="18" t="str">
        <f t="shared" si="25"/>
        <v>Weedend</v>
      </c>
    </row>
    <row r="820" spans="1:23" x14ac:dyDescent="0.25">
      <c r="A820" s="19">
        <v>818</v>
      </c>
      <c r="B820" s="20">
        <v>40580</v>
      </c>
      <c r="C820" s="18">
        <v>1</v>
      </c>
      <c r="D820" s="18">
        <v>0</v>
      </c>
      <c r="E820" s="18">
        <v>2</v>
      </c>
      <c r="F820" s="18">
        <v>12</v>
      </c>
      <c r="G820" s="18" t="b">
        <v>0</v>
      </c>
      <c r="H820" s="18">
        <v>0</v>
      </c>
      <c r="I820" s="18">
        <v>1</v>
      </c>
      <c r="J820" s="18">
        <v>0.34</v>
      </c>
      <c r="K820">
        <v>0.33329999999999999</v>
      </c>
      <c r="L820">
        <v>0.46</v>
      </c>
      <c r="M820" s="18">
        <v>0</v>
      </c>
      <c r="N820" s="18">
        <v>48</v>
      </c>
      <c r="O820" s="18">
        <v>126</v>
      </c>
      <c r="P820">
        <v>174</v>
      </c>
      <c r="Q820" s="18" t="s">
        <v>47</v>
      </c>
      <c r="R820" s="18" t="s">
        <v>35</v>
      </c>
      <c r="S820" s="18" t="s">
        <v>36</v>
      </c>
      <c r="T820" s="18" t="s">
        <v>40</v>
      </c>
      <c r="U820" s="18">
        <v>2011</v>
      </c>
      <c r="V820" s="16">
        <f t="shared" si="24"/>
        <v>40587</v>
      </c>
      <c r="W820" s="18" t="str">
        <f t="shared" si="25"/>
        <v>Weedend</v>
      </c>
    </row>
    <row r="821" spans="1:23" x14ac:dyDescent="0.25">
      <c r="A821" s="19">
        <v>819</v>
      </c>
      <c r="B821" s="20">
        <v>40580</v>
      </c>
      <c r="C821" s="18">
        <v>1</v>
      </c>
      <c r="D821" s="18">
        <v>0</v>
      </c>
      <c r="E821" s="18">
        <v>2</v>
      </c>
      <c r="F821" s="18">
        <v>13</v>
      </c>
      <c r="G821" s="18" t="b">
        <v>0</v>
      </c>
      <c r="H821" s="18">
        <v>0</v>
      </c>
      <c r="I821" s="18">
        <v>1</v>
      </c>
      <c r="J821" s="18">
        <v>0.34</v>
      </c>
      <c r="K821">
        <v>0.36359999999999998</v>
      </c>
      <c r="L821">
        <v>0.46</v>
      </c>
      <c r="M821" s="18">
        <v>0</v>
      </c>
      <c r="N821" s="18">
        <v>47</v>
      </c>
      <c r="O821" s="18">
        <v>135</v>
      </c>
      <c r="P821">
        <v>182</v>
      </c>
      <c r="Q821" s="18" t="s">
        <v>47</v>
      </c>
      <c r="R821" s="18" t="s">
        <v>35</v>
      </c>
      <c r="S821" s="18" t="s">
        <v>36</v>
      </c>
      <c r="T821" s="18" t="s">
        <v>40</v>
      </c>
      <c r="U821" s="18">
        <v>2011</v>
      </c>
      <c r="V821" s="16">
        <f t="shared" si="24"/>
        <v>40587</v>
      </c>
      <c r="W821" s="18" t="str">
        <f t="shared" si="25"/>
        <v>Weedend</v>
      </c>
    </row>
    <row r="822" spans="1:23" x14ac:dyDescent="0.25">
      <c r="A822" s="19">
        <v>820</v>
      </c>
      <c r="B822" s="20">
        <v>40580</v>
      </c>
      <c r="C822" s="18">
        <v>1</v>
      </c>
      <c r="D822" s="18">
        <v>0</v>
      </c>
      <c r="E822" s="18">
        <v>2</v>
      </c>
      <c r="F822" s="18">
        <v>14</v>
      </c>
      <c r="G822" s="18" t="b">
        <v>0</v>
      </c>
      <c r="H822" s="18">
        <v>0</v>
      </c>
      <c r="I822" s="18">
        <v>1</v>
      </c>
      <c r="J822" s="18">
        <v>0.34</v>
      </c>
      <c r="K822">
        <v>0.34849999999999998</v>
      </c>
      <c r="L822">
        <v>0.46</v>
      </c>
      <c r="M822" s="18">
        <v>8.9599999999999999E-2</v>
      </c>
      <c r="N822" s="18">
        <v>47</v>
      </c>
      <c r="O822" s="18">
        <v>114</v>
      </c>
      <c r="P822">
        <v>161</v>
      </c>
      <c r="Q822" s="18" t="s">
        <v>47</v>
      </c>
      <c r="R822" s="18" t="s">
        <v>35</v>
      </c>
      <c r="S822" s="18" t="s">
        <v>36</v>
      </c>
      <c r="T822" s="18" t="s">
        <v>40</v>
      </c>
      <c r="U822" s="18">
        <v>2011</v>
      </c>
      <c r="V822" s="16">
        <f t="shared" si="24"/>
        <v>40587</v>
      </c>
      <c r="W822" s="18" t="str">
        <f t="shared" si="25"/>
        <v>Weedend</v>
      </c>
    </row>
    <row r="823" spans="1:23" x14ac:dyDescent="0.25">
      <c r="A823" s="19">
        <v>821</v>
      </c>
      <c r="B823" s="20">
        <v>40580</v>
      </c>
      <c r="C823" s="18">
        <v>1</v>
      </c>
      <c r="D823" s="18">
        <v>0</v>
      </c>
      <c r="E823" s="18">
        <v>2</v>
      </c>
      <c r="F823" s="18">
        <v>15</v>
      </c>
      <c r="G823" s="18" t="b">
        <v>0</v>
      </c>
      <c r="H823" s="18">
        <v>0</v>
      </c>
      <c r="I823" s="18">
        <v>1</v>
      </c>
      <c r="J823" s="18">
        <v>0.34</v>
      </c>
      <c r="K823">
        <v>0.34849999999999998</v>
      </c>
      <c r="L823">
        <v>0.46</v>
      </c>
      <c r="M823" s="18">
        <v>8.9599999999999999E-2</v>
      </c>
      <c r="N823" s="18">
        <v>52</v>
      </c>
      <c r="O823" s="18">
        <v>130</v>
      </c>
      <c r="P823">
        <v>182</v>
      </c>
      <c r="Q823" s="18" t="s">
        <v>47</v>
      </c>
      <c r="R823" s="18" t="s">
        <v>35</v>
      </c>
      <c r="S823" s="18" t="s">
        <v>36</v>
      </c>
      <c r="T823" s="18" t="s">
        <v>40</v>
      </c>
      <c r="U823" s="18">
        <v>2011</v>
      </c>
      <c r="V823" s="16">
        <f t="shared" si="24"/>
        <v>40587</v>
      </c>
      <c r="W823" s="18" t="str">
        <f t="shared" si="25"/>
        <v>Weedend</v>
      </c>
    </row>
    <row r="824" spans="1:23" x14ac:dyDescent="0.25">
      <c r="A824" s="19">
        <v>822</v>
      </c>
      <c r="B824" s="20">
        <v>40580</v>
      </c>
      <c r="C824" s="18">
        <v>1</v>
      </c>
      <c r="D824" s="18">
        <v>0</v>
      </c>
      <c r="E824" s="18">
        <v>2</v>
      </c>
      <c r="F824" s="18">
        <v>16</v>
      </c>
      <c r="G824" s="18" t="b">
        <v>0</v>
      </c>
      <c r="H824" s="18">
        <v>0</v>
      </c>
      <c r="I824" s="18">
        <v>1</v>
      </c>
      <c r="J824" s="18">
        <v>0.34</v>
      </c>
      <c r="K824">
        <v>0.34849999999999998</v>
      </c>
      <c r="L824">
        <v>0.49</v>
      </c>
      <c r="M824" s="18">
        <v>0.1045</v>
      </c>
      <c r="N824" s="18">
        <v>42</v>
      </c>
      <c r="O824" s="18">
        <v>115</v>
      </c>
      <c r="P824">
        <v>157</v>
      </c>
      <c r="Q824" s="18" t="s">
        <v>47</v>
      </c>
      <c r="R824" s="18" t="s">
        <v>35</v>
      </c>
      <c r="S824" s="18" t="s">
        <v>36</v>
      </c>
      <c r="T824" s="18" t="s">
        <v>40</v>
      </c>
      <c r="U824" s="18">
        <v>2011</v>
      </c>
      <c r="V824" s="16">
        <f t="shared" si="24"/>
        <v>40587</v>
      </c>
      <c r="W824" s="18" t="str">
        <f t="shared" si="25"/>
        <v>Weedend</v>
      </c>
    </row>
    <row r="825" spans="1:23" x14ac:dyDescent="0.25">
      <c r="A825" s="19">
        <v>823</v>
      </c>
      <c r="B825" s="20">
        <v>40580</v>
      </c>
      <c r="C825" s="18">
        <v>1</v>
      </c>
      <c r="D825" s="18">
        <v>0</v>
      </c>
      <c r="E825" s="18">
        <v>2</v>
      </c>
      <c r="F825" s="18">
        <v>17</v>
      </c>
      <c r="G825" s="18" t="b">
        <v>0</v>
      </c>
      <c r="H825" s="18">
        <v>0</v>
      </c>
      <c r="I825" s="18">
        <v>1</v>
      </c>
      <c r="J825" s="18">
        <v>0.34</v>
      </c>
      <c r="K825">
        <v>0.36359999999999998</v>
      </c>
      <c r="L825">
        <v>0.46</v>
      </c>
      <c r="M825" s="18">
        <v>0</v>
      </c>
      <c r="N825" s="18">
        <v>24</v>
      </c>
      <c r="O825" s="18">
        <v>97</v>
      </c>
      <c r="P825">
        <v>121</v>
      </c>
      <c r="Q825" s="18" t="s">
        <v>47</v>
      </c>
      <c r="R825" s="18" t="s">
        <v>35</v>
      </c>
      <c r="S825" s="18" t="s">
        <v>36</v>
      </c>
      <c r="T825" s="18" t="s">
        <v>40</v>
      </c>
      <c r="U825" s="18">
        <v>2011</v>
      </c>
      <c r="V825" s="16">
        <f t="shared" si="24"/>
        <v>40587</v>
      </c>
      <c r="W825" s="18" t="str">
        <f t="shared" si="25"/>
        <v>Weedend</v>
      </c>
    </row>
    <row r="826" spans="1:23" x14ac:dyDescent="0.25">
      <c r="A826" s="19">
        <v>824</v>
      </c>
      <c r="B826" s="20">
        <v>40580</v>
      </c>
      <c r="C826" s="18">
        <v>1</v>
      </c>
      <c r="D826" s="18">
        <v>0</v>
      </c>
      <c r="E826" s="18">
        <v>2</v>
      </c>
      <c r="F826" s="18">
        <v>18</v>
      </c>
      <c r="G826" s="18" t="b">
        <v>0</v>
      </c>
      <c r="H826" s="18">
        <v>0</v>
      </c>
      <c r="I826" s="18">
        <v>1</v>
      </c>
      <c r="J826" s="18">
        <v>0.3</v>
      </c>
      <c r="K826">
        <v>0.30299999999999999</v>
      </c>
      <c r="L826">
        <v>0.56000000000000005</v>
      </c>
      <c r="M826" s="18">
        <v>0.16420000000000001</v>
      </c>
      <c r="N826" s="18">
        <v>13</v>
      </c>
      <c r="O826" s="18">
        <v>65</v>
      </c>
      <c r="P826">
        <v>78</v>
      </c>
      <c r="Q826" s="18" t="s">
        <v>47</v>
      </c>
      <c r="R826" s="18" t="s">
        <v>35</v>
      </c>
      <c r="S826" s="18" t="s">
        <v>36</v>
      </c>
      <c r="T826" s="18" t="s">
        <v>40</v>
      </c>
      <c r="U826" s="18">
        <v>2011</v>
      </c>
      <c r="V826" s="16">
        <f t="shared" si="24"/>
        <v>40587</v>
      </c>
      <c r="W826" s="18" t="str">
        <f t="shared" si="25"/>
        <v>Weedend</v>
      </c>
    </row>
    <row r="827" spans="1:23" x14ac:dyDescent="0.25">
      <c r="A827" s="19">
        <v>825</v>
      </c>
      <c r="B827" s="20">
        <v>40580</v>
      </c>
      <c r="C827" s="18">
        <v>1</v>
      </c>
      <c r="D827" s="18">
        <v>0</v>
      </c>
      <c r="E827" s="18">
        <v>2</v>
      </c>
      <c r="F827" s="18">
        <v>19</v>
      </c>
      <c r="G827" s="18" t="b">
        <v>0</v>
      </c>
      <c r="H827" s="18">
        <v>0</v>
      </c>
      <c r="I827" s="18">
        <v>1</v>
      </c>
      <c r="J827" s="18">
        <v>0.28000000000000003</v>
      </c>
      <c r="K827">
        <v>0.28789999999999999</v>
      </c>
      <c r="L827">
        <v>0.61</v>
      </c>
      <c r="M827" s="18">
        <v>0.1343</v>
      </c>
      <c r="N827" s="18">
        <v>1</v>
      </c>
      <c r="O827" s="18">
        <v>20</v>
      </c>
      <c r="P827">
        <v>21</v>
      </c>
      <c r="Q827" s="18" t="s">
        <v>47</v>
      </c>
      <c r="R827" s="18" t="s">
        <v>35</v>
      </c>
      <c r="S827" s="18" t="s">
        <v>36</v>
      </c>
      <c r="T827" s="18" t="s">
        <v>40</v>
      </c>
      <c r="U827" s="18">
        <v>2011</v>
      </c>
      <c r="V827" s="16">
        <f t="shared" si="24"/>
        <v>40587</v>
      </c>
      <c r="W827" s="18" t="str">
        <f t="shared" si="25"/>
        <v>Weedend</v>
      </c>
    </row>
    <row r="828" spans="1:23" x14ac:dyDescent="0.25">
      <c r="A828" s="19">
        <v>826</v>
      </c>
      <c r="B828" s="20">
        <v>40580</v>
      </c>
      <c r="C828" s="18">
        <v>1</v>
      </c>
      <c r="D828" s="18">
        <v>0</v>
      </c>
      <c r="E828" s="18">
        <v>2</v>
      </c>
      <c r="F828" s="18">
        <v>20</v>
      </c>
      <c r="G828" s="18" t="b">
        <v>0</v>
      </c>
      <c r="H828" s="18">
        <v>0</v>
      </c>
      <c r="I828" s="18">
        <v>1</v>
      </c>
      <c r="J828" s="18">
        <v>0.28000000000000003</v>
      </c>
      <c r="K828">
        <v>0.28789999999999999</v>
      </c>
      <c r="L828">
        <v>0.61</v>
      </c>
      <c r="M828" s="18">
        <v>0.1045</v>
      </c>
      <c r="N828" s="18">
        <v>5</v>
      </c>
      <c r="O828" s="18">
        <v>21</v>
      </c>
      <c r="P828">
        <v>26</v>
      </c>
      <c r="Q828" s="18" t="s">
        <v>47</v>
      </c>
      <c r="R828" s="18" t="s">
        <v>35</v>
      </c>
      <c r="S828" s="18" t="s">
        <v>36</v>
      </c>
      <c r="T828" s="18" t="s">
        <v>40</v>
      </c>
      <c r="U828" s="18">
        <v>2011</v>
      </c>
      <c r="V828" s="16">
        <f t="shared" si="24"/>
        <v>40587</v>
      </c>
      <c r="W828" s="18" t="str">
        <f t="shared" si="25"/>
        <v>Weedend</v>
      </c>
    </row>
    <row r="829" spans="1:23" x14ac:dyDescent="0.25">
      <c r="A829" s="19">
        <v>827</v>
      </c>
      <c r="B829" s="20">
        <v>40580</v>
      </c>
      <c r="C829" s="18">
        <v>1</v>
      </c>
      <c r="D829" s="18">
        <v>0</v>
      </c>
      <c r="E829" s="18">
        <v>2</v>
      </c>
      <c r="F829" s="18">
        <v>21</v>
      </c>
      <c r="G829" s="18" t="b">
        <v>0</v>
      </c>
      <c r="H829" s="18">
        <v>0</v>
      </c>
      <c r="I829" s="18">
        <v>1</v>
      </c>
      <c r="J829" s="18">
        <v>0.26</v>
      </c>
      <c r="K829">
        <v>0.30299999999999999</v>
      </c>
      <c r="L829">
        <v>0.6</v>
      </c>
      <c r="M829" s="18">
        <v>0</v>
      </c>
      <c r="N829" s="18">
        <v>5</v>
      </c>
      <c r="O829" s="18">
        <v>22</v>
      </c>
      <c r="P829">
        <v>27</v>
      </c>
      <c r="Q829" s="18" t="s">
        <v>47</v>
      </c>
      <c r="R829" s="18" t="s">
        <v>35</v>
      </c>
      <c r="S829" s="18" t="s">
        <v>36</v>
      </c>
      <c r="T829" s="18" t="s">
        <v>40</v>
      </c>
      <c r="U829" s="18">
        <v>2011</v>
      </c>
      <c r="V829" s="16">
        <f t="shared" si="24"/>
        <v>40587</v>
      </c>
      <c r="W829" s="18" t="str">
        <f t="shared" si="25"/>
        <v>Weedend</v>
      </c>
    </row>
    <row r="830" spans="1:23" x14ac:dyDescent="0.25">
      <c r="A830" s="19">
        <v>828</v>
      </c>
      <c r="B830" s="20">
        <v>40580</v>
      </c>
      <c r="C830" s="18">
        <v>1</v>
      </c>
      <c r="D830" s="18">
        <v>0</v>
      </c>
      <c r="E830" s="18">
        <v>2</v>
      </c>
      <c r="F830" s="18">
        <v>22</v>
      </c>
      <c r="G830" s="18" t="b">
        <v>0</v>
      </c>
      <c r="H830" s="18">
        <v>0</v>
      </c>
      <c r="I830" s="18">
        <v>1</v>
      </c>
      <c r="J830" s="18">
        <v>0.26</v>
      </c>
      <c r="K830">
        <v>0.30299999999999999</v>
      </c>
      <c r="L830">
        <v>0.6</v>
      </c>
      <c r="M830" s="18">
        <v>0</v>
      </c>
      <c r="N830" s="18">
        <v>5</v>
      </c>
      <c r="O830" s="18">
        <v>57</v>
      </c>
      <c r="P830">
        <v>62</v>
      </c>
      <c r="Q830" s="18" t="s">
        <v>47</v>
      </c>
      <c r="R830" s="18" t="s">
        <v>35</v>
      </c>
      <c r="S830" s="18" t="s">
        <v>36</v>
      </c>
      <c r="T830" s="18" t="s">
        <v>40</v>
      </c>
      <c r="U830" s="18">
        <v>2011</v>
      </c>
      <c r="V830" s="16">
        <f t="shared" si="24"/>
        <v>40587</v>
      </c>
      <c r="W830" s="18" t="str">
        <f t="shared" si="25"/>
        <v>Weedend</v>
      </c>
    </row>
    <row r="831" spans="1:23" x14ac:dyDescent="0.25">
      <c r="A831" s="19">
        <v>829</v>
      </c>
      <c r="B831" s="20">
        <v>40580</v>
      </c>
      <c r="C831" s="18">
        <v>1</v>
      </c>
      <c r="D831" s="18">
        <v>0</v>
      </c>
      <c r="E831" s="18">
        <v>2</v>
      </c>
      <c r="F831" s="18">
        <v>23</v>
      </c>
      <c r="G831" s="18" t="b">
        <v>0</v>
      </c>
      <c r="H831" s="18">
        <v>0</v>
      </c>
      <c r="I831" s="18">
        <v>1</v>
      </c>
      <c r="J831" s="18">
        <v>0.24</v>
      </c>
      <c r="K831">
        <v>0.28789999999999999</v>
      </c>
      <c r="L831">
        <v>0.65</v>
      </c>
      <c r="M831" s="18">
        <v>0</v>
      </c>
      <c r="N831" s="18">
        <v>4</v>
      </c>
      <c r="O831" s="18">
        <v>26</v>
      </c>
      <c r="P831">
        <v>30</v>
      </c>
      <c r="Q831" s="18" t="s">
        <v>47</v>
      </c>
      <c r="R831" s="18" t="s">
        <v>35</v>
      </c>
      <c r="S831" s="18" t="s">
        <v>36</v>
      </c>
      <c r="T831" s="18" t="s">
        <v>40</v>
      </c>
      <c r="U831" s="18">
        <v>2011</v>
      </c>
      <c r="V831" s="16">
        <f t="shared" si="24"/>
        <v>40587</v>
      </c>
      <c r="W831" s="18" t="str">
        <f t="shared" si="25"/>
        <v>Weedend</v>
      </c>
    </row>
    <row r="832" spans="1:23" x14ac:dyDescent="0.25">
      <c r="A832" s="19">
        <v>830</v>
      </c>
      <c r="B832" s="20">
        <v>40581</v>
      </c>
      <c r="C832" s="18">
        <v>1</v>
      </c>
      <c r="D832" s="18">
        <v>0</v>
      </c>
      <c r="E832" s="18">
        <v>2</v>
      </c>
      <c r="F832" s="18">
        <v>0</v>
      </c>
      <c r="G832" s="18" t="b">
        <v>0</v>
      </c>
      <c r="H832" s="18">
        <v>1</v>
      </c>
      <c r="I832" s="18">
        <v>1</v>
      </c>
      <c r="J832" s="18">
        <v>0.24</v>
      </c>
      <c r="K832">
        <v>0.28789999999999999</v>
      </c>
      <c r="L832">
        <v>0.65</v>
      </c>
      <c r="M832" s="18">
        <v>0</v>
      </c>
      <c r="N832" s="18">
        <v>1</v>
      </c>
      <c r="O832" s="18">
        <v>14</v>
      </c>
      <c r="P832">
        <v>15</v>
      </c>
      <c r="Q832" s="18" t="s">
        <v>47</v>
      </c>
      <c r="R832" s="18" t="s">
        <v>35</v>
      </c>
      <c r="S832" s="18" t="s">
        <v>36</v>
      </c>
      <c r="T832" s="18" t="s">
        <v>41</v>
      </c>
      <c r="U832" s="18">
        <v>2011</v>
      </c>
      <c r="V832" s="16">
        <f t="shared" si="24"/>
        <v>40587</v>
      </c>
      <c r="W832" s="18" t="str">
        <f t="shared" si="25"/>
        <v>Weekday</v>
      </c>
    </row>
    <row r="833" spans="1:23" x14ac:dyDescent="0.25">
      <c r="A833" s="19">
        <v>831</v>
      </c>
      <c r="B833" s="20">
        <v>40581</v>
      </c>
      <c r="C833" s="18">
        <v>1</v>
      </c>
      <c r="D833" s="18">
        <v>0</v>
      </c>
      <c r="E833" s="18">
        <v>2</v>
      </c>
      <c r="F833" s="18">
        <v>1</v>
      </c>
      <c r="G833" s="18" t="b">
        <v>0</v>
      </c>
      <c r="H833" s="18">
        <v>1</v>
      </c>
      <c r="I833" s="18">
        <v>1</v>
      </c>
      <c r="J833" s="18">
        <v>0.22</v>
      </c>
      <c r="K833">
        <v>0.2727</v>
      </c>
      <c r="L833">
        <v>0.75</v>
      </c>
      <c r="M833" s="18">
        <v>0</v>
      </c>
      <c r="N833" s="18">
        <v>1</v>
      </c>
      <c r="O833" s="18">
        <v>4</v>
      </c>
      <c r="P833">
        <v>5</v>
      </c>
      <c r="Q833" s="18" t="s">
        <v>47</v>
      </c>
      <c r="R833" s="18" t="s">
        <v>35</v>
      </c>
      <c r="S833" s="18" t="s">
        <v>36</v>
      </c>
      <c r="T833" s="18" t="s">
        <v>41</v>
      </c>
      <c r="U833" s="18">
        <v>2011</v>
      </c>
      <c r="V833" s="16">
        <f t="shared" si="24"/>
        <v>40587</v>
      </c>
      <c r="W833" s="18" t="str">
        <f t="shared" si="25"/>
        <v>Weekday</v>
      </c>
    </row>
    <row r="834" spans="1:23" x14ac:dyDescent="0.25">
      <c r="A834" s="19">
        <v>832</v>
      </c>
      <c r="B834" s="20">
        <v>40581</v>
      </c>
      <c r="C834" s="18">
        <v>1</v>
      </c>
      <c r="D834" s="18">
        <v>0</v>
      </c>
      <c r="E834" s="18">
        <v>2</v>
      </c>
      <c r="F834" s="18">
        <v>2</v>
      </c>
      <c r="G834" s="18" t="b">
        <v>0</v>
      </c>
      <c r="H834" s="18">
        <v>1</v>
      </c>
      <c r="I834" s="18">
        <v>1</v>
      </c>
      <c r="J834" s="18">
        <v>0.2</v>
      </c>
      <c r="K834">
        <v>0.2576</v>
      </c>
      <c r="L834">
        <v>0.8</v>
      </c>
      <c r="M834" s="18">
        <v>0</v>
      </c>
      <c r="N834" s="18">
        <v>0</v>
      </c>
      <c r="O834" s="18">
        <v>3</v>
      </c>
      <c r="P834">
        <v>3</v>
      </c>
      <c r="Q834" s="18" t="s">
        <v>47</v>
      </c>
      <c r="R834" s="18" t="s">
        <v>35</v>
      </c>
      <c r="S834" s="18" t="s">
        <v>36</v>
      </c>
      <c r="T834" s="18" t="s">
        <v>41</v>
      </c>
      <c r="U834" s="18">
        <v>2011</v>
      </c>
      <c r="V834" s="16">
        <f t="shared" si="24"/>
        <v>40587</v>
      </c>
      <c r="W834" s="18" t="str">
        <f t="shared" si="25"/>
        <v>Weekday</v>
      </c>
    </row>
    <row r="835" spans="1:23" x14ac:dyDescent="0.25">
      <c r="A835" s="19">
        <v>833</v>
      </c>
      <c r="B835" s="20">
        <v>40581</v>
      </c>
      <c r="C835" s="18">
        <v>1</v>
      </c>
      <c r="D835" s="18">
        <v>0</v>
      </c>
      <c r="E835" s="18">
        <v>2</v>
      </c>
      <c r="F835" s="18">
        <v>3</v>
      </c>
      <c r="G835" s="18" t="b">
        <v>0</v>
      </c>
      <c r="H835" s="18">
        <v>1</v>
      </c>
      <c r="I835" s="18">
        <v>1</v>
      </c>
      <c r="J835" s="18">
        <v>0.2</v>
      </c>
      <c r="K835">
        <v>0.2576</v>
      </c>
      <c r="L835">
        <v>0.86</v>
      </c>
      <c r="M835" s="18">
        <v>0</v>
      </c>
      <c r="N835" s="18">
        <v>0</v>
      </c>
      <c r="O835" s="18">
        <v>1</v>
      </c>
      <c r="P835">
        <v>1</v>
      </c>
      <c r="Q835" s="18" t="s">
        <v>47</v>
      </c>
      <c r="R835" s="18" t="s">
        <v>35</v>
      </c>
      <c r="S835" s="18" t="s">
        <v>36</v>
      </c>
      <c r="T835" s="18" t="s">
        <v>41</v>
      </c>
      <c r="U835" s="18">
        <v>2011</v>
      </c>
      <c r="V835" s="16">
        <f t="shared" ref="V835:V898" si="26">INDEX(B835:B1833,MATCH(MAX(K835:K1833),K835:K1833,0))</f>
        <v>40587</v>
      </c>
      <c r="W835" s="18" t="str">
        <f t="shared" ref="W835:W898" si="27">IF(G835=TRUE,"Holiday",IF(OR(H835=0,H835=6),"Weedend","Weekday"))</f>
        <v>Weekday</v>
      </c>
    </row>
    <row r="836" spans="1:23" x14ac:dyDescent="0.25">
      <c r="A836" s="19">
        <v>834</v>
      </c>
      <c r="B836" s="20">
        <v>40581</v>
      </c>
      <c r="C836" s="18">
        <v>1</v>
      </c>
      <c r="D836" s="18">
        <v>0</v>
      </c>
      <c r="E836" s="18">
        <v>2</v>
      </c>
      <c r="F836" s="18">
        <v>4</v>
      </c>
      <c r="G836" s="18" t="b">
        <v>0</v>
      </c>
      <c r="H836" s="18">
        <v>1</v>
      </c>
      <c r="I836" s="18">
        <v>1</v>
      </c>
      <c r="J836" s="18">
        <v>0.2</v>
      </c>
      <c r="K836">
        <v>0.2576</v>
      </c>
      <c r="L836">
        <v>0.86</v>
      </c>
      <c r="M836" s="18">
        <v>0</v>
      </c>
      <c r="N836" s="18">
        <v>1</v>
      </c>
      <c r="O836" s="18">
        <v>1</v>
      </c>
      <c r="P836">
        <v>2</v>
      </c>
      <c r="Q836" s="18" t="s">
        <v>47</v>
      </c>
      <c r="R836" s="18" t="s">
        <v>35</v>
      </c>
      <c r="S836" s="18" t="s">
        <v>36</v>
      </c>
      <c r="T836" s="18" t="s">
        <v>41</v>
      </c>
      <c r="U836" s="18">
        <v>2011</v>
      </c>
      <c r="V836" s="16">
        <f t="shared" si="26"/>
        <v>40587</v>
      </c>
      <c r="W836" s="18" t="str">
        <f t="shared" si="27"/>
        <v>Weekday</v>
      </c>
    </row>
    <row r="837" spans="1:23" x14ac:dyDescent="0.25">
      <c r="A837" s="19">
        <v>835</v>
      </c>
      <c r="B837" s="20">
        <v>40581</v>
      </c>
      <c r="C837" s="18">
        <v>1</v>
      </c>
      <c r="D837" s="18">
        <v>0</v>
      </c>
      <c r="E837" s="18">
        <v>2</v>
      </c>
      <c r="F837" s="18">
        <v>5</v>
      </c>
      <c r="G837" s="18" t="b">
        <v>0</v>
      </c>
      <c r="H837" s="18">
        <v>1</v>
      </c>
      <c r="I837" s="18">
        <v>1</v>
      </c>
      <c r="J837" s="18">
        <v>0.2</v>
      </c>
      <c r="K837">
        <v>0.2576</v>
      </c>
      <c r="L837">
        <v>0.86</v>
      </c>
      <c r="M837" s="18">
        <v>0</v>
      </c>
      <c r="N837" s="18">
        <v>1</v>
      </c>
      <c r="O837" s="18">
        <v>9</v>
      </c>
      <c r="P837">
        <v>10</v>
      </c>
      <c r="Q837" s="18" t="s">
        <v>47</v>
      </c>
      <c r="R837" s="18" t="s">
        <v>35</v>
      </c>
      <c r="S837" s="18" t="s">
        <v>36</v>
      </c>
      <c r="T837" s="18" t="s">
        <v>41</v>
      </c>
      <c r="U837" s="18">
        <v>2011</v>
      </c>
      <c r="V837" s="16">
        <f t="shared" si="26"/>
        <v>40587</v>
      </c>
      <c r="W837" s="18" t="str">
        <f t="shared" si="27"/>
        <v>Weekday</v>
      </c>
    </row>
    <row r="838" spans="1:23" x14ac:dyDescent="0.25">
      <c r="A838" s="19">
        <v>836</v>
      </c>
      <c r="B838" s="20">
        <v>40581</v>
      </c>
      <c r="C838" s="18">
        <v>1</v>
      </c>
      <c r="D838" s="18">
        <v>0</v>
      </c>
      <c r="E838" s="18">
        <v>2</v>
      </c>
      <c r="F838" s="18">
        <v>6</v>
      </c>
      <c r="G838" s="18" t="b">
        <v>0</v>
      </c>
      <c r="H838" s="18">
        <v>1</v>
      </c>
      <c r="I838" s="18">
        <v>1</v>
      </c>
      <c r="J838" s="18">
        <v>0.18</v>
      </c>
      <c r="K838">
        <v>0.2424</v>
      </c>
      <c r="L838">
        <v>0.93</v>
      </c>
      <c r="M838" s="18">
        <v>0</v>
      </c>
      <c r="N838" s="18">
        <v>1</v>
      </c>
      <c r="O838" s="18">
        <v>29</v>
      </c>
      <c r="P838">
        <v>30</v>
      </c>
      <c r="Q838" s="18" t="s">
        <v>47</v>
      </c>
      <c r="R838" s="18" t="s">
        <v>35</v>
      </c>
      <c r="S838" s="18" t="s">
        <v>36</v>
      </c>
      <c r="T838" s="18" t="s">
        <v>41</v>
      </c>
      <c r="U838" s="18">
        <v>2011</v>
      </c>
      <c r="V838" s="16">
        <f t="shared" si="26"/>
        <v>40587</v>
      </c>
      <c r="W838" s="18" t="str">
        <f t="shared" si="27"/>
        <v>Weekday</v>
      </c>
    </row>
    <row r="839" spans="1:23" x14ac:dyDescent="0.25">
      <c r="A839" s="19">
        <v>837</v>
      </c>
      <c r="B839" s="20">
        <v>40581</v>
      </c>
      <c r="C839" s="18">
        <v>1</v>
      </c>
      <c r="D839" s="18">
        <v>0</v>
      </c>
      <c r="E839" s="18">
        <v>2</v>
      </c>
      <c r="F839" s="18">
        <v>7</v>
      </c>
      <c r="G839" s="18" t="b">
        <v>0</v>
      </c>
      <c r="H839" s="18">
        <v>1</v>
      </c>
      <c r="I839" s="18">
        <v>1</v>
      </c>
      <c r="J839" s="18">
        <v>0.18</v>
      </c>
      <c r="K839">
        <v>0.2424</v>
      </c>
      <c r="L839">
        <v>0.86</v>
      </c>
      <c r="M839" s="18">
        <v>0</v>
      </c>
      <c r="N839" s="18">
        <v>6</v>
      </c>
      <c r="O839" s="18">
        <v>89</v>
      </c>
      <c r="P839">
        <v>95</v>
      </c>
      <c r="Q839" s="18" t="s">
        <v>47</v>
      </c>
      <c r="R839" s="18" t="s">
        <v>35</v>
      </c>
      <c r="S839" s="18" t="s">
        <v>36</v>
      </c>
      <c r="T839" s="18" t="s">
        <v>41</v>
      </c>
      <c r="U839" s="18">
        <v>2011</v>
      </c>
      <c r="V839" s="16">
        <f t="shared" si="26"/>
        <v>40587</v>
      </c>
      <c r="W839" s="18" t="str">
        <f t="shared" si="27"/>
        <v>Weekday</v>
      </c>
    </row>
    <row r="840" spans="1:23" x14ac:dyDescent="0.25">
      <c r="A840" s="19">
        <v>838</v>
      </c>
      <c r="B840" s="20">
        <v>40581</v>
      </c>
      <c r="C840" s="18">
        <v>1</v>
      </c>
      <c r="D840" s="18">
        <v>0</v>
      </c>
      <c r="E840" s="18">
        <v>2</v>
      </c>
      <c r="F840" s="18">
        <v>8</v>
      </c>
      <c r="G840" s="18" t="b">
        <v>0</v>
      </c>
      <c r="H840" s="18">
        <v>1</v>
      </c>
      <c r="I840" s="18">
        <v>2</v>
      </c>
      <c r="J840" s="18">
        <v>0.16</v>
      </c>
      <c r="K840">
        <v>0.2273</v>
      </c>
      <c r="L840">
        <v>1</v>
      </c>
      <c r="M840" s="18">
        <v>0</v>
      </c>
      <c r="N840" s="18">
        <v>7</v>
      </c>
      <c r="O840" s="18">
        <v>223</v>
      </c>
      <c r="P840">
        <v>230</v>
      </c>
      <c r="Q840" s="18" t="s">
        <v>47</v>
      </c>
      <c r="R840" s="18" t="s">
        <v>35</v>
      </c>
      <c r="S840" s="18" t="s">
        <v>38</v>
      </c>
      <c r="T840" s="18" t="s">
        <v>41</v>
      </c>
      <c r="U840" s="18">
        <v>2011</v>
      </c>
      <c r="V840" s="16">
        <f t="shared" si="26"/>
        <v>40587</v>
      </c>
      <c r="W840" s="18" t="str">
        <f t="shared" si="27"/>
        <v>Weekday</v>
      </c>
    </row>
    <row r="841" spans="1:23" x14ac:dyDescent="0.25">
      <c r="A841" s="19">
        <v>839</v>
      </c>
      <c r="B841" s="20">
        <v>40581</v>
      </c>
      <c r="C841" s="18">
        <v>1</v>
      </c>
      <c r="D841" s="18">
        <v>0</v>
      </c>
      <c r="E841" s="18">
        <v>2</v>
      </c>
      <c r="F841" s="18">
        <v>9</v>
      </c>
      <c r="G841" s="18" t="b">
        <v>0</v>
      </c>
      <c r="H841" s="18">
        <v>1</v>
      </c>
      <c r="I841" s="18">
        <v>1</v>
      </c>
      <c r="J841" s="18">
        <v>0.22</v>
      </c>
      <c r="K841">
        <v>0.2727</v>
      </c>
      <c r="L841">
        <v>0.8</v>
      </c>
      <c r="M841" s="18">
        <v>0</v>
      </c>
      <c r="N841" s="18">
        <v>3</v>
      </c>
      <c r="O841" s="18">
        <v>115</v>
      </c>
      <c r="P841">
        <v>118</v>
      </c>
      <c r="Q841" s="18" t="s">
        <v>47</v>
      </c>
      <c r="R841" s="18" t="s">
        <v>35</v>
      </c>
      <c r="S841" s="18" t="s">
        <v>36</v>
      </c>
      <c r="T841" s="18" t="s">
        <v>41</v>
      </c>
      <c r="U841" s="18">
        <v>2011</v>
      </c>
      <c r="V841" s="16">
        <f t="shared" si="26"/>
        <v>40587</v>
      </c>
      <c r="W841" s="18" t="str">
        <f t="shared" si="27"/>
        <v>Weekday</v>
      </c>
    </row>
    <row r="842" spans="1:23" x14ac:dyDescent="0.25">
      <c r="A842" s="19">
        <v>840</v>
      </c>
      <c r="B842" s="20">
        <v>40581</v>
      </c>
      <c r="C842" s="18">
        <v>1</v>
      </c>
      <c r="D842" s="18">
        <v>0</v>
      </c>
      <c r="E842" s="18">
        <v>2</v>
      </c>
      <c r="F842" s="18">
        <v>10</v>
      </c>
      <c r="G842" s="18" t="b">
        <v>0</v>
      </c>
      <c r="H842" s="18">
        <v>1</v>
      </c>
      <c r="I842" s="18">
        <v>1</v>
      </c>
      <c r="J842" s="18">
        <v>0.24</v>
      </c>
      <c r="K842">
        <v>0.2576</v>
      </c>
      <c r="L842">
        <v>0.75</v>
      </c>
      <c r="M842" s="18">
        <v>0.1045</v>
      </c>
      <c r="N842" s="18">
        <v>6</v>
      </c>
      <c r="O842" s="18">
        <v>49</v>
      </c>
      <c r="P842">
        <v>55</v>
      </c>
      <c r="Q842" s="18" t="s">
        <v>47</v>
      </c>
      <c r="R842" s="18" t="s">
        <v>35</v>
      </c>
      <c r="S842" s="18" t="s">
        <v>36</v>
      </c>
      <c r="T842" s="18" t="s">
        <v>41</v>
      </c>
      <c r="U842" s="18">
        <v>2011</v>
      </c>
      <c r="V842" s="16">
        <f t="shared" si="26"/>
        <v>40587</v>
      </c>
      <c r="W842" s="18" t="str">
        <f t="shared" si="27"/>
        <v>Weekday</v>
      </c>
    </row>
    <row r="843" spans="1:23" x14ac:dyDescent="0.25">
      <c r="A843" s="19">
        <v>841</v>
      </c>
      <c r="B843" s="20">
        <v>40581</v>
      </c>
      <c r="C843" s="18">
        <v>1</v>
      </c>
      <c r="D843" s="18">
        <v>0</v>
      </c>
      <c r="E843" s="18">
        <v>2</v>
      </c>
      <c r="F843" s="18">
        <v>11</v>
      </c>
      <c r="G843" s="18" t="b">
        <v>0</v>
      </c>
      <c r="H843" s="18">
        <v>1</v>
      </c>
      <c r="I843" s="18">
        <v>1</v>
      </c>
      <c r="J843" s="18">
        <v>0.3</v>
      </c>
      <c r="K843">
        <v>0.31819999999999998</v>
      </c>
      <c r="L843">
        <v>0.65</v>
      </c>
      <c r="M843" s="18">
        <v>8.9599999999999999E-2</v>
      </c>
      <c r="N843" s="18">
        <v>11</v>
      </c>
      <c r="O843" s="18">
        <v>36</v>
      </c>
      <c r="P843">
        <v>47</v>
      </c>
      <c r="Q843" s="18" t="s">
        <v>47</v>
      </c>
      <c r="R843" s="18" t="s">
        <v>35</v>
      </c>
      <c r="S843" s="18" t="s">
        <v>36</v>
      </c>
      <c r="T843" s="18" t="s">
        <v>41</v>
      </c>
      <c r="U843" s="18">
        <v>2011</v>
      </c>
      <c r="V843" s="16">
        <f t="shared" si="26"/>
        <v>40587</v>
      </c>
      <c r="W843" s="18" t="str">
        <f t="shared" si="27"/>
        <v>Weekday</v>
      </c>
    </row>
    <row r="844" spans="1:23" x14ac:dyDescent="0.25">
      <c r="A844" s="19">
        <v>842</v>
      </c>
      <c r="B844" s="20">
        <v>40581</v>
      </c>
      <c r="C844" s="18">
        <v>1</v>
      </c>
      <c r="D844" s="18">
        <v>0</v>
      </c>
      <c r="E844" s="18">
        <v>2</v>
      </c>
      <c r="F844" s="18">
        <v>12</v>
      </c>
      <c r="G844" s="18" t="b">
        <v>0</v>
      </c>
      <c r="H844" s="18">
        <v>1</v>
      </c>
      <c r="I844" s="18">
        <v>2</v>
      </c>
      <c r="J844" s="18">
        <v>0.32</v>
      </c>
      <c r="K844">
        <v>0.34849999999999998</v>
      </c>
      <c r="L844">
        <v>0.62</v>
      </c>
      <c r="M844" s="18">
        <v>0</v>
      </c>
      <c r="N844" s="18">
        <v>7</v>
      </c>
      <c r="O844" s="18">
        <v>59</v>
      </c>
      <c r="P844">
        <v>66</v>
      </c>
      <c r="Q844" s="18" t="s">
        <v>47</v>
      </c>
      <c r="R844" s="18" t="s">
        <v>35</v>
      </c>
      <c r="S844" s="18" t="s">
        <v>38</v>
      </c>
      <c r="T844" s="18" t="s">
        <v>41</v>
      </c>
      <c r="U844" s="18">
        <v>2011</v>
      </c>
      <c r="V844" s="16">
        <f t="shared" si="26"/>
        <v>40587</v>
      </c>
      <c r="W844" s="18" t="str">
        <f t="shared" si="27"/>
        <v>Weekday</v>
      </c>
    </row>
    <row r="845" spans="1:23" x14ac:dyDescent="0.25">
      <c r="A845" s="19">
        <v>843</v>
      </c>
      <c r="B845" s="20">
        <v>40581</v>
      </c>
      <c r="C845" s="18">
        <v>1</v>
      </c>
      <c r="D845" s="18">
        <v>0</v>
      </c>
      <c r="E845" s="18">
        <v>2</v>
      </c>
      <c r="F845" s="18">
        <v>13</v>
      </c>
      <c r="G845" s="18" t="b">
        <v>0</v>
      </c>
      <c r="H845" s="18">
        <v>1</v>
      </c>
      <c r="I845" s="18">
        <v>2</v>
      </c>
      <c r="J845" s="18">
        <v>0.36</v>
      </c>
      <c r="K845">
        <v>0.36359999999999998</v>
      </c>
      <c r="L845">
        <v>0.56999999999999995</v>
      </c>
      <c r="M845" s="18">
        <v>8.9599999999999999E-2</v>
      </c>
      <c r="N845" s="18">
        <v>10</v>
      </c>
      <c r="O845" s="18">
        <v>54</v>
      </c>
      <c r="P845">
        <v>64</v>
      </c>
      <c r="Q845" s="18" t="s">
        <v>47</v>
      </c>
      <c r="R845" s="18" t="s">
        <v>35</v>
      </c>
      <c r="S845" s="18" t="s">
        <v>38</v>
      </c>
      <c r="T845" s="18" t="s">
        <v>41</v>
      </c>
      <c r="U845" s="18">
        <v>2011</v>
      </c>
      <c r="V845" s="16">
        <f t="shared" si="26"/>
        <v>40587</v>
      </c>
      <c r="W845" s="18" t="str">
        <f t="shared" si="27"/>
        <v>Weekday</v>
      </c>
    </row>
    <row r="846" spans="1:23" x14ac:dyDescent="0.25">
      <c r="A846" s="19">
        <v>844</v>
      </c>
      <c r="B846" s="20">
        <v>40581</v>
      </c>
      <c r="C846" s="18">
        <v>1</v>
      </c>
      <c r="D846" s="18">
        <v>0</v>
      </c>
      <c r="E846" s="18">
        <v>2</v>
      </c>
      <c r="F846" s="18">
        <v>14</v>
      </c>
      <c r="G846" s="18" t="b">
        <v>0</v>
      </c>
      <c r="H846" s="18">
        <v>1</v>
      </c>
      <c r="I846" s="18">
        <v>2</v>
      </c>
      <c r="J846" s="18">
        <v>0.36</v>
      </c>
      <c r="K846">
        <v>0.36359999999999998</v>
      </c>
      <c r="L846">
        <v>0.56999999999999995</v>
      </c>
      <c r="M846" s="18">
        <v>8.9599999999999999E-2</v>
      </c>
      <c r="N846" s="18">
        <v>8</v>
      </c>
      <c r="O846" s="18">
        <v>52</v>
      </c>
      <c r="P846">
        <v>60</v>
      </c>
      <c r="Q846" s="18" t="s">
        <v>47</v>
      </c>
      <c r="R846" s="18" t="s">
        <v>35</v>
      </c>
      <c r="S846" s="18" t="s">
        <v>38</v>
      </c>
      <c r="T846" s="18" t="s">
        <v>41</v>
      </c>
      <c r="U846" s="18">
        <v>2011</v>
      </c>
      <c r="V846" s="16">
        <f t="shared" si="26"/>
        <v>40587</v>
      </c>
      <c r="W846" s="18" t="str">
        <f t="shared" si="27"/>
        <v>Weekday</v>
      </c>
    </row>
    <row r="847" spans="1:23" x14ac:dyDescent="0.25">
      <c r="A847" s="19">
        <v>845</v>
      </c>
      <c r="B847" s="20">
        <v>40581</v>
      </c>
      <c r="C847" s="18">
        <v>1</v>
      </c>
      <c r="D847" s="18">
        <v>0</v>
      </c>
      <c r="E847" s="18">
        <v>2</v>
      </c>
      <c r="F847" s="18">
        <v>15</v>
      </c>
      <c r="G847" s="18" t="b">
        <v>0</v>
      </c>
      <c r="H847" s="18">
        <v>1</v>
      </c>
      <c r="I847" s="18">
        <v>2</v>
      </c>
      <c r="J847" s="18">
        <v>0.38</v>
      </c>
      <c r="K847">
        <v>0.39389999999999997</v>
      </c>
      <c r="L847">
        <v>0.54</v>
      </c>
      <c r="M847" s="18">
        <v>8.9599999999999999E-2</v>
      </c>
      <c r="N847" s="18">
        <v>4</v>
      </c>
      <c r="O847" s="18">
        <v>46</v>
      </c>
      <c r="P847">
        <v>50</v>
      </c>
      <c r="Q847" s="18" t="s">
        <v>47</v>
      </c>
      <c r="R847" s="18" t="s">
        <v>35</v>
      </c>
      <c r="S847" s="18" t="s">
        <v>38</v>
      </c>
      <c r="T847" s="18" t="s">
        <v>41</v>
      </c>
      <c r="U847" s="18">
        <v>2011</v>
      </c>
      <c r="V847" s="16">
        <f t="shared" si="26"/>
        <v>40587</v>
      </c>
      <c r="W847" s="18" t="str">
        <f t="shared" si="27"/>
        <v>Weekday</v>
      </c>
    </row>
    <row r="848" spans="1:23" x14ac:dyDescent="0.25">
      <c r="A848" s="19">
        <v>846</v>
      </c>
      <c r="B848" s="20">
        <v>40581</v>
      </c>
      <c r="C848" s="18">
        <v>1</v>
      </c>
      <c r="D848" s="18">
        <v>0</v>
      </c>
      <c r="E848" s="18">
        <v>2</v>
      </c>
      <c r="F848" s="18">
        <v>16</v>
      </c>
      <c r="G848" s="18" t="b">
        <v>0</v>
      </c>
      <c r="H848" s="18">
        <v>1</v>
      </c>
      <c r="I848" s="18">
        <v>2</v>
      </c>
      <c r="J848" s="18">
        <v>0.36</v>
      </c>
      <c r="K848">
        <v>0.34849999999999998</v>
      </c>
      <c r="L848">
        <v>0.56999999999999995</v>
      </c>
      <c r="M848" s="18">
        <v>0.1343</v>
      </c>
      <c r="N848" s="18">
        <v>16</v>
      </c>
      <c r="O848" s="18">
        <v>98</v>
      </c>
      <c r="P848">
        <v>114</v>
      </c>
      <c r="Q848" s="18" t="s">
        <v>47</v>
      </c>
      <c r="R848" s="18" t="s">
        <v>35</v>
      </c>
      <c r="S848" s="18" t="s">
        <v>38</v>
      </c>
      <c r="T848" s="18" t="s">
        <v>41</v>
      </c>
      <c r="U848" s="18">
        <v>2011</v>
      </c>
      <c r="V848" s="16">
        <f t="shared" si="26"/>
        <v>40587</v>
      </c>
      <c r="W848" s="18" t="str">
        <f t="shared" si="27"/>
        <v>Weekday</v>
      </c>
    </row>
    <row r="849" spans="1:23" x14ac:dyDescent="0.25">
      <c r="A849" s="19">
        <v>847</v>
      </c>
      <c r="B849" s="20">
        <v>40581</v>
      </c>
      <c r="C849" s="18">
        <v>1</v>
      </c>
      <c r="D849" s="18">
        <v>0</v>
      </c>
      <c r="E849" s="18">
        <v>2</v>
      </c>
      <c r="F849" s="18">
        <v>17</v>
      </c>
      <c r="G849" s="18" t="b">
        <v>0</v>
      </c>
      <c r="H849" s="18">
        <v>1</v>
      </c>
      <c r="I849" s="18">
        <v>2</v>
      </c>
      <c r="J849" s="18">
        <v>0.32</v>
      </c>
      <c r="K849">
        <v>0.31819999999999998</v>
      </c>
      <c r="L849">
        <v>0.7</v>
      </c>
      <c r="M849" s="18">
        <v>0.16420000000000001</v>
      </c>
      <c r="N849" s="18">
        <v>9</v>
      </c>
      <c r="O849" s="18">
        <v>207</v>
      </c>
      <c r="P849">
        <v>216</v>
      </c>
      <c r="Q849" s="18" t="s">
        <v>47</v>
      </c>
      <c r="R849" s="18" t="s">
        <v>35</v>
      </c>
      <c r="S849" s="18" t="s">
        <v>38</v>
      </c>
      <c r="T849" s="18" t="s">
        <v>41</v>
      </c>
      <c r="U849" s="18">
        <v>2011</v>
      </c>
      <c r="V849" s="16">
        <f t="shared" si="26"/>
        <v>40587</v>
      </c>
      <c r="W849" s="18" t="str">
        <f t="shared" si="27"/>
        <v>Weekday</v>
      </c>
    </row>
    <row r="850" spans="1:23" x14ac:dyDescent="0.25">
      <c r="A850" s="19">
        <v>848</v>
      </c>
      <c r="B850" s="20">
        <v>40581</v>
      </c>
      <c r="C850" s="18">
        <v>1</v>
      </c>
      <c r="D850" s="18">
        <v>0</v>
      </c>
      <c r="E850" s="18">
        <v>2</v>
      </c>
      <c r="F850" s="18">
        <v>18</v>
      </c>
      <c r="G850" s="18" t="b">
        <v>0</v>
      </c>
      <c r="H850" s="18">
        <v>1</v>
      </c>
      <c r="I850" s="18">
        <v>2</v>
      </c>
      <c r="J850" s="18">
        <v>0.34</v>
      </c>
      <c r="K850">
        <v>0.33329999999999999</v>
      </c>
      <c r="L850">
        <v>0.66</v>
      </c>
      <c r="M850" s="18">
        <v>0.1343</v>
      </c>
      <c r="N850" s="18">
        <v>5</v>
      </c>
      <c r="O850" s="18">
        <v>170</v>
      </c>
      <c r="P850">
        <v>175</v>
      </c>
      <c r="Q850" s="18" t="s">
        <v>47</v>
      </c>
      <c r="R850" s="18" t="s">
        <v>35</v>
      </c>
      <c r="S850" s="18" t="s">
        <v>38</v>
      </c>
      <c r="T850" s="18" t="s">
        <v>41</v>
      </c>
      <c r="U850" s="18">
        <v>2011</v>
      </c>
      <c r="V850" s="16">
        <f t="shared" si="26"/>
        <v>40587</v>
      </c>
      <c r="W850" s="18" t="str">
        <f t="shared" si="27"/>
        <v>Weekday</v>
      </c>
    </row>
    <row r="851" spans="1:23" x14ac:dyDescent="0.25">
      <c r="A851" s="19">
        <v>849</v>
      </c>
      <c r="B851" s="20">
        <v>40581</v>
      </c>
      <c r="C851" s="18">
        <v>1</v>
      </c>
      <c r="D851" s="18">
        <v>0</v>
      </c>
      <c r="E851" s="18">
        <v>2</v>
      </c>
      <c r="F851" s="18">
        <v>19</v>
      </c>
      <c r="G851" s="18" t="b">
        <v>0</v>
      </c>
      <c r="H851" s="18">
        <v>1</v>
      </c>
      <c r="I851" s="18">
        <v>2</v>
      </c>
      <c r="J851" s="18">
        <v>0.32</v>
      </c>
      <c r="K851">
        <v>0.34849999999999998</v>
      </c>
      <c r="L851">
        <v>0.7</v>
      </c>
      <c r="M851" s="18">
        <v>0</v>
      </c>
      <c r="N851" s="18">
        <v>5</v>
      </c>
      <c r="O851" s="18">
        <v>123</v>
      </c>
      <c r="P851">
        <v>128</v>
      </c>
      <c r="Q851" s="18" t="s">
        <v>47</v>
      </c>
      <c r="R851" s="18" t="s">
        <v>35</v>
      </c>
      <c r="S851" s="18" t="s">
        <v>38</v>
      </c>
      <c r="T851" s="18" t="s">
        <v>41</v>
      </c>
      <c r="U851" s="18">
        <v>2011</v>
      </c>
      <c r="V851" s="16">
        <f t="shared" si="26"/>
        <v>40587</v>
      </c>
      <c r="W851" s="18" t="str">
        <f t="shared" si="27"/>
        <v>Weekday</v>
      </c>
    </row>
    <row r="852" spans="1:23" x14ac:dyDescent="0.25">
      <c r="A852" s="19">
        <v>850</v>
      </c>
      <c r="B852" s="20">
        <v>40581</v>
      </c>
      <c r="C852" s="18">
        <v>1</v>
      </c>
      <c r="D852" s="18">
        <v>0</v>
      </c>
      <c r="E852" s="18">
        <v>2</v>
      </c>
      <c r="F852" s="18">
        <v>20</v>
      </c>
      <c r="G852" s="18" t="b">
        <v>0</v>
      </c>
      <c r="H852" s="18">
        <v>1</v>
      </c>
      <c r="I852" s="18">
        <v>2</v>
      </c>
      <c r="J852" s="18">
        <v>0.32</v>
      </c>
      <c r="K852">
        <v>0.33329999999999999</v>
      </c>
      <c r="L852">
        <v>0.7</v>
      </c>
      <c r="M852" s="18">
        <v>0.1045</v>
      </c>
      <c r="N852" s="18">
        <v>6</v>
      </c>
      <c r="O852" s="18">
        <v>82</v>
      </c>
      <c r="P852">
        <v>88</v>
      </c>
      <c r="Q852" s="18" t="s">
        <v>47</v>
      </c>
      <c r="R852" s="18" t="s">
        <v>35</v>
      </c>
      <c r="S852" s="18" t="s">
        <v>38</v>
      </c>
      <c r="T852" s="18" t="s">
        <v>41</v>
      </c>
      <c r="U852" s="18">
        <v>2011</v>
      </c>
      <c r="V852" s="16">
        <f t="shared" si="26"/>
        <v>40587</v>
      </c>
      <c r="W852" s="18" t="str">
        <f t="shared" si="27"/>
        <v>Weekday</v>
      </c>
    </row>
    <row r="853" spans="1:23" x14ac:dyDescent="0.25">
      <c r="A853" s="19">
        <v>851</v>
      </c>
      <c r="B853" s="20">
        <v>40581</v>
      </c>
      <c r="C853" s="18">
        <v>1</v>
      </c>
      <c r="D853" s="18">
        <v>0</v>
      </c>
      <c r="E853" s="18">
        <v>2</v>
      </c>
      <c r="F853" s="18">
        <v>21</v>
      </c>
      <c r="G853" s="18" t="b">
        <v>0</v>
      </c>
      <c r="H853" s="18">
        <v>1</v>
      </c>
      <c r="I853" s="18">
        <v>1</v>
      </c>
      <c r="J853" s="18">
        <v>0.32</v>
      </c>
      <c r="K853">
        <v>0.34849999999999998</v>
      </c>
      <c r="L853">
        <v>0.7</v>
      </c>
      <c r="M853" s="18">
        <v>0</v>
      </c>
      <c r="N853" s="18">
        <v>3</v>
      </c>
      <c r="O853" s="18">
        <v>75</v>
      </c>
      <c r="P853">
        <v>78</v>
      </c>
      <c r="Q853" s="18" t="s">
        <v>47</v>
      </c>
      <c r="R853" s="18" t="s">
        <v>35</v>
      </c>
      <c r="S853" s="18" t="s">
        <v>36</v>
      </c>
      <c r="T853" s="18" t="s">
        <v>41</v>
      </c>
      <c r="U853" s="18">
        <v>2011</v>
      </c>
      <c r="V853" s="16">
        <f t="shared" si="26"/>
        <v>40587</v>
      </c>
      <c r="W853" s="18" t="str">
        <f t="shared" si="27"/>
        <v>Weekday</v>
      </c>
    </row>
    <row r="854" spans="1:23" x14ac:dyDescent="0.25">
      <c r="A854" s="19">
        <v>852</v>
      </c>
      <c r="B854" s="20">
        <v>40581</v>
      </c>
      <c r="C854" s="18">
        <v>1</v>
      </c>
      <c r="D854" s="18">
        <v>0</v>
      </c>
      <c r="E854" s="18">
        <v>2</v>
      </c>
      <c r="F854" s="18">
        <v>22</v>
      </c>
      <c r="G854" s="18" t="b">
        <v>0</v>
      </c>
      <c r="H854" s="18">
        <v>1</v>
      </c>
      <c r="I854" s="18">
        <v>1</v>
      </c>
      <c r="J854" s="18">
        <v>0.28000000000000003</v>
      </c>
      <c r="K854">
        <v>0.30299999999999999</v>
      </c>
      <c r="L854">
        <v>0.81</v>
      </c>
      <c r="M854" s="18">
        <v>8.9599999999999999E-2</v>
      </c>
      <c r="N854" s="18">
        <v>3</v>
      </c>
      <c r="O854" s="18">
        <v>34</v>
      </c>
      <c r="P854">
        <v>37</v>
      </c>
      <c r="Q854" s="18" t="s">
        <v>47</v>
      </c>
      <c r="R854" s="18" t="s">
        <v>35</v>
      </c>
      <c r="S854" s="18" t="s">
        <v>36</v>
      </c>
      <c r="T854" s="18" t="s">
        <v>41</v>
      </c>
      <c r="U854" s="18">
        <v>2011</v>
      </c>
      <c r="V854" s="16">
        <f t="shared" si="26"/>
        <v>40587</v>
      </c>
      <c r="W854" s="18" t="str">
        <f t="shared" si="27"/>
        <v>Weekday</v>
      </c>
    </row>
    <row r="855" spans="1:23" x14ac:dyDescent="0.25">
      <c r="A855" s="19">
        <v>853</v>
      </c>
      <c r="B855" s="20">
        <v>40581</v>
      </c>
      <c r="C855" s="18">
        <v>1</v>
      </c>
      <c r="D855" s="18">
        <v>0</v>
      </c>
      <c r="E855" s="18">
        <v>2</v>
      </c>
      <c r="F855" s="18">
        <v>23</v>
      </c>
      <c r="G855" s="18" t="b">
        <v>0</v>
      </c>
      <c r="H855" s="18">
        <v>1</v>
      </c>
      <c r="I855" s="18">
        <v>2</v>
      </c>
      <c r="J855" s="18">
        <v>0.3</v>
      </c>
      <c r="K855">
        <v>0.33329999999999999</v>
      </c>
      <c r="L855">
        <v>0.81</v>
      </c>
      <c r="M855" s="18">
        <v>0</v>
      </c>
      <c r="N855" s="18">
        <v>6</v>
      </c>
      <c r="O855" s="18">
        <v>19</v>
      </c>
      <c r="P855">
        <v>25</v>
      </c>
      <c r="Q855" s="18" t="s">
        <v>47</v>
      </c>
      <c r="R855" s="18" t="s">
        <v>35</v>
      </c>
      <c r="S855" s="18" t="s">
        <v>38</v>
      </c>
      <c r="T855" s="18" t="s">
        <v>41</v>
      </c>
      <c r="U855" s="18">
        <v>2011</v>
      </c>
      <c r="V855" s="16">
        <f t="shared" si="26"/>
        <v>40587</v>
      </c>
      <c r="W855" s="18" t="str">
        <f t="shared" si="27"/>
        <v>Weekday</v>
      </c>
    </row>
    <row r="856" spans="1:23" x14ac:dyDescent="0.25">
      <c r="A856" s="19">
        <v>854</v>
      </c>
      <c r="B856" s="20">
        <v>40582</v>
      </c>
      <c r="C856" s="18">
        <v>1</v>
      </c>
      <c r="D856" s="18">
        <v>0</v>
      </c>
      <c r="E856" s="18">
        <v>2</v>
      </c>
      <c r="F856" s="18">
        <v>0</v>
      </c>
      <c r="G856" s="18" t="b">
        <v>0</v>
      </c>
      <c r="H856" s="18">
        <v>2</v>
      </c>
      <c r="I856" s="18">
        <v>2</v>
      </c>
      <c r="J856" s="18">
        <v>0.28000000000000003</v>
      </c>
      <c r="K856">
        <v>0.31819999999999998</v>
      </c>
      <c r="L856">
        <v>0.87</v>
      </c>
      <c r="M856" s="18">
        <v>0</v>
      </c>
      <c r="N856" s="18">
        <v>4</v>
      </c>
      <c r="O856" s="18">
        <v>6</v>
      </c>
      <c r="P856">
        <v>10</v>
      </c>
      <c r="Q856" s="18" t="s">
        <v>47</v>
      </c>
      <c r="R856" s="18" t="s">
        <v>35</v>
      </c>
      <c r="S856" s="18" t="s">
        <v>38</v>
      </c>
      <c r="T856" s="18" t="s">
        <v>42</v>
      </c>
      <c r="U856" s="18">
        <v>2011</v>
      </c>
      <c r="V856" s="16">
        <f t="shared" si="26"/>
        <v>40587</v>
      </c>
      <c r="W856" s="18" t="str">
        <f t="shared" si="27"/>
        <v>Weekday</v>
      </c>
    </row>
    <row r="857" spans="1:23" x14ac:dyDescent="0.25">
      <c r="A857" s="19">
        <v>855</v>
      </c>
      <c r="B857" s="20">
        <v>40582</v>
      </c>
      <c r="C857" s="18">
        <v>1</v>
      </c>
      <c r="D857" s="18">
        <v>0</v>
      </c>
      <c r="E857" s="18">
        <v>2</v>
      </c>
      <c r="F857" s="18">
        <v>1</v>
      </c>
      <c r="G857" s="18" t="b">
        <v>0</v>
      </c>
      <c r="H857" s="18">
        <v>2</v>
      </c>
      <c r="I857" s="18">
        <v>2</v>
      </c>
      <c r="J857" s="18">
        <v>0.28000000000000003</v>
      </c>
      <c r="K857">
        <v>0.31819999999999998</v>
      </c>
      <c r="L857">
        <v>0.87</v>
      </c>
      <c r="M857" s="18">
        <v>0</v>
      </c>
      <c r="N857" s="18">
        <v>0</v>
      </c>
      <c r="O857" s="18">
        <v>4</v>
      </c>
      <c r="P857">
        <v>4</v>
      </c>
      <c r="Q857" s="18" t="s">
        <v>47</v>
      </c>
      <c r="R857" s="18" t="s">
        <v>35</v>
      </c>
      <c r="S857" s="18" t="s">
        <v>38</v>
      </c>
      <c r="T857" s="18" t="s">
        <v>42</v>
      </c>
      <c r="U857" s="18">
        <v>2011</v>
      </c>
      <c r="V857" s="16">
        <f t="shared" si="26"/>
        <v>40587</v>
      </c>
      <c r="W857" s="18" t="str">
        <f t="shared" si="27"/>
        <v>Weekday</v>
      </c>
    </row>
    <row r="858" spans="1:23" x14ac:dyDescent="0.25">
      <c r="A858" s="19">
        <v>856</v>
      </c>
      <c r="B858" s="20">
        <v>40582</v>
      </c>
      <c r="C858" s="18">
        <v>1</v>
      </c>
      <c r="D858" s="18">
        <v>0</v>
      </c>
      <c r="E858" s="18">
        <v>2</v>
      </c>
      <c r="F858" s="18">
        <v>2</v>
      </c>
      <c r="G858" s="18" t="b">
        <v>0</v>
      </c>
      <c r="H858" s="18">
        <v>2</v>
      </c>
      <c r="I858" s="18">
        <v>2</v>
      </c>
      <c r="J858" s="18">
        <v>0.26</v>
      </c>
      <c r="K858">
        <v>0.2727</v>
      </c>
      <c r="L858">
        <v>0.93</v>
      </c>
      <c r="M858" s="18">
        <v>0.1045</v>
      </c>
      <c r="N858" s="18">
        <v>1</v>
      </c>
      <c r="O858" s="18">
        <v>1</v>
      </c>
      <c r="P858">
        <v>2</v>
      </c>
      <c r="Q858" s="18" t="s">
        <v>47</v>
      </c>
      <c r="R858" s="18" t="s">
        <v>35</v>
      </c>
      <c r="S858" s="18" t="s">
        <v>38</v>
      </c>
      <c r="T858" s="18" t="s">
        <v>42</v>
      </c>
      <c r="U858" s="18">
        <v>2011</v>
      </c>
      <c r="V858" s="16">
        <f t="shared" si="26"/>
        <v>40587</v>
      </c>
      <c r="W858" s="18" t="str">
        <f t="shared" si="27"/>
        <v>Weekday</v>
      </c>
    </row>
    <row r="859" spans="1:23" x14ac:dyDescent="0.25">
      <c r="A859" s="19">
        <v>857</v>
      </c>
      <c r="B859" s="20">
        <v>40582</v>
      </c>
      <c r="C859" s="18">
        <v>1</v>
      </c>
      <c r="D859" s="18">
        <v>0</v>
      </c>
      <c r="E859" s="18">
        <v>2</v>
      </c>
      <c r="F859" s="18">
        <v>3</v>
      </c>
      <c r="G859" s="18" t="b">
        <v>0</v>
      </c>
      <c r="H859" s="18">
        <v>2</v>
      </c>
      <c r="I859" s="18">
        <v>3</v>
      </c>
      <c r="J859" s="18">
        <v>0.28000000000000003</v>
      </c>
      <c r="K859">
        <v>0.2727</v>
      </c>
      <c r="L859">
        <v>0.93</v>
      </c>
      <c r="M859" s="18">
        <v>0.16420000000000001</v>
      </c>
      <c r="N859" s="18">
        <v>0</v>
      </c>
      <c r="O859" s="18">
        <v>1</v>
      </c>
      <c r="P859">
        <v>1</v>
      </c>
      <c r="Q859" s="18" t="s">
        <v>47</v>
      </c>
      <c r="R859" s="18" t="s">
        <v>35</v>
      </c>
      <c r="S859" s="18" t="s">
        <v>39</v>
      </c>
      <c r="T859" s="18" t="s">
        <v>42</v>
      </c>
      <c r="U859" s="18">
        <v>2011</v>
      </c>
      <c r="V859" s="16">
        <f t="shared" si="26"/>
        <v>40587</v>
      </c>
      <c r="W859" s="18" t="str">
        <f t="shared" si="27"/>
        <v>Weekday</v>
      </c>
    </row>
    <row r="860" spans="1:23" x14ac:dyDescent="0.25">
      <c r="A860" s="19">
        <v>858</v>
      </c>
      <c r="B860" s="20">
        <v>40582</v>
      </c>
      <c r="C860" s="18">
        <v>1</v>
      </c>
      <c r="D860" s="18">
        <v>0</v>
      </c>
      <c r="E860" s="18">
        <v>2</v>
      </c>
      <c r="F860" s="18">
        <v>4</v>
      </c>
      <c r="G860" s="18" t="b">
        <v>0</v>
      </c>
      <c r="H860" s="18">
        <v>2</v>
      </c>
      <c r="I860" s="18">
        <v>1</v>
      </c>
      <c r="J860" s="18">
        <v>0.26</v>
      </c>
      <c r="K860">
        <v>0.2576</v>
      </c>
      <c r="L860">
        <v>0.93</v>
      </c>
      <c r="M860" s="18">
        <v>0.16420000000000001</v>
      </c>
      <c r="N860" s="18">
        <v>0</v>
      </c>
      <c r="O860" s="18">
        <v>3</v>
      </c>
      <c r="P860">
        <v>3</v>
      </c>
      <c r="Q860" s="18" t="s">
        <v>47</v>
      </c>
      <c r="R860" s="18" t="s">
        <v>35</v>
      </c>
      <c r="S860" s="18" t="s">
        <v>36</v>
      </c>
      <c r="T860" s="18" t="s">
        <v>42</v>
      </c>
      <c r="U860" s="18">
        <v>2011</v>
      </c>
      <c r="V860" s="16">
        <f t="shared" si="26"/>
        <v>40587</v>
      </c>
      <c r="W860" s="18" t="str">
        <f t="shared" si="27"/>
        <v>Weekday</v>
      </c>
    </row>
    <row r="861" spans="1:23" x14ac:dyDescent="0.25">
      <c r="A861" s="19">
        <v>859</v>
      </c>
      <c r="B861" s="20">
        <v>40582</v>
      </c>
      <c r="C861" s="18">
        <v>1</v>
      </c>
      <c r="D861" s="18">
        <v>0</v>
      </c>
      <c r="E861" s="18">
        <v>2</v>
      </c>
      <c r="F861" s="18">
        <v>5</v>
      </c>
      <c r="G861" s="18" t="b">
        <v>0</v>
      </c>
      <c r="H861" s="18">
        <v>2</v>
      </c>
      <c r="I861" s="18">
        <v>1</v>
      </c>
      <c r="J861" s="18">
        <v>0.26</v>
      </c>
      <c r="K861">
        <v>0.2273</v>
      </c>
      <c r="L861">
        <v>0.81</v>
      </c>
      <c r="M861" s="18">
        <v>0.32840000000000003</v>
      </c>
      <c r="N861" s="18">
        <v>0</v>
      </c>
      <c r="O861" s="18">
        <v>2</v>
      </c>
      <c r="P861">
        <v>2</v>
      </c>
      <c r="Q861" s="18" t="s">
        <v>47</v>
      </c>
      <c r="R861" s="18" t="s">
        <v>35</v>
      </c>
      <c r="S861" s="18" t="s">
        <v>36</v>
      </c>
      <c r="T861" s="18" t="s">
        <v>42</v>
      </c>
      <c r="U861" s="18">
        <v>2011</v>
      </c>
      <c r="V861" s="16">
        <f t="shared" si="26"/>
        <v>40587</v>
      </c>
      <c r="W861" s="18" t="str">
        <f t="shared" si="27"/>
        <v>Weekday</v>
      </c>
    </row>
    <row r="862" spans="1:23" x14ac:dyDescent="0.25">
      <c r="A862" s="19">
        <v>860</v>
      </c>
      <c r="B862" s="20">
        <v>40582</v>
      </c>
      <c r="C862" s="18">
        <v>1</v>
      </c>
      <c r="D862" s="18">
        <v>0</v>
      </c>
      <c r="E862" s="18">
        <v>2</v>
      </c>
      <c r="F862" s="18">
        <v>6</v>
      </c>
      <c r="G862" s="18" t="b">
        <v>0</v>
      </c>
      <c r="H862" s="18">
        <v>2</v>
      </c>
      <c r="I862" s="18">
        <v>1</v>
      </c>
      <c r="J862" s="18">
        <v>0.26</v>
      </c>
      <c r="K862">
        <v>0.2273</v>
      </c>
      <c r="L862">
        <v>0.7</v>
      </c>
      <c r="M862" s="18">
        <v>0.32840000000000003</v>
      </c>
      <c r="N862" s="18">
        <v>0</v>
      </c>
      <c r="O862" s="18">
        <v>39</v>
      </c>
      <c r="P862">
        <v>39</v>
      </c>
      <c r="Q862" s="18" t="s">
        <v>47</v>
      </c>
      <c r="R862" s="18" t="s">
        <v>35</v>
      </c>
      <c r="S862" s="18" t="s">
        <v>36</v>
      </c>
      <c r="T862" s="18" t="s">
        <v>42</v>
      </c>
      <c r="U862" s="18">
        <v>2011</v>
      </c>
      <c r="V862" s="16">
        <f t="shared" si="26"/>
        <v>40587</v>
      </c>
      <c r="W862" s="18" t="str">
        <f t="shared" si="27"/>
        <v>Weekday</v>
      </c>
    </row>
    <row r="863" spans="1:23" x14ac:dyDescent="0.25">
      <c r="A863" s="19">
        <v>861</v>
      </c>
      <c r="B863" s="20">
        <v>40582</v>
      </c>
      <c r="C863" s="18">
        <v>1</v>
      </c>
      <c r="D863" s="18">
        <v>0</v>
      </c>
      <c r="E863" s="18">
        <v>2</v>
      </c>
      <c r="F863" s="18">
        <v>7</v>
      </c>
      <c r="G863" s="18" t="b">
        <v>0</v>
      </c>
      <c r="H863" s="18">
        <v>2</v>
      </c>
      <c r="I863" s="18">
        <v>1</v>
      </c>
      <c r="J863" s="18">
        <v>0.24</v>
      </c>
      <c r="K863">
        <v>0.19700000000000001</v>
      </c>
      <c r="L863">
        <v>0.65</v>
      </c>
      <c r="M863" s="18">
        <v>0.41789999999999999</v>
      </c>
      <c r="N863" s="18">
        <v>3</v>
      </c>
      <c r="O863" s="18">
        <v>97</v>
      </c>
      <c r="P863">
        <v>100</v>
      </c>
      <c r="Q863" s="18" t="s">
        <v>47</v>
      </c>
      <c r="R863" s="18" t="s">
        <v>35</v>
      </c>
      <c r="S863" s="18" t="s">
        <v>36</v>
      </c>
      <c r="T863" s="18" t="s">
        <v>42</v>
      </c>
      <c r="U863" s="18">
        <v>2011</v>
      </c>
      <c r="V863" s="16">
        <f t="shared" si="26"/>
        <v>40587</v>
      </c>
      <c r="W863" s="18" t="str">
        <f t="shared" si="27"/>
        <v>Weekday</v>
      </c>
    </row>
    <row r="864" spans="1:23" x14ac:dyDescent="0.25">
      <c r="A864" s="19">
        <v>862</v>
      </c>
      <c r="B864" s="20">
        <v>40582</v>
      </c>
      <c r="C864" s="18">
        <v>1</v>
      </c>
      <c r="D864" s="18">
        <v>0</v>
      </c>
      <c r="E864" s="18">
        <v>2</v>
      </c>
      <c r="F864" s="18">
        <v>8</v>
      </c>
      <c r="G864" s="18" t="b">
        <v>0</v>
      </c>
      <c r="H864" s="18">
        <v>2</v>
      </c>
      <c r="I864" s="18">
        <v>1</v>
      </c>
      <c r="J864" s="18">
        <v>0.24</v>
      </c>
      <c r="K864">
        <v>0.19700000000000001</v>
      </c>
      <c r="L864">
        <v>0.56000000000000005</v>
      </c>
      <c r="M864" s="18">
        <v>0.49249999999999999</v>
      </c>
      <c r="N864" s="18">
        <v>7</v>
      </c>
      <c r="O864" s="18">
        <v>236</v>
      </c>
      <c r="P864">
        <v>243</v>
      </c>
      <c r="Q864" s="18" t="s">
        <v>47</v>
      </c>
      <c r="R864" s="18" t="s">
        <v>35</v>
      </c>
      <c r="S864" s="18" t="s">
        <v>36</v>
      </c>
      <c r="T864" s="18" t="s">
        <v>42</v>
      </c>
      <c r="U864" s="18">
        <v>2011</v>
      </c>
      <c r="V864" s="16">
        <f t="shared" si="26"/>
        <v>40587</v>
      </c>
      <c r="W864" s="18" t="str">
        <f t="shared" si="27"/>
        <v>Weekday</v>
      </c>
    </row>
    <row r="865" spans="1:23" x14ac:dyDescent="0.25">
      <c r="A865" s="19">
        <v>863</v>
      </c>
      <c r="B865" s="20">
        <v>40582</v>
      </c>
      <c r="C865" s="18">
        <v>1</v>
      </c>
      <c r="D865" s="18">
        <v>0</v>
      </c>
      <c r="E865" s="18">
        <v>2</v>
      </c>
      <c r="F865" s="18">
        <v>9</v>
      </c>
      <c r="G865" s="18" t="b">
        <v>0</v>
      </c>
      <c r="H865" s="18">
        <v>2</v>
      </c>
      <c r="I865" s="18">
        <v>1</v>
      </c>
      <c r="J865" s="18">
        <v>0.24</v>
      </c>
      <c r="K865">
        <v>0.19700000000000001</v>
      </c>
      <c r="L865">
        <v>0.52</v>
      </c>
      <c r="M865" s="18">
        <v>0.49249999999999999</v>
      </c>
      <c r="N865" s="18">
        <v>7</v>
      </c>
      <c r="O865" s="18">
        <v>128</v>
      </c>
      <c r="P865">
        <v>135</v>
      </c>
      <c r="Q865" s="18" t="s">
        <v>47</v>
      </c>
      <c r="R865" s="18" t="s">
        <v>35</v>
      </c>
      <c r="S865" s="18" t="s">
        <v>36</v>
      </c>
      <c r="T865" s="18" t="s">
        <v>42</v>
      </c>
      <c r="U865" s="18">
        <v>2011</v>
      </c>
      <c r="V865" s="16">
        <f t="shared" si="26"/>
        <v>40587</v>
      </c>
      <c r="W865" s="18" t="str">
        <f t="shared" si="27"/>
        <v>Weekday</v>
      </c>
    </row>
    <row r="866" spans="1:23" x14ac:dyDescent="0.25">
      <c r="A866" s="19">
        <v>864</v>
      </c>
      <c r="B866" s="20">
        <v>40582</v>
      </c>
      <c r="C866" s="18">
        <v>1</v>
      </c>
      <c r="D866" s="18">
        <v>0</v>
      </c>
      <c r="E866" s="18">
        <v>2</v>
      </c>
      <c r="F866" s="18">
        <v>10</v>
      </c>
      <c r="G866" s="18" t="b">
        <v>0</v>
      </c>
      <c r="H866" s="18">
        <v>2</v>
      </c>
      <c r="I866" s="18">
        <v>1</v>
      </c>
      <c r="J866" s="18">
        <v>0.22</v>
      </c>
      <c r="K866">
        <v>0.18179999999999999</v>
      </c>
      <c r="L866">
        <v>0.47</v>
      </c>
      <c r="M866" s="18">
        <v>0.55220000000000002</v>
      </c>
      <c r="N866" s="18">
        <v>4</v>
      </c>
      <c r="O866" s="18">
        <v>44</v>
      </c>
      <c r="P866">
        <v>48</v>
      </c>
      <c r="Q866" s="18" t="s">
        <v>47</v>
      </c>
      <c r="R866" s="18" t="s">
        <v>35</v>
      </c>
      <c r="S866" s="18" t="s">
        <v>36</v>
      </c>
      <c r="T866" s="18" t="s">
        <v>42</v>
      </c>
      <c r="U866" s="18">
        <v>2011</v>
      </c>
      <c r="V866" s="16">
        <f t="shared" si="26"/>
        <v>40587</v>
      </c>
      <c r="W866" s="18" t="str">
        <f t="shared" si="27"/>
        <v>Weekday</v>
      </c>
    </row>
    <row r="867" spans="1:23" x14ac:dyDescent="0.25">
      <c r="A867" s="19">
        <v>865</v>
      </c>
      <c r="B867" s="20">
        <v>40582</v>
      </c>
      <c r="C867" s="18">
        <v>1</v>
      </c>
      <c r="D867" s="18">
        <v>0</v>
      </c>
      <c r="E867" s="18">
        <v>2</v>
      </c>
      <c r="F867" s="18">
        <v>11</v>
      </c>
      <c r="G867" s="18" t="b">
        <v>0</v>
      </c>
      <c r="H867" s="18">
        <v>2</v>
      </c>
      <c r="I867" s="18">
        <v>1</v>
      </c>
      <c r="J867" s="18">
        <v>0.22</v>
      </c>
      <c r="K867">
        <v>0.18179999999999999</v>
      </c>
      <c r="L867">
        <v>0.47</v>
      </c>
      <c r="M867" s="18">
        <v>0.4627</v>
      </c>
      <c r="N867" s="18">
        <v>1</v>
      </c>
      <c r="O867" s="18">
        <v>49</v>
      </c>
      <c r="P867">
        <v>50</v>
      </c>
      <c r="Q867" s="18" t="s">
        <v>47</v>
      </c>
      <c r="R867" s="18" t="s">
        <v>35</v>
      </c>
      <c r="S867" s="18" t="s">
        <v>36</v>
      </c>
      <c r="T867" s="18" t="s">
        <v>42</v>
      </c>
      <c r="U867" s="18">
        <v>2011</v>
      </c>
      <c r="V867" s="16">
        <f t="shared" si="26"/>
        <v>40587</v>
      </c>
      <c r="W867" s="18" t="str">
        <f t="shared" si="27"/>
        <v>Weekday</v>
      </c>
    </row>
    <row r="868" spans="1:23" x14ac:dyDescent="0.25">
      <c r="A868" s="19">
        <v>866</v>
      </c>
      <c r="B868" s="20">
        <v>40582</v>
      </c>
      <c r="C868" s="18">
        <v>1</v>
      </c>
      <c r="D868" s="18">
        <v>0</v>
      </c>
      <c r="E868" s="18">
        <v>2</v>
      </c>
      <c r="F868" s="18">
        <v>12</v>
      </c>
      <c r="G868" s="18" t="b">
        <v>0</v>
      </c>
      <c r="H868" s="18">
        <v>2</v>
      </c>
      <c r="I868" s="18">
        <v>1</v>
      </c>
      <c r="J868" s="18">
        <v>0.24</v>
      </c>
      <c r="K868">
        <v>0.19700000000000001</v>
      </c>
      <c r="L868">
        <v>0.38</v>
      </c>
      <c r="M868" s="18">
        <v>0.49249999999999999</v>
      </c>
      <c r="N868" s="18">
        <v>2</v>
      </c>
      <c r="O868" s="18">
        <v>63</v>
      </c>
      <c r="P868">
        <v>65</v>
      </c>
      <c r="Q868" s="18" t="s">
        <v>47</v>
      </c>
      <c r="R868" s="18" t="s">
        <v>35</v>
      </c>
      <c r="S868" s="18" t="s">
        <v>36</v>
      </c>
      <c r="T868" s="18" t="s">
        <v>42</v>
      </c>
      <c r="U868" s="18">
        <v>2011</v>
      </c>
      <c r="V868" s="16">
        <f t="shared" si="26"/>
        <v>40587</v>
      </c>
      <c r="W868" s="18" t="str">
        <f t="shared" si="27"/>
        <v>Weekday</v>
      </c>
    </row>
    <row r="869" spans="1:23" x14ac:dyDescent="0.25">
      <c r="A869" s="19">
        <v>867</v>
      </c>
      <c r="B869" s="20">
        <v>40582</v>
      </c>
      <c r="C869" s="18">
        <v>1</v>
      </c>
      <c r="D869" s="18">
        <v>0</v>
      </c>
      <c r="E869" s="18">
        <v>2</v>
      </c>
      <c r="F869" s="18">
        <v>13</v>
      </c>
      <c r="G869" s="18" t="b">
        <v>0</v>
      </c>
      <c r="H869" s="18">
        <v>2</v>
      </c>
      <c r="I869" s="18">
        <v>2</v>
      </c>
      <c r="J869" s="18">
        <v>0.24</v>
      </c>
      <c r="K869">
        <v>0.19700000000000001</v>
      </c>
      <c r="L869">
        <v>0.32</v>
      </c>
      <c r="M869" s="18">
        <v>0.44779999999999998</v>
      </c>
      <c r="N869" s="18">
        <v>2</v>
      </c>
      <c r="O869" s="18">
        <v>48</v>
      </c>
      <c r="P869">
        <v>50</v>
      </c>
      <c r="Q869" s="18" t="s">
        <v>47</v>
      </c>
      <c r="R869" s="18" t="s">
        <v>35</v>
      </c>
      <c r="S869" s="18" t="s">
        <v>38</v>
      </c>
      <c r="T869" s="18" t="s">
        <v>42</v>
      </c>
      <c r="U869" s="18">
        <v>2011</v>
      </c>
      <c r="V869" s="16">
        <f t="shared" si="26"/>
        <v>40587</v>
      </c>
      <c r="W869" s="18" t="str">
        <f t="shared" si="27"/>
        <v>Weekday</v>
      </c>
    </row>
    <row r="870" spans="1:23" x14ac:dyDescent="0.25">
      <c r="A870" s="19">
        <v>868</v>
      </c>
      <c r="B870" s="20">
        <v>40582</v>
      </c>
      <c r="C870" s="18">
        <v>1</v>
      </c>
      <c r="D870" s="18">
        <v>0</v>
      </c>
      <c r="E870" s="18">
        <v>2</v>
      </c>
      <c r="F870" s="18">
        <v>14</v>
      </c>
      <c r="G870" s="18" t="b">
        <v>0</v>
      </c>
      <c r="H870" s="18">
        <v>2</v>
      </c>
      <c r="I870" s="18">
        <v>1</v>
      </c>
      <c r="J870" s="18">
        <v>0.22</v>
      </c>
      <c r="K870">
        <v>0.19700000000000001</v>
      </c>
      <c r="L870">
        <v>0.37</v>
      </c>
      <c r="M870" s="18">
        <v>0.41789999999999999</v>
      </c>
      <c r="N870" s="18">
        <v>3</v>
      </c>
      <c r="O870" s="18">
        <v>61</v>
      </c>
      <c r="P870">
        <v>64</v>
      </c>
      <c r="Q870" s="18" t="s">
        <v>47</v>
      </c>
      <c r="R870" s="18" t="s">
        <v>35</v>
      </c>
      <c r="S870" s="18" t="s">
        <v>36</v>
      </c>
      <c r="T870" s="18" t="s">
        <v>42</v>
      </c>
      <c r="U870" s="18">
        <v>2011</v>
      </c>
      <c r="V870" s="16">
        <f t="shared" si="26"/>
        <v>40587</v>
      </c>
      <c r="W870" s="18" t="str">
        <f t="shared" si="27"/>
        <v>Weekday</v>
      </c>
    </row>
    <row r="871" spans="1:23" x14ac:dyDescent="0.25">
      <c r="A871" s="19">
        <v>869</v>
      </c>
      <c r="B871" s="20">
        <v>40582</v>
      </c>
      <c r="C871" s="18">
        <v>1</v>
      </c>
      <c r="D871" s="18">
        <v>0</v>
      </c>
      <c r="E871" s="18">
        <v>2</v>
      </c>
      <c r="F871" s="18">
        <v>15</v>
      </c>
      <c r="G871" s="18" t="b">
        <v>0</v>
      </c>
      <c r="H871" s="18">
        <v>2</v>
      </c>
      <c r="I871" s="18">
        <v>1</v>
      </c>
      <c r="J871" s="18">
        <v>0.22</v>
      </c>
      <c r="K871">
        <v>0.19700000000000001</v>
      </c>
      <c r="L871">
        <v>0.35</v>
      </c>
      <c r="M871" s="18">
        <v>0.3881</v>
      </c>
      <c r="N871" s="18">
        <v>6</v>
      </c>
      <c r="O871" s="18">
        <v>45</v>
      </c>
      <c r="P871">
        <v>51</v>
      </c>
      <c r="Q871" s="18" t="s">
        <v>47</v>
      </c>
      <c r="R871" s="18" t="s">
        <v>35</v>
      </c>
      <c r="S871" s="18" t="s">
        <v>36</v>
      </c>
      <c r="T871" s="18" t="s">
        <v>42</v>
      </c>
      <c r="U871" s="18">
        <v>2011</v>
      </c>
      <c r="V871" s="16">
        <f t="shared" si="26"/>
        <v>40587</v>
      </c>
      <c r="W871" s="18" t="str">
        <f t="shared" si="27"/>
        <v>Weekday</v>
      </c>
    </row>
    <row r="872" spans="1:23" x14ac:dyDescent="0.25">
      <c r="A872" s="19">
        <v>870</v>
      </c>
      <c r="B872" s="20">
        <v>40582</v>
      </c>
      <c r="C872" s="18">
        <v>1</v>
      </c>
      <c r="D872" s="18">
        <v>0</v>
      </c>
      <c r="E872" s="18">
        <v>2</v>
      </c>
      <c r="F872" s="18">
        <v>16</v>
      </c>
      <c r="G872" s="18" t="b">
        <v>0</v>
      </c>
      <c r="H872" s="18">
        <v>2</v>
      </c>
      <c r="I872" s="18">
        <v>1</v>
      </c>
      <c r="J872" s="18">
        <v>0.22</v>
      </c>
      <c r="K872">
        <v>0.18179999999999999</v>
      </c>
      <c r="L872">
        <v>0.35</v>
      </c>
      <c r="M872" s="18">
        <v>0.52239999999999998</v>
      </c>
      <c r="N872" s="18">
        <v>4</v>
      </c>
      <c r="O872" s="18">
        <v>79</v>
      </c>
      <c r="P872">
        <v>83</v>
      </c>
      <c r="Q872" s="18" t="s">
        <v>47</v>
      </c>
      <c r="R872" s="18" t="s">
        <v>35</v>
      </c>
      <c r="S872" s="18" t="s">
        <v>36</v>
      </c>
      <c r="T872" s="18" t="s">
        <v>42</v>
      </c>
      <c r="U872" s="18">
        <v>2011</v>
      </c>
      <c r="V872" s="16">
        <f t="shared" si="26"/>
        <v>40587</v>
      </c>
      <c r="W872" s="18" t="str">
        <f t="shared" si="27"/>
        <v>Weekday</v>
      </c>
    </row>
    <row r="873" spans="1:23" x14ac:dyDescent="0.25">
      <c r="A873" s="19">
        <v>871</v>
      </c>
      <c r="B873" s="20">
        <v>40582</v>
      </c>
      <c r="C873" s="18">
        <v>1</v>
      </c>
      <c r="D873" s="18">
        <v>0</v>
      </c>
      <c r="E873" s="18">
        <v>2</v>
      </c>
      <c r="F873" s="18">
        <v>17</v>
      </c>
      <c r="G873" s="18" t="b">
        <v>0</v>
      </c>
      <c r="H873" s="18">
        <v>2</v>
      </c>
      <c r="I873" s="18">
        <v>1</v>
      </c>
      <c r="J873" s="18">
        <v>0.22</v>
      </c>
      <c r="K873">
        <v>0.18179999999999999</v>
      </c>
      <c r="L873">
        <v>0.32</v>
      </c>
      <c r="M873" s="18">
        <v>0.58209999999999995</v>
      </c>
      <c r="N873" s="18">
        <v>4</v>
      </c>
      <c r="O873" s="18">
        <v>172</v>
      </c>
      <c r="P873">
        <v>176</v>
      </c>
      <c r="Q873" s="18" t="s">
        <v>47</v>
      </c>
      <c r="R873" s="18" t="s">
        <v>35</v>
      </c>
      <c r="S873" s="18" t="s">
        <v>36</v>
      </c>
      <c r="T873" s="18" t="s">
        <v>42</v>
      </c>
      <c r="U873" s="18">
        <v>2011</v>
      </c>
      <c r="V873" s="16">
        <f t="shared" si="26"/>
        <v>40587</v>
      </c>
      <c r="W873" s="18" t="str">
        <f t="shared" si="27"/>
        <v>Weekday</v>
      </c>
    </row>
    <row r="874" spans="1:23" x14ac:dyDescent="0.25">
      <c r="A874" s="19">
        <v>872</v>
      </c>
      <c r="B874" s="20">
        <v>40582</v>
      </c>
      <c r="C874" s="18">
        <v>1</v>
      </c>
      <c r="D874" s="18">
        <v>0</v>
      </c>
      <c r="E874" s="18">
        <v>2</v>
      </c>
      <c r="F874" s="18">
        <v>18</v>
      </c>
      <c r="G874" s="18" t="b">
        <v>0</v>
      </c>
      <c r="H874" s="18">
        <v>2</v>
      </c>
      <c r="I874" s="18">
        <v>1</v>
      </c>
      <c r="J874" s="18">
        <v>0.2</v>
      </c>
      <c r="K874">
        <v>0.18179999999999999</v>
      </c>
      <c r="L874">
        <v>0.32</v>
      </c>
      <c r="M874" s="18">
        <v>0.3881</v>
      </c>
      <c r="N874" s="18">
        <v>1</v>
      </c>
      <c r="O874" s="18">
        <v>151</v>
      </c>
      <c r="P874">
        <v>152</v>
      </c>
      <c r="Q874" s="18" t="s">
        <v>47</v>
      </c>
      <c r="R874" s="18" t="s">
        <v>35</v>
      </c>
      <c r="S874" s="18" t="s">
        <v>36</v>
      </c>
      <c r="T874" s="18" t="s">
        <v>42</v>
      </c>
      <c r="U874" s="18">
        <v>2011</v>
      </c>
      <c r="V874" s="16">
        <f t="shared" si="26"/>
        <v>40587</v>
      </c>
      <c r="W874" s="18" t="str">
        <f t="shared" si="27"/>
        <v>Weekday</v>
      </c>
    </row>
    <row r="875" spans="1:23" x14ac:dyDescent="0.25">
      <c r="A875" s="19">
        <v>873</v>
      </c>
      <c r="B875" s="20">
        <v>40582</v>
      </c>
      <c r="C875" s="18">
        <v>1</v>
      </c>
      <c r="D875" s="18">
        <v>0</v>
      </c>
      <c r="E875" s="18">
        <v>2</v>
      </c>
      <c r="F875" s="18">
        <v>19</v>
      </c>
      <c r="G875" s="18" t="b">
        <v>0</v>
      </c>
      <c r="H875" s="18">
        <v>2</v>
      </c>
      <c r="I875" s="18">
        <v>1</v>
      </c>
      <c r="J875" s="18">
        <v>0.16</v>
      </c>
      <c r="K875">
        <v>0.1212</v>
      </c>
      <c r="L875">
        <v>0.4</v>
      </c>
      <c r="M875" s="18">
        <v>0.4627</v>
      </c>
      <c r="N875" s="18">
        <v>1</v>
      </c>
      <c r="O875" s="18">
        <v>100</v>
      </c>
      <c r="P875">
        <v>101</v>
      </c>
      <c r="Q875" s="18" t="s">
        <v>47</v>
      </c>
      <c r="R875" s="18" t="s">
        <v>35</v>
      </c>
      <c r="S875" s="18" t="s">
        <v>36</v>
      </c>
      <c r="T875" s="18" t="s">
        <v>42</v>
      </c>
      <c r="U875" s="18">
        <v>2011</v>
      </c>
      <c r="V875" s="16">
        <f t="shared" si="26"/>
        <v>40587</v>
      </c>
      <c r="W875" s="18" t="str">
        <f t="shared" si="27"/>
        <v>Weekday</v>
      </c>
    </row>
    <row r="876" spans="1:23" x14ac:dyDescent="0.25">
      <c r="A876" s="19">
        <v>874</v>
      </c>
      <c r="B876" s="20">
        <v>40582</v>
      </c>
      <c r="C876" s="18">
        <v>1</v>
      </c>
      <c r="D876" s="18">
        <v>0</v>
      </c>
      <c r="E876" s="18">
        <v>2</v>
      </c>
      <c r="F876" s="18">
        <v>20</v>
      </c>
      <c r="G876" s="18" t="b">
        <v>0</v>
      </c>
      <c r="H876" s="18">
        <v>2</v>
      </c>
      <c r="I876" s="18">
        <v>1</v>
      </c>
      <c r="J876" s="18">
        <v>0.16</v>
      </c>
      <c r="K876">
        <v>0.13639999999999999</v>
      </c>
      <c r="L876">
        <v>0.4</v>
      </c>
      <c r="M876" s="18">
        <v>0.32840000000000003</v>
      </c>
      <c r="N876" s="18">
        <v>3</v>
      </c>
      <c r="O876" s="18">
        <v>53</v>
      </c>
      <c r="P876">
        <v>56</v>
      </c>
      <c r="Q876" s="18" t="s">
        <v>47</v>
      </c>
      <c r="R876" s="18" t="s">
        <v>35</v>
      </c>
      <c r="S876" s="18" t="s">
        <v>36</v>
      </c>
      <c r="T876" s="18" t="s">
        <v>42</v>
      </c>
      <c r="U876" s="18">
        <v>2011</v>
      </c>
      <c r="V876" s="16">
        <f t="shared" si="26"/>
        <v>40587</v>
      </c>
      <c r="W876" s="18" t="str">
        <f t="shared" si="27"/>
        <v>Weekday</v>
      </c>
    </row>
    <row r="877" spans="1:23" x14ac:dyDescent="0.25">
      <c r="A877" s="19">
        <v>875</v>
      </c>
      <c r="B877" s="20">
        <v>40582</v>
      </c>
      <c r="C877" s="18">
        <v>1</v>
      </c>
      <c r="D877" s="18">
        <v>0</v>
      </c>
      <c r="E877" s="18">
        <v>2</v>
      </c>
      <c r="F877" s="18">
        <v>21</v>
      </c>
      <c r="G877" s="18" t="b">
        <v>0</v>
      </c>
      <c r="H877" s="18">
        <v>2</v>
      </c>
      <c r="I877" s="18">
        <v>1</v>
      </c>
      <c r="J877" s="18">
        <v>0.14000000000000001</v>
      </c>
      <c r="K877">
        <v>0.1061</v>
      </c>
      <c r="L877">
        <v>0.33</v>
      </c>
      <c r="M877" s="18">
        <v>0.4627</v>
      </c>
      <c r="N877" s="18">
        <v>8</v>
      </c>
      <c r="O877" s="18">
        <v>46</v>
      </c>
      <c r="P877">
        <v>54</v>
      </c>
      <c r="Q877" s="18" t="s">
        <v>47</v>
      </c>
      <c r="R877" s="18" t="s">
        <v>35</v>
      </c>
      <c r="S877" s="18" t="s">
        <v>36</v>
      </c>
      <c r="T877" s="18" t="s">
        <v>42</v>
      </c>
      <c r="U877" s="18">
        <v>2011</v>
      </c>
      <c r="V877" s="16">
        <f t="shared" si="26"/>
        <v>40587</v>
      </c>
      <c r="W877" s="18" t="str">
        <f t="shared" si="27"/>
        <v>Weekday</v>
      </c>
    </row>
    <row r="878" spans="1:23" x14ac:dyDescent="0.25">
      <c r="A878" s="19">
        <v>876</v>
      </c>
      <c r="B878" s="20">
        <v>40582</v>
      </c>
      <c r="C878" s="18">
        <v>1</v>
      </c>
      <c r="D878" s="18">
        <v>0</v>
      </c>
      <c r="E878" s="18">
        <v>2</v>
      </c>
      <c r="F878" s="18">
        <v>22</v>
      </c>
      <c r="G878" s="18" t="b">
        <v>0</v>
      </c>
      <c r="H878" s="18">
        <v>2</v>
      </c>
      <c r="I878" s="18">
        <v>1</v>
      </c>
      <c r="J878" s="18">
        <v>0.12</v>
      </c>
      <c r="K878">
        <v>0.1061</v>
      </c>
      <c r="L878">
        <v>0.33</v>
      </c>
      <c r="M878" s="18">
        <v>0.35820000000000002</v>
      </c>
      <c r="N878" s="18">
        <v>0</v>
      </c>
      <c r="O878" s="18">
        <v>29</v>
      </c>
      <c r="P878">
        <v>29</v>
      </c>
      <c r="Q878" s="18" t="s">
        <v>47</v>
      </c>
      <c r="R878" s="18" t="s">
        <v>35</v>
      </c>
      <c r="S878" s="18" t="s">
        <v>36</v>
      </c>
      <c r="T878" s="18" t="s">
        <v>42</v>
      </c>
      <c r="U878" s="18">
        <v>2011</v>
      </c>
      <c r="V878" s="16">
        <f t="shared" si="26"/>
        <v>40587</v>
      </c>
      <c r="W878" s="18" t="str">
        <f t="shared" si="27"/>
        <v>Weekday</v>
      </c>
    </row>
    <row r="879" spans="1:23" x14ac:dyDescent="0.25">
      <c r="A879" s="19">
        <v>877</v>
      </c>
      <c r="B879" s="20">
        <v>40582</v>
      </c>
      <c r="C879" s="18">
        <v>1</v>
      </c>
      <c r="D879" s="18">
        <v>0</v>
      </c>
      <c r="E879" s="18">
        <v>2</v>
      </c>
      <c r="F879" s="18">
        <v>23</v>
      </c>
      <c r="G879" s="18" t="b">
        <v>0</v>
      </c>
      <c r="H879" s="18">
        <v>2</v>
      </c>
      <c r="I879" s="18">
        <v>1</v>
      </c>
      <c r="J879" s="18">
        <v>0.12</v>
      </c>
      <c r="K879">
        <v>0.1061</v>
      </c>
      <c r="L879">
        <v>0.33</v>
      </c>
      <c r="M879" s="18">
        <v>0.32840000000000003</v>
      </c>
      <c r="N879" s="18">
        <v>3</v>
      </c>
      <c r="O879" s="18">
        <v>9</v>
      </c>
      <c r="P879">
        <v>12</v>
      </c>
      <c r="Q879" s="18" t="s">
        <v>47</v>
      </c>
      <c r="R879" s="18" t="s">
        <v>35</v>
      </c>
      <c r="S879" s="18" t="s">
        <v>36</v>
      </c>
      <c r="T879" s="18" t="s">
        <v>42</v>
      </c>
      <c r="U879" s="18">
        <v>2011</v>
      </c>
      <c r="V879" s="16">
        <f t="shared" si="26"/>
        <v>40587</v>
      </c>
      <c r="W879" s="18" t="str">
        <f t="shared" si="27"/>
        <v>Weekday</v>
      </c>
    </row>
    <row r="880" spans="1:23" x14ac:dyDescent="0.25">
      <c r="A880" s="19">
        <v>878</v>
      </c>
      <c r="B880" s="20">
        <v>40583</v>
      </c>
      <c r="C880" s="18">
        <v>1</v>
      </c>
      <c r="D880" s="18">
        <v>0</v>
      </c>
      <c r="E880" s="18">
        <v>2</v>
      </c>
      <c r="F880" s="18">
        <v>0</v>
      </c>
      <c r="G880" s="18" t="b">
        <v>0</v>
      </c>
      <c r="H880" s="18">
        <v>3</v>
      </c>
      <c r="I880" s="18">
        <v>1</v>
      </c>
      <c r="J880" s="18">
        <v>0.1</v>
      </c>
      <c r="K880">
        <v>7.5800000000000006E-2</v>
      </c>
      <c r="L880">
        <v>0.36</v>
      </c>
      <c r="M880" s="18">
        <v>0.35820000000000002</v>
      </c>
      <c r="N880" s="18">
        <v>0</v>
      </c>
      <c r="O880" s="18">
        <v>17</v>
      </c>
      <c r="P880">
        <v>17</v>
      </c>
      <c r="Q880" s="18" t="s">
        <v>47</v>
      </c>
      <c r="R880" s="18" t="s">
        <v>35</v>
      </c>
      <c r="S880" s="18" t="s">
        <v>36</v>
      </c>
      <c r="T880" s="18" t="s">
        <v>43</v>
      </c>
      <c r="U880" s="18">
        <v>2011</v>
      </c>
      <c r="V880" s="16">
        <f t="shared" si="26"/>
        <v>40587</v>
      </c>
      <c r="W880" s="18" t="str">
        <f t="shared" si="27"/>
        <v>Weekday</v>
      </c>
    </row>
    <row r="881" spans="1:23" x14ac:dyDescent="0.25">
      <c r="A881" s="19">
        <v>879</v>
      </c>
      <c r="B881" s="20">
        <v>40583</v>
      </c>
      <c r="C881" s="18">
        <v>1</v>
      </c>
      <c r="D881" s="18">
        <v>0</v>
      </c>
      <c r="E881" s="18">
        <v>2</v>
      </c>
      <c r="F881" s="18">
        <v>1</v>
      </c>
      <c r="G881" s="18" t="b">
        <v>0</v>
      </c>
      <c r="H881" s="18">
        <v>3</v>
      </c>
      <c r="I881" s="18">
        <v>1</v>
      </c>
      <c r="J881" s="18">
        <v>0.1</v>
      </c>
      <c r="K881">
        <v>0.1061</v>
      </c>
      <c r="L881">
        <v>0.36</v>
      </c>
      <c r="M881" s="18">
        <v>0.22389999999999999</v>
      </c>
      <c r="N881" s="18">
        <v>0</v>
      </c>
      <c r="O881" s="18">
        <v>7</v>
      </c>
      <c r="P881">
        <v>7</v>
      </c>
      <c r="Q881" s="18" t="s">
        <v>47</v>
      </c>
      <c r="R881" s="18" t="s">
        <v>35</v>
      </c>
      <c r="S881" s="18" t="s">
        <v>36</v>
      </c>
      <c r="T881" s="18" t="s">
        <v>43</v>
      </c>
      <c r="U881" s="18">
        <v>2011</v>
      </c>
      <c r="V881" s="16">
        <f t="shared" si="26"/>
        <v>40587</v>
      </c>
      <c r="W881" s="18" t="str">
        <f t="shared" si="27"/>
        <v>Weekday</v>
      </c>
    </row>
    <row r="882" spans="1:23" x14ac:dyDescent="0.25">
      <c r="A882" s="19">
        <v>880</v>
      </c>
      <c r="B882" s="20">
        <v>40583</v>
      </c>
      <c r="C882" s="18">
        <v>1</v>
      </c>
      <c r="D882" s="18">
        <v>0</v>
      </c>
      <c r="E882" s="18">
        <v>2</v>
      </c>
      <c r="F882" s="18">
        <v>2</v>
      </c>
      <c r="G882" s="18" t="b">
        <v>0</v>
      </c>
      <c r="H882" s="18">
        <v>3</v>
      </c>
      <c r="I882" s="18">
        <v>1</v>
      </c>
      <c r="J882" s="18">
        <v>0.08</v>
      </c>
      <c r="K882">
        <v>7.5800000000000006E-2</v>
      </c>
      <c r="L882">
        <v>0.38</v>
      </c>
      <c r="M882" s="18">
        <v>0.28360000000000002</v>
      </c>
      <c r="N882" s="18">
        <v>1</v>
      </c>
      <c r="O882" s="18">
        <v>2</v>
      </c>
      <c r="P882">
        <v>3</v>
      </c>
      <c r="Q882" s="18" t="s">
        <v>47</v>
      </c>
      <c r="R882" s="18" t="s">
        <v>35</v>
      </c>
      <c r="S882" s="18" t="s">
        <v>36</v>
      </c>
      <c r="T882" s="18" t="s">
        <v>43</v>
      </c>
      <c r="U882" s="18">
        <v>2011</v>
      </c>
      <c r="V882" s="16">
        <f t="shared" si="26"/>
        <v>40587</v>
      </c>
      <c r="W882" s="18" t="str">
        <f t="shared" si="27"/>
        <v>Weekday</v>
      </c>
    </row>
    <row r="883" spans="1:23" x14ac:dyDescent="0.25">
      <c r="A883" s="19">
        <v>881</v>
      </c>
      <c r="B883" s="20">
        <v>40583</v>
      </c>
      <c r="C883" s="18">
        <v>1</v>
      </c>
      <c r="D883" s="18">
        <v>0</v>
      </c>
      <c r="E883" s="18">
        <v>2</v>
      </c>
      <c r="F883" s="18">
        <v>3</v>
      </c>
      <c r="G883" s="18" t="b">
        <v>0</v>
      </c>
      <c r="H883" s="18">
        <v>3</v>
      </c>
      <c r="I883" s="18">
        <v>1</v>
      </c>
      <c r="J883" s="18">
        <v>0.06</v>
      </c>
      <c r="K883">
        <v>7.5800000000000006E-2</v>
      </c>
      <c r="L883">
        <v>0.45</v>
      </c>
      <c r="M883" s="18">
        <v>0.1343</v>
      </c>
      <c r="N883" s="18">
        <v>0</v>
      </c>
      <c r="O883" s="18">
        <v>2</v>
      </c>
      <c r="P883">
        <v>2</v>
      </c>
      <c r="Q883" s="18" t="s">
        <v>47</v>
      </c>
      <c r="R883" s="18" t="s">
        <v>35</v>
      </c>
      <c r="S883" s="18" t="s">
        <v>36</v>
      </c>
      <c r="T883" s="18" t="s">
        <v>43</v>
      </c>
      <c r="U883" s="18">
        <v>2011</v>
      </c>
      <c r="V883" s="16">
        <f t="shared" si="26"/>
        <v>40587</v>
      </c>
      <c r="W883" s="18" t="str">
        <f t="shared" si="27"/>
        <v>Weekday</v>
      </c>
    </row>
    <row r="884" spans="1:23" x14ac:dyDescent="0.25">
      <c r="A884" s="19">
        <v>882</v>
      </c>
      <c r="B884" s="20">
        <v>40583</v>
      </c>
      <c r="C884" s="18">
        <v>1</v>
      </c>
      <c r="D884" s="18">
        <v>0</v>
      </c>
      <c r="E884" s="18">
        <v>2</v>
      </c>
      <c r="F884" s="18">
        <v>5</v>
      </c>
      <c r="G884" s="18" t="b">
        <v>0</v>
      </c>
      <c r="H884" s="18">
        <v>3</v>
      </c>
      <c r="I884" s="18">
        <v>1</v>
      </c>
      <c r="J884" s="18">
        <v>0.06</v>
      </c>
      <c r="K884">
        <v>0.1061</v>
      </c>
      <c r="L884">
        <v>0.45</v>
      </c>
      <c r="M884" s="18">
        <v>0.1045</v>
      </c>
      <c r="N884" s="18">
        <v>0</v>
      </c>
      <c r="O884" s="18">
        <v>7</v>
      </c>
      <c r="P884">
        <v>7</v>
      </c>
      <c r="Q884" s="18" t="s">
        <v>47</v>
      </c>
      <c r="R884" s="18" t="s">
        <v>35</v>
      </c>
      <c r="S884" s="18" t="s">
        <v>36</v>
      </c>
      <c r="T884" s="18" t="s">
        <v>43</v>
      </c>
      <c r="U884" s="18">
        <v>2011</v>
      </c>
      <c r="V884" s="16">
        <f t="shared" si="26"/>
        <v>40587</v>
      </c>
      <c r="W884" s="18" t="str">
        <f t="shared" si="27"/>
        <v>Weekday</v>
      </c>
    </row>
    <row r="885" spans="1:23" x14ac:dyDescent="0.25">
      <c r="A885" s="19">
        <v>883</v>
      </c>
      <c r="B885" s="20">
        <v>40583</v>
      </c>
      <c r="C885" s="18">
        <v>1</v>
      </c>
      <c r="D885" s="18">
        <v>0</v>
      </c>
      <c r="E885" s="18">
        <v>2</v>
      </c>
      <c r="F885" s="18">
        <v>6</v>
      </c>
      <c r="G885" s="18" t="b">
        <v>0</v>
      </c>
      <c r="H885" s="18">
        <v>3</v>
      </c>
      <c r="I885" s="18">
        <v>1</v>
      </c>
      <c r="J885" s="18">
        <v>0.06</v>
      </c>
      <c r="K885">
        <v>0.1515</v>
      </c>
      <c r="L885">
        <v>0.45</v>
      </c>
      <c r="M885" s="18">
        <v>0</v>
      </c>
      <c r="N885" s="18">
        <v>0</v>
      </c>
      <c r="O885" s="18">
        <v>43</v>
      </c>
      <c r="P885">
        <v>43</v>
      </c>
      <c r="Q885" s="18" t="s">
        <v>47</v>
      </c>
      <c r="R885" s="18" t="s">
        <v>35</v>
      </c>
      <c r="S885" s="18" t="s">
        <v>36</v>
      </c>
      <c r="T885" s="18" t="s">
        <v>43</v>
      </c>
      <c r="U885" s="18">
        <v>2011</v>
      </c>
      <c r="V885" s="16">
        <f t="shared" si="26"/>
        <v>40587</v>
      </c>
      <c r="W885" s="18" t="str">
        <f t="shared" si="27"/>
        <v>Weekday</v>
      </c>
    </row>
    <row r="886" spans="1:23" x14ac:dyDescent="0.25">
      <c r="A886" s="19">
        <v>884</v>
      </c>
      <c r="B886" s="20">
        <v>40583</v>
      </c>
      <c r="C886" s="18">
        <v>1</v>
      </c>
      <c r="D886" s="18">
        <v>0</v>
      </c>
      <c r="E886" s="18">
        <v>2</v>
      </c>
      <c r="F886" s="18">
        <v>7</v>
      </c>
      <c r="G886" s="18" t="b">
        <v>0</v>
      </c>
      <c r="H886" s="18">
        <v>3</v>
      </c>
      <c r="I886" s="18">
        <v>1</v>
      </c>
      <c r="J886" s="18">
        <v>0.06</v>
      </c>
      <c r="K886">
        <v>0.1061</v>
      </c>
      <c r="L886">
        <v>0.49</v>
      </c>
      <c r="M886" s="18">
        <v>0.1045</v>
      </c>
      <c r="N886" s="18">
        <v>4</v>
      </c>
      <c r="O886" s="18">
        <v>95</v>
      </c>
      <c r="P886">
        <v>99</v>
      </c>
      <c r="Q886" s="18" t="s">
        <v>47</v>
      </c>
      <c r="R886" s="18" t="s">
        <v>35</v>
      </c>
      <c r="S886" s="18" t="s">
        <v>36</v>
      </c>
      <c r="T886" s="18" t="s">
        <v>43</v>
      </c>
      <c r="U886" s="18">
        <v>2011</v>
      </c>
      <c r="V886" s="16">
        <f t="shared" si="26"/>
        <v>40587</v>
      </c>
      <c r="W886" s="18" t="str">
        <f t="shared" si="27"/>
        <v>Weekday</v>
      </c>
    </row>
    <row r="887" spans="1:23" x14ac:dyDescent="0.25">
      <c r="A887" s="19">
        <v>885</v>
      </c>
      <c r="B887" s="20">
        <v>40583</v>
      </c>
      <c r="C887" s="18">
        <v>1</v>
      </c>
      <c r="D887" s="18">
        <v>0</v>
      </c>
      <c r="E887" s="18">
        <v>2</v>
      </c>
      <c r="F887" s="18">
        <v>8</v>
      </c>
      <c r="G887" s="18" t="b">
        <v>0</v>
      </c>
      <c r="H887" s="18">
        <v>3</v>
      </c>
      <c r="I887" s="18">
        <v>1</v>
      </c>
      <c r="J887" s="18">
        <v>0.1</v>
      </c>
      <c r="K887">
        <v>0.13639999999999999</v>
      </c>
      <c r="L887">
        <v>0.42</v>
      </c>
      <c r="M887" s="18">
        <v>0</v>
      </c>
      <c r="N887" s="18">
        <v>1</v>
      </c>
      <c r="O887" s="18">
        <v>198</v>
      </c>
      <c r="P887">
        <v>199</v>
      </c>
      <c r="Q887" s="18" t="s">
        <v>47</v>
      </c>
      <c r="R887" s="18" t="s">
        <v>35</v>
      </c>
      <c r="S887" s="18" t="s">
        <v>36</v>
      </c>
      <c r="T887" s="18" t="s">
        <v>43</v>
      </c>
      <c r="U887" s="18">
        <v>2011</v>
      </c>
      <c r="V887" s="16">
        <f t="shared" si="26"/>
        <v>40587</v>
      </c>
      <c r="W887" s="18" t="str">
        <f t="shared" si="27"/>
        <v>Weekday</v>
      </c>
    </row>
    <row r="888" spans="1:23" x14ac:dyDescent="0.25">
      <c r="A888" s="19">
        <v>886</v>
      </c>
      <c r="B888" s="20">
        <v>40583</v>
      </c>
      <c r="C888" s="18">
        <v>1</v>
      </c>
      <c r="D888" s="18">
        <v>0</v>
      </c>
      <c r="E888" s="18">
        <v>2</v>
      </c>
      <c r="F888" s="18">
        <v>9</v>
      </c>
      <c r="G888" s="18" t="b">
        <v>0</v>
      </c>
      <c r="H888" s="18">
        <v>3</v>
      </c>
      <c r="I888" s="18">
        <v>1</v>
      </c>
      <c r="J888" s="18">
        <v>0.12</v>
      </c>
      <c r="K888">
        <v>0.13639999999999999</v>
      </c>
      <c r="L888">
        <v>0.39</v>
      </c>
      <c r="M888" s="18">
        <v>0.16420000000000001</v>
      </c>
      <c r="N888" s="18">
        <v>4</v>
      </c>
      <c r="O888" s="18">
        <v>119</v>
      </c>
      <c r="P888">
        <v>123</v>
      </c>
      <c r="Q888" s="18" t="s">
        <v>47</v>
      </c>
      <c r="R888" s="18" t="s">
        <v>35</v>
      </c>
      <c r="S888" s="18" t="s">
        <v>36</v>
      </c>
      <c r="T888" s="18" t="s">
        <v>43</v>
      </c>
      <c r="U888" s="18">
        <v>2011</v>
      </c>
      <c r="V888" s="16">
        <f t="shared" si="26"/>
        <v>40587</v>
      </c>
      <c r="W888" s="18" t="str">
        <f t="shared" si="27"/>
        <v>Weekday</v>
      </c>
    </row>
    <row r="889" spans="1:23" x14ac:dyDescent="0.25">
      <c r="A889" s="19">
        <v>887</v>
      </c>
      <c r="B889" s="20">
        <v>40583</v>
      </c>
      <c r="C889" s="18">
        <v>1</v>
      </c>
      <c r="D889" s="18">
        <v>0</v>
      </c>
      <c r="E889" s="18">
        <v>2</v>
      </c>
      <c r="F889" s="18">
        <v>10</v>
      </c>
      <c r="G889" s="18" t="b">
        <v>0</v>
      </c>
      <c r="H889" s="18">
        <v>3</v>
      </c>
      <c r="I889" s="18">
        <v>1</v>
      </c>
      <c r="J889" s="18">
        <v>0.14000000000000001</v>
      </c>
      <c r="K889">
        <v>0.18179999999999999</v>
      </c>
      <c r="L889">
        <v>0.36</v>
      </c>
      <c r="M889" s="18">
        <v>0</v>
      </c>
      <c r="N889" s="18">
        <v>8</v>
      </c>
      <c r="O889" s="18">
        <v>51</v>
      </c>
      <c r="P889">
        <v>59</v>
      </c>
      <c r="Q889" s="18" t="s">
        <v>47</v>
      </c>
      <c r="R889" s="18" t="s">
        <v>35</v>
      </c>
      <c r="S889" s="18" t="s">
        <v>36</v>
      </c>
      <c r="T889" s="18" t="s">
        <v>43</v>
      </c>
      <c r="U889" s="18">
        <v>2011</v>
      </c>
      <c r="V889" s="16">
        <f t="shared" si="26"/>
        <v>40587</v>
      </c>
      <c r="W889" s="18" t="str">
        <f t="shared" si="27"/>
        <v>Weekday</v>
      </c>
    </row>
    <row r="890" spans="1:23" x14ac:dyDescent="0.25">
      <c r="A890" s="19">
        <v>888</v>
      </c>
      <c r="B890" s="20">
        <v>40583</v>
      </c>
      <c r="C890" s="18">
        <v>1</v>
      </c>
      <c r="D890" s="18">
        <v>0</v>
      </c>
      <c r="E890" s="18">
        <v>2</v>
      </c>
      <c r="F890" s="18">
        <v>11</v>
      </c>
      <c r="G890" s="18" t="b">
        <v>0</v>
      </c>
      <c r="H890" s="18">
        <v>3</v>
      </c>
      <c r="I890" s="18">
        <v>2</v>
      </c>
      <c r="J890" s="18">
        <v>0.14000000000000001</v>
      </c>
      <c r="K890">
        <v>0.1515</v>
      </c>
      <c r="L890">
        <v>0.43</v>
      </c>
      <c r="M890" s="18">
        <v>0.16420000000000001</v>
      </c>
      <c r="N890" s="18">
        <v>1</v>
      </c>
      <c r="O890" s="18">
        <v>40</v>
      </c>
      <c r="P890">
        <v>41</v>
      </c>
      <c r="Q890" s="18" t="s">
        <v>47</v>
      </c>
      <c r="R890" s="18" t="s">
        <v>35</v>
      </c>
      <c r="S890" s="18" t="s">
        <v>38</v>
      </c>
      <c r="T890" s="18" t="s">
        <v>43</v>
      </c>
      <c r="U890" s="18">
        <v>2011</v>
      </c>
      <c r="V890" s="16">
        <f t="shared" si="26"/>
        <v>40587</v>
      </c>
      <c r="W890" s="18" t="str">
        <f t="shared" si="27"/>
        <v>Weekday</v>
      </c>
    </row>
    <row r="891" spans="1:23" x14ac:dyDescent="0.25">
      <c r="A891" s="19">
        <v>889</v>
      </c>
      <c r="B891" s="20">
        <v>40583</v>
      </c>
      <c r="C891" s="18">
        <v>1</v>
      </c>
      <c r="D891" s="18">
        <v>0</v>
      </c>
      <c r="E891" s="18">
        <v>2</v>
      </c>
      <c r="F891" s="18">
        <v>12</v>
      </c>
      <c r="G891" s="18" t="b">
        <v>0</v>
      </c>
      <c r="H891" s="18">
        <v>3</v>
      </c>
      <c r="I891" s="18">
        <v>2</v>
      </c>
      <c r="J891" s="18">
        <v>0.18</v>
      </c>
      <c r="K891">
        <v>0.18179999999999999</v>
      </c>
      <c r="L891">
        <v>0.4</v>
      </c>
      <c r="M891" s="18">
        <v>0.22389999999999999</v>
      </c>
      <c r="N891" s="18">
        <v>4</v>
      </c>
      <c r="O891" s="18">
        <v>57</v>
      </c>
      <c r="P891">
        <v>61</v>
      </c>
      <c r="Q891" s="18" t="s">
        <v>47</v>
      </c>
      <c r="R891" s="18" t="s">
        <v>35</v>
      </c>
      <c r="S891" s="18" t="s">
        <v>38</v>
      </c>
      <c r="T891" s="18" t="s">
        <v>43</v>
      </c>
      <c r="U891" s="18">
        <v>2011</v>
      </c>
      <c r="V891" s="16">
        <f t="shared" si="26"/>
        <v>40587</v>
      </c>
      <c r="W891" s="18" t="str">
        <f t="shared" si="27"/>
        <v>Weekday</v>
      </c>
    </row>
    <row r="892" spans="1:23" x14ac:dyDescent="0.25">
      <c r="A892" s="19">
        <v>890</v>
      </c>
      <c r="B892" s="20">
        <v>40583</v>
      </c>
      <c r="C892" s="18">
        <v>1</v>
      </c>
      <c r="D892" s="18">
        <v>0</v>
      </c>
      <c r="E892" s="18">
        <v>2</v>
      </c>
      <c r="F892" s="18">
        <v>13</v>
      </c>
      <c r="G892" s="18" t="b">
        <v>0</v>
      </c>
      <c r="H892" s="18">
        <v>3</v>
      </c>
      <c r="I892" s="18">
        <v>1</v>
      </c>
      <c r="J892" s="18">
        <v>0.18</v>
      </c>
      <c r="K892">
        <v>0.16669999999999999</v>
      </c>
      <c r="L892">
        <v>0.4</v>
      </c>
      <c r="M892" s="18">
        <v>0.25369999999999998</v>
      </c>
      <c r="N892" s="18">
        <v>2</v>
      </c>
      <c r="O892" s="18">
        <v>67</v>
      </c>
      <c r="P892">
        <v>69</v>
      </c>
      <c r="Q892" s="18" t="s">
        <v>47</v>
      </c>
      <c r="R892" s="18" t="s">
        <v>35</v>
      </c>
      <c r="S892" s="18" t="s">
        <v>36</v>
      </c>
      <c r="T892" s="18" t="s">
        <v>43</v>
      </c>
      <c r="U892" s="18">
        <v>2011</v>
      </c>
      <c r="V892" s="16">
        <f t="shared" si="26"/>
        <v>40587</v>
      </c>
      <c r="W892" s="18" t="str">
        <f t="shared" si="27"/>
        <v>Weekday</v>
      </c>
    </row>
    <row r="893" spans="1:23" x14ac:dyDescent="0.25">
      <c r="A893" s="19">
        <v>891</v>
      </c>
      <c r="B893" s="20">
        <v>40583</v>
      </c>
      <c r="C893" s="18">
        <v>1</v>
      </c>
      <c r="D893" s="18">
        <v>0</v>
      </c>
      <c r="E893" s="18">
        <v>2</v>
      </c>
      <c r="F893" s="18">
        <v>14</v>
      </c>
      <c r="G893" s="18" t="b">
        <v>0</v>
      </c>
      <c r="H893" s="18">
        <v>3</v>
      </c>
      <c r="I893" s="18">
        <v>1</v>
      </c>
      <c r="J893" s="18">
        <v>0.2</v>
      </c>
      <c r="K893">
        <v>0.18179999999999999</v>
      </c>
      <c r="L893">
        <v>0.34</v>
      </c>
      <c r="M893" s="18">
        <v>0.29849999999999999</v>
      </c>
      <c r="N893" s="18">
        <v>2</v>
      </c>
      <c r="O893" s="18">
        <v>56</v>
      </c>
      <c r="P893">
        <v>58</v>
      </c>
      <c r="Q893" s="18" t="s">
        <v>47</v>
      </c>
      <c r="R893" s="18" t="s">
        <v>35</v>
      </c>
      <c r="S893" s="18" t="s">
        <v>36</v>
      </c>
      <c r="T893" s="18" t="s">
        <v>43</v>
      </c>
      <c r="U893" s="18">
        <v>2011</v>
      </c>
      <c r="V893" s="16">
        <f t="shared" si="26"/>
        <v>40587</v>
      </c>
      <c r="W893" s="18" t="str">
        <f t="shared" si="27"/>
        <v>Weekday</v>
      </c>
    </row>
    <row r="894" spans="1:23" x14ac:dyDescent="0.25">
      <c r="A894" s="19">
        <v>892</v>
      </c>
      <c r="B894" s="20">
        <v>40583</v>
      </c>
      <c r="C894" s="18">
        <v>1</v>
      </c>
      <c r="D894" s="18">
        <v>0</v>
      </c>
      <c r="E894" s="18">
        <v>2</v>
      </c>
      <c r="F894" s="18">
        <v>15</v>
      </c>
      <c r="G894" s="18" t="b">
        <v>0</v>
      </c>
      <c r="H894" s="18">
        <v>3</v>
      </c>
      <c r="I894" s="18">
        <v>2</v>
      </c>
      <c r="J894" s="18">
        <v>0.2</v>
      </c>
      <c r="K894">
        <v>0.18179999999999999</v>
      </c>
      <c r="L894">
        <v>0.34</v>
      </c>
      <c r="M894" s="18">
        <v>0.28360000000000002</v>
      </c>
      <c r="N894" s="18">
        <v>3</v>
      </c>
      <c r="O894" s="18">
        <v>61</v>
      </c>
      <c r="P894">
        <v>64</v>
      </c>
      <c r="Q894" s="18" t="s">
        <v>47</v>
      </c>
      <c r="R894" s="18" t="s">
        <v>35</v>
      </c>
      <c r="S894" s="18" t="s">
        <v>38</v>
      </c>
      <c r="T894" s="18" t="s">
        <v>43</v>
      </c>
      <c r="U894" s="18">
        <v>2011</v>
      </c>
      <c r="V894" s="16">
        <f t="shared" si="26"/>
        <v>40587</v>
      </c>
      <c r="W894" s="18" t="str">
        <f t="shared" si="27"/>
        <v>Weekday</v>
      </c>
    </row>
    <row r="895" spans="1:23" x14ac:dyDescent="0.25">
      <c r="A895" s="19">
        <v>893</v>
      </c>
      <c r="B895" s="20">
        <v>40583</v>
      </c>
      <c r="C895" s="18">
        <v>1</v>
      </c>
      <c r="D895" s="18">
        <v>0</v>
      </c>
      <c r="E895" s="18">
        <v>2</v>
      </c>
      <c r="F895" s="18">
        <v>16</v>
      </c>
      <c r="G895" s="18" t="b">
        <v>0</v>
      </c>
      <c r="H895" s="18">
        <v>3</v>
      </c>
      <c r="I895" s="18">
        <v>2</v>
      </c>
      <c r="J895" s="18">
        <v>0.2</v>
      </c>
      <c r="K895">
        <v>0.19700000000000001</v>
      </c>
      <c r="L895">
        <v>0.37</v>
      </c>
      <c r="M895" s="18">
        <v>0.25369999999999998</v>
      </c>
      <c r="N895" s="18">
        <v>7</v>
      </c>
      <c r="O895" s="18">
        <v>72</v>
      </c>
      <c r="P895">
        <v>79</v>
      </c>
      <c r="Q895" s="18" t="s">
        <v>47</v>
      </c>
      <c r="R895" s="18" t="s">
        <v>35</v>
      </c>
      <c r="S895" s="18" t="s">
        <v>38</v>
      </c>
      <c r="T895" s="18" t="s">
        <v>43</v>
      </c>
      <c r="U895" s="18">
        <v>2011</v>
      </c>
      <c r="V895" s="16">
        <f t="shared" si="26"/>
        <v>40587</v>
      </c>
      <c r="W895" s="18" t="str">
        <f t="shared" si="27"/>
        <v>Weekday</v>
      </c>
    </row>
    <row r="896" spans="1:23" x14ac:dyDescent="0.25">
      <c r="A896" s="19">
        <v>894</v>
      </c>
      <c r="B896" s="20">
        <v>40583</v>
      </c>
      <c r="C896" s="18">
        <v>1</v>
      </c>
      <c r="D896" s="18">
        <v>0</v>
      </c>
      <c r="E896" s="18">
        <v>2</v>
      </c>
      <c r="F896" s="18">
        <v>17</v>
      </c>
      <c r="G896" s="18" t="b">
        <v>0</v>
      </c>
      <c r="H896" s="18">
        <v>3</v>
      </c>
      <c r="I896" s="18">
        <v>2</v>
      </c>
      <c r="J896" s="18">
        <v>0.2</v>
      </c>
      <c r="K896">
        <v>0.19700000000000001</v>
      </c>
      <c r="L896">
        <v>0.34</v>
      </c>
      <c r="M896" s="18">
        <v>0.25369999999999998</v>
      </c>
      <c r="N896" s="18">
        <v>9</v>
      </c>
      <c r="O896" s="18">
        <v>157</v>
      </c>
      <c r="P896">
        <v>166</v>
      </c>
      <c r="Q896" s="18" t="s">
        <v>47</v>
      </c>
      <c r="R896" s="18" t="s">
        <v>35</v>
      </c>
      <c r="S896" s="18" t="s">
        <v>38</v>
      </c>
      <c r="T896" s="18" t="s">
        <v>43</v>
      </c>
      <c r="U896" s="18">
        <v>2011</v>
      </c>
      <c r="V896" s="16">
        <f t="shared" si="26"/>
        <v>40587</v>
      </c>
      <c r="W896" s="18" t="str">
        <f t="shared" si="27"/>
        <v>Weekday</v>
      </c>
    </row>
    <row r="897" spans="1:23" x14ac:dyDescent="0.25">
      <c r="A897" s="19">
        <v>895</v>
      </c>
      <c r="B897" s="20">
        <v>40583</v>
      </c>
      <c r="C897" s="18">
        <v>1</v>
      </c>
      <c r="D897" s="18">
        <v>0</v>
      </c>
      <c r="E897" s="18">
        <v>2</v>
      </c>
      <c r="F897" s="18">
        <v>18</v>
      </c>
      <c r="G897" s="18" t="b">
        <v>0</v>
      </c>
      <c r="H897" s="18">
        <v>3</v>
      </c>
      <c r="I897" s="18">
        <v>2</v>
      </c>
      <c r="J897" s="18">
        <v>0.18</v>
      </c>
      <c r="K897">
        <v>0.16669999999999999</v>
      </c>
      <c r="L897">
        <v>0.47</v>
      </c>
      <c r="M897" s="18">
        <v>0.29849999999999999</v>
      </c>
      <c r="N897" s="18">
        <v>2</v>
      </c>
      <c r="O897" s="18">
        <v>168</v>
      </c>
      <c r="P897">
        <v>170</v>
      </c>
      <c r="Q897" s="18" t="s">
        <v>47</v>
      </c>
      <c r="R897" s="18" t="s">
        <v>35</v>
      </c>
      <c r="S897" s="18" t="s">
        <v>38</v>
      </c>
      <c r="T897" s="18" t="s">
        <v>43</v>
      </c>
      <c r="U897" s="18">
        <v>2011</v>
      </c>
      <c r="V897" s="16">
        <f t="shared" si="26"/>
        <v>40587</v>
      </c>
      <c r="W897" s="18" t="str">
        <f t="shared" si="27"/>
        <v>Weekday</v>
      </c>
    </row>
    <row r="898" spans="1:23" x14ac:dyDescent="0.25">
      <c r="A898" s="19">
        <v>896</v>
      </c>
      <c r="B898" s="20">
        <v>40583</v>
      </c>
      <c r="C898" s="18">
        <v>1</v>
      </c>
      <c r="D898" s="18">
        <v>0</v>
      </c>
      <c r="E898" s="18">
        <v>2</v>
      </c>
      <c r="F898" s="18">
        <v>19</v>
      </c>
      <c r="G898" s="18" t="b">
        <v>0</v>
      </c>
      <c r="H898" s="18">
        <v>3</v>
      </c>
      <c r="I898" s="18">
        <v>3</v>
      </c>
      <c r="J898" s="18">
        <v>0.14000000000000001</v>
      </c>
      <c r="K898">
        <v>0.1212</v>
      </c>
      <c r="L898">
        <v>0.86</v>
      </c>
      <c r="M898" s="18">
        <v>0.25369999999999998</v>
      </c>
      <c r="N898" s="18">
        <v>1</v>
      </c>
      <c r="O898" s="18">
        <v>87</v>
      </c>
      <c r="P898">
        <v>88</v>
      </c>
      <c r="Q898" s="18" t="s">
        <v>47</v>
      </c>
      <c r="R898" s="18" t="s">
        <v>35</v>
      </c>
      <c r="S898" s="18" t="s">
        <v>39</v>
      </c>
      <c r="T898" s="18" t="s">
        <v>43</v>
      </c>
      <c r="U898" s="18">
        <v>2011</v>
      </c>
      <c r="V898" s="16">
        <f t="shared" si="26"/>
        <v>40587</v>
      </c>
      <c r="W898" s="18" t="str">
        <f t="shared" si="27"/>
        <v>Weekday</v>
      </c>
    </row>
    <row r="899" spans="1:23" x14ac:dyDescent="0.25">
      <c r="A899" s="19">
        <v>897</v>
      </c>
      <c r="B899" s="20">
        <v>40583</v>
      </c>
      <c r="C899" s="18">
        <v>1</v>
      </c>
      <c r="D899" s="18">
        <v>0</v>
      </c>
      <c r="E899" s="18">
        <v>2</v>
      </c>
      <c r="F899" s="18">
        <v>20</v>
      </c>
      <c r="G899" s="18" t="b">
        <v>0</v>
      </c>
      <c r="H899" s="18">
        <v>3</v>
      </c>
      <c r="I899" s="18">
        <v>3</v>
      </c>
      <c r="J899" s="18">
        <v>0.14000000000000001</v>
      </c>
      <c r="K899">
        <v>0.1515</v>
      </c>
      <c r="L899">
        <v>0.86</v>
      </c>
      <c r="M899" s="18">
        <v>0.16420000000000001</v>
      </c>
      <c r="N899" s="18">
        <v>0</v>
      </c>
      <c r="O899" s="18">
        <v>84</v>
      </c>
      <c r="P899">
        <v>84</v>
      </c>
      <c r="Q899" s="18" t="s">
        <v>47</v>
      </c>
      <c r="R899" s="18" t="s">
        <v>35</v>
      </c>
      <c r="S899" s="18" t="s">
        <v>39</v>
      </c>
      <c r="T899" s="18" t="s">
        <v>43</v>
      </c>
      <c r="U899" s="18">
        <v>2011</v>
      </c>
      <c r="V899" s="16">
        <f t="shared" ref="V899:V962" si="28">INDEX(B899:B1897,MATCH(MAX(K899:K1897),K899:K1897,0))</f>
        <v>40587</v>
      </c>
      <c r="W899" s="18" t="str">
        <f t="shared" ref="W899:W962" si="29">IF(G899=TRUE,"Holiday",IF(OR(H899=0,H899=6),"Weedend","Weekday"))</f>
        <v>Weekday</v>
      </c>
    </row>
    <row r="900" spans="1:23" x14ac:dyDescent="0.25">
      <c r="A900" s="19">
        <v>898</v>
      </c>
      <c r="B900" s="20">
        <v>40583</v>
      </c>
      <c r="C900" s="18">
        <v>1</v>
      </c>
      <c r="D900" s="18">
        <v>0</v>
      </c>
      <c r="E900" s="18">
        <v>2</v>
      </c>
      <c r="F900" s="18">
        <v>21</v>
      </c>
      <c r="G900" s="18" t="b">
        <v>0</v>
      </c>
      <c r="H900" s="18">
        <v>3</v>
      </c>
      <c r="I900" s="18">
        <v>2</v>
      </c>
      <c r="J900" s="18">
        <v>0.14000000000000001</v>
      </c>
      <c r="K900">
        <v>0.1515</v>
      </c>
      <c r="L900">
        <v>0.86</v>
      </c>
      <c r="M900" s="18">
        <v>0.16420000000000001</v>
      </c>
      <c r="N900" s="18">
        <v>0</v>
      </c>
      <c r="O900" s="18">
        <v>83</v>
      </c>
      <c r="P900">
        <v>83</v>
      </c>
      <c r="Q900" s="18" t="s">
        <v>47</v>
      </c>
      <c r="R900" s="18" t="s">
        <v>35</v>
      </c>
      <c r="S900" s="18" t="s">
        <v>38</v>
      </c>
      <c r="T900" s="18" t="s">
        <v>43</v>
      </c>
      <c r="U900" s="18">
        <v>2011</v>
      </c>
      <c r="V900" s="16">
        <f t="shared" si="28"/>
        <v>40587</v>
      </c>
      <c r="W900" s="18" t="str">
        <f t="shared" si="29"/>
        <v>Weekday</v>
      </c>
    </row>
    <row r="901" spans="1:23" x14ac:dyDescent="0.25">
      <c r="A901" s="19">
        <v>899</v>
      </c>
      <c r="B901" s="20">
        <v>40583</v>
      </c>
      <c r="C901" s="18">
        <v>1</v>
      </c>
      <c r="D901" s="18">
        <v>0</v>
      </c>
      <c r="E901" s="18">
        <v>2</v>
      </c>
      <c r="F901" s="18">
        <v>22</v>
      </c>
      <c r="G901" s="18" t="b">
        <v>0</v>
      </c>
      <c r="H901" s="18">
        <v>3</v>
      </c>
      <c r="I901" s="18">
        <v>3</v>
      </c>
      <c r="J901" s="18">
        <v>0.16</v>
      </c>
      <c r="K901">
        <v>0.16669999999999999</v>
      </c>
      <c r="L901">
        <v>0.8</v>
      </c>
      <c r="M901" s="18">
        <v>0.16420000000000001</v>
      </c>
      <c r="N901" s="18">
        <v>4</v>
      </c>
      <c r="O901" s="18">
        <v>42</v>
      </c>
      <c r="P901">
        <v>46</v>
      </c>
      <c r="Q901" s="18" t="s">
        <v>47</v>
      </c>
      <c r="R901" s="18" t="s">
        <v>35</v>
      </c>
      <c r="S901" s="18" t="s">
        <v>39</v>
      </c>
      <c r="T901" s="18" t="s">
        <v>43</v>
      </c>
      <c r="U901" s="18">
        <v>2011</v>
      </c>
      <c r="V901" s="16">
        <f t="shared" si="28"/>
        <v>40587</v>
      </c>
      <c r="W901" s="18" t="str">
        <f t="shared" si="29"/>
        <v>Weekday</v>
      </c>
    </row>
    <row r="902" spans="1:23" x14ac:dyDescent="0.25">
      <c r="A902" s="19">
        <v>900</v>
      </c>
      <c r="B902" s="20">
        <v>40583</v>
      </c>
      <c r="C902" s="18">
        <v>1</v>
      </c>
      <c r="D902" s="18">
        <v>0</v>
      </c>
      <c r="E902" s="18">
        <v>2</v>
      </c>
      <c r="F902" s="18">
        <v>23</v>
      </c>
      <c r="G902" s="18" t="b">
        <v>0</v>
      </c>
      <c r="H902" s="18">
        <v>3</v>
      </c>
      <c r="I902" s="18">
        <v>3</v>
      </c>
      <c r="J902" s="18">
        <v>0.16</v>
      </c>
      <c r="K902">
        <v>0.1515</v>
      </c>
      <c r="L902">
        <v>0.8</v>
      </c>
      <c r="M902" s="18">
        <v>0.19400000000000001</v>
      </c>
      <c r="N902" s="18">
        <v>0</v>
      </c>
      <c r="O902" s="18">
        <v>37</v>
      </c>
      <c r="P902">
        <v>37</v>
      </c>
      <c r="Q902" s="18" t="s">
        <v>47</v>
      </c>
      <c r="R902" s="18" t="s">
        <v>35</v>
      </c>
      <c r="S902" s="18" t="s">
        <v>39</v>
      </c>
      <c r="T902" s="18" t="s">
        <v>43</v>
      </c>
      <c r="U902" s="18">
        <v>2011</v>
      </c>
      <c r="V902" s="16">
        <f t="shared" si="28"/>
        <v>40587</v>
      </c>
      <c r="W902" s="18" t="str">
        <f t="shared" si="29"/>
        <v>Weekday</v>
      </c>
    </row>
    <row r="903" spans="1:23" x14ac:dyDescent="0.25">
      <c r="A903" s="19">
        <v>901</v>
      </c>
      <c r="B903" s="20">
        <v>40584</v>
      </c>
      <c r="C903" s="18">
        <v>1</v>
      </c>
      <c r="D903" s="18">
        <v>0</v>
      </c>
      <c r="E903" s="18">
        <v>2</v>
      </c>
      <c r="F903" s="18">
        <v>0</v>
      </c>
      <c r="G903" s="18" t="b">
        <v>0</v>
      </c>
      <c r="H903" s="18">
        <v>4</v>
      </c>
      <c r="I903" s="18">
        <v>3</v>
      </c>
      <c r="J903" s="18">
        <v>0.14000000000000001</v>
      </c>
      <c r="K903">
        <v>0.13639999999999999</v>
      </c>
      <c r="L903">
        <v>0.86</v>
      </c>
      <c r="M903" s="18">
        <v>0.19400000000000001</v>
      </c>
      <c r="N903" s="18">
        <v>0</v>
      </c>
      <c r="O903" s="18">
        <v>16</v>
      </c>
      <c r="P903">
        <v>16</v>
      </c>
      <c r="Q903" s="18" t="s">
        <v>47</v>
      </c>
      <c r="R903" s="18" t="s">
        <v>35</v>
      </c>
      <c r="S903" s="18" t="s">
        <v>39</v>
      </c>
      <c r="T903" s="18" t="s">
        <v>44</v>
      </c>
      <c r="U903" s="18">
        <v>2011</v>
      </c>
      <c r="V903" s="16">
        <f t="shared" si="28"/>
        <v>40587</v>
      </c>
      <c r="W903" s="18" t="str">
        <f t="shared" si="29"/>
        <v>Weekday</v>
      </c>
    </row>
    <row r="904" spans="1:23" x14ac:dyDescent="0.25">
      <c r="A904" s="19">
        <v>902</v>
      </c>
      <c r="B904" s="20">
        <v>40584</v>
      </c>
      <c r="C904" s="18">
        <v>1</v>
      </c>
      <c r="D904" s="18">
        <v>0</v>
      </c>
      <c r="E904" s="18">
        <v>2</v>
      </c>
      <c r="F904" s="18">
        <v>1</v>
      </c>
      <c r="G904" s="18" t="b">
        <v>0</v>
      </c>
      <c r="H904" s="18">
        <v>4</v>
      </c>
      <c r="I904" s="18">
        <v>3</v>
      </c>
      <c r="J904" s="18">
        <v>0.14000000000000001</v>
      </c>
      <c r="K904">
        <v>0.1515</v>
      </c>
      <c r="L904">
        <v>0.8</v>
      </c>
      <c r="M904" s="18">
        <v>0.1343</v>
      </c>
      <c r="N904" s="18">
        <v>0</v>
      </c>
      <c r="O904" s="18">
        <v>7</v>
      </c>
      <c r="P904">
        <v>7</v>
      </c>
      <c r="Q904" s="18" t="s">
        <v>47</v>
      </c>
      <c r="R904" s="18" t="s">
        <v>35</v>
      </c>
      <c r="S904" s="18" t="s">
        <v>39</v>
      </c>
      <c r="T904" s="18" t="s">
        <v>44</v>
      </c>
      <c r="U904" s="18">
        <v>2011</v>
      </c>
      <c r="V904" s="16">
        <f t="shared" si="28"/>
        <v>40587</v>
      </c>
      <c r="W904" s="18" t="str">
        <f t="shared" si="29"/>
        <v>Weekday</v>
      </c>
    </row>
    <row r="905" spans="1:23" x14ac:dyDescent="0.25">
      <c r="A905" s="19">
        <v>903</v>
      </c>
      <c r="B905" s="20">
        <v>40584</v>
      </c>
      <c r="C905" s="18">
        <v>1</v>
      </c>
      <c r="D905" s="18">
        <v>0</v>
      </c>
      <c r="E905" s="18">
        <v>2</v>
      </c>
      <c r="F905" s="18">
        <v>2</v>
      </c>
      <c r="G905" s="18" t="b">
        <v>0</v>
      </c>
      <c r="H905" s="18">
        <v>4</v>
      </c>
      <c r="I905" s="18">
        <v>3</v>
      </c>
      <c r="J905" s="18">
        <v>0.14000000000000001</v>
      </c>
      <c r="K905">
        <v>0.1515</v>
      </c>
      <c r="L905">
        <v>0.8</v>
      </c>
      <c r="M905" s="18">
        <v>0.1343</v>
      </c>
      <c r="N905" s="18">
        <v>0</v>
      </c>
      <c r="O905" s="18">
        <v>3</v>
      </c>
      <c r="P905">
        <v>3</v>
      </c>
      <c r="Q905" s="18" t="s">
        <v>47</v>
      </c>
      <c r="R905" s="18" t="s">
        <v>35</v>
      </c>
      <c r="S905" s="18" t="s">
        <v>39</v>
      </c>
      <c r="T905" s="18" t="s">
        <v>44</v>
      </c>
      <c r="U905" s="18">
        <v>2011</v>
      </c>
      <c r="V905" s="16">
        <f t="shared" si="28"/>
        <v>40587</v>
      </c>
      <c r="W905" s="18" t="str">
        <f t="shared" si="29"/>
        <v>Weekday</v>
      </c>
    </row>
    <row r="906" spans="1:23" x14ac:dyDescent="0.25">
      <c r="A906" s="19">
        <v>904</v>
      </c>
      <c r="B906" s="20">
        <v>40584</v>
      </c>
      <c r="C906" s="18">
        <v>1</v>
      </c>
      <c r="D906" s="18">
        <v>0</v>
      </c>
      <c r="E906" s="18">
        <v>2</v>
      </c>
      <c r="F906" s="18">
        <v>4</v>
      </c>
      <c r="G906" s="18" t="b">
        <v>0</v>
      </c>
      <c r="H906" s="18">
        <v>4</v>
      </c>
      <c r="I906" s="18">
        <v>2</v>
      </c>
      <c r="J906" s="18">
        <v>0.14000000000000001</v>
      </c>
      <c r="K906">
        <v>0.13639999999999999</v>
      </c>
      <c r="L906">
        <v>0.59</v>
      </c>
      <c r="M906" s="18">
        <v>0.22389999999999999</v>
      </c>
      <c r="N906" s="18">
        <v>0</v>
      </c>
      <c r="O906" s="18">
        <v>1</v>
      </c>
      <c r="P906">
        <v>1</v>
      </c>
      <c r="Q906" s="18" t="s">
        <v>47</v>
      </c>
      <c r="R906" s="18" t="s">
        <v>35</v>
      </c>
      <c r="S906" s="18" t="s">
        <v>38</v>
      </c>
      <c r="T906" s="18" t="s">
        <v>44</v>
      </c>
      <c r="U906" s="18">
        <v>2011</v>
      </c>
      <c r="V906" s="16">
        <f t="shared" si="28"/>
        <v>40587</v>
      </c>
      <c r="W906" s="18" t="str">
        <f t="shared" si="29"/>
        <v>Weekday</v>
      </c>
    </row>
    <row r="907" spans="1:23" x14ac:dyDescent="0.25">
      <c r="A907" s="19">
        <v>905</v>
      </c>
      <c r="B907" s="20">
        <v>40584</v>
      </c>
      <c r="C907" s="18">
        <v>1</v>
      </c>
      <c r="D907" s="18">
        <v>0</v>
      </c>
      <c r="E907" s="18">
        <v>2</v>
      </c>
      <c r="F907" s="18">
        <v>5</v>
      </c>
      <c r="G907" s="18" t="b">
        <v>0</v>
      </c>
      <c r="H907" s="18">
        <v>4</v>
      </c>
      <c r="I907" s="18">
        <v>2</v>
      </c>
      <c r="J907" s="18">
        <v>0.12</v>
      </c>
      <c r="K907">
        <v>0.1212</v>
      </c>
      <c r="L907">
        <v>0.5</v>
      </c>
      <c r="M907" s="18">
        <v>0.22389999999999999</v>
      </c>
      <c r="N907" s="18">
        <v>0</v>
      </c>
      <c r="O907" s="18">
        <v>6</v>
      </c>
      <c r="P907">
        <v>6</v>
      </c>
      <c r="Q907" s="18" t="s">
        <v>47</v>
      </c>
      <c r="R907" s="18" t="s">
        <v>35</v>
      </c>
      <c r="S907" s="18" t="s">
        <v>38</v>
      </c>
      <c r="T907" s="18" t="s">
        <v>44</v>
      </c>
      <c r="U907" s="18">
        <v>2011</v>
      </c>
      <c r="V907" s="16">
        <f t="shared" si="28"/>
        <v>40587</v>
      </c>
      <c r="W907" s="18" t="str">
        <f t="shared" si="29"/>
        <v>Weekday</v>
      </c>
    </row>
    <row r="908" spans="1:23" x14ac:dyDescent="0.25">
      <c r="A908" s="19">
        <v>906</v>
      </c>
      <c r="B908" s="20">
        <v>40584</v>
      </c>
      <c r="C908" s="18">
        <v>1</v>
      </c>
      <c r="D908" s="18">
        <v>0</v>
      </c>
      <c r="E908" s="18">
        <v>2</v>
      </c>
      <c r="F908" s="18">
        <v>6</v>
      </c>
      <c r="G908" s="18" t="b">
        <v>0</v>
      </c>
      <c r="H908" s="18">
        <v>4</v>
      </c>
      <c r="I908" s="18">
        <v>2</v>
      </c>
      <c r="J908" s="18">
        <v>0.12</v>
      </c>
      <c r="K908">
        <v>0.1212</v>
      </c>
      <c r="L908">
        <v>0.54</v>
      </c>
      <c r="M908" s="18">
        <v>0.28360000000000002</v>
      </c>
      <c r="N908" s="18">
        <v>0</v>
      </c>
      <c r="O908" s="18">
        <v>26</v>
      </c>
      <c r="P908">
        <v>26</v>
      </c>
      <c r="Q908" s="18" t="s">
        <v>47</v>
      </c>
      <c r="R908" s="18" t="s">
        <v>35</v>
      </c>
      <c r="S908" s="18" t="s">
        <v>38</v>
      </c>
      <c r="T908" s="18" t="s">
        <v>44</v>
      </c>
      <c r="U908" s="18">
        <v>2011</v>
      </c>
      <c r="V908" s="16">
        <f t="shared" si="28"/>
        <v>40587</v>
      </c>
      <c r="W908" s="18" t="str">
        <f t="shared" si="29"/>
        <v>Weekday</v>
      </c>
    </row>
    <row r="909" spans="1:23" x14ac:dyDescent="0.25">
      <c r="A909" s="19">
        <v>907</v>
      </c>
      <c r="B909" s="20">
        <v>40584</v>
      </c>
      <c r="C909" s="18">
        <v>1</v>
      </c>
      <c r="D909" s="18">
        <v>0</v>
      </c>
      <c r="E909" s="18">
        <v>2</v>
      </c>
      <c r="F909" s="18">
        <v>7</v>
      </c>
      <c r="G909" s="18" t="b">
        <v>0</v>
      </c>
      <c r="H909" s="18">
        <v>4</v>
      </c>
      <c r="I909" s="18">
        <v>1</v>
      </c>
      <c r="J909" s="18">
        <v>0.1</v>
      </c>
      <c r="K909">
        <v>7.5800000000000006E-2</v>
      </c>
      <c r="L909">
        <v>0.5</v>
      </c>
      <c r="M909" s="18">
        <v>0.41789999999999999</v>
      </c>
      <c r="N909" s="18">
        <v>0</v>
      </c>
      <c r="O909" s="18">
        <v>99</v>
      </c>
      <c r="P909">
        <v>99</v>
      </c>
      <c r="Q909" s="18" t="s">
        <v>47</v>
      </c>
      <c r="R909" s="18" t="s">
        <v>35</v>
      </c>
      <c r="S909" s="18" t="s">
        <v>36</v>
      </c>
      <c r="T909" s="18" t="s">
        <v>44</v>
      </c>
      <c r="U909" s="18">
        <v>2011</v>
      </c>
      <c r="V909" s="16">
        <f t="shared" si="28"/>
        <v>40587</v>
      </c>
      <c r="W909" s="18" t="str">
        <f t="shared" si="29"/>
        <v>Weekday</v>
      </c>
    </row>
    <row r="910" spans="1:23" x14ac:dyDescent="0.25">
      <c r="A910" s="19">
        <v>908</v>
      </c>
      <c r="B910" s="20">
        <v>40584</v>
      </c>
      <c r="C910" s="18">
        <v>1</v>
      </c>
      <c r="D910" s="18">
        <v>0</v>
      </c>
      <c r="E910" s="18">
        <v>2</v>
      </c>
      <c r="F910" s="18">
        <v>8</v>
      </c>
      <c r="G910" s="18" t="b">
        <v>0</v>
      </c>
      <c r="H910" s="18">
        <v>4</v>
      </c>
      <c r="I910" s="18">
        <v>1</v>
      </c>
      <c r="J910" s="18">
        <v>0.1</v>
      </c>
      <c r="K910">
        <v>7.5800000000000006E-2</v>
      </c>
      <c r="L910">
        <v>0.49</v>
      </c>
      <c r="M910" s="18">
        <v>0.32840000000000003</v>
      </c>
      <c r="N910" s="18">
        <v>5</v>
      </c>
      <c r="O910" s="18">
        <v>173</v>
      </c>
      <c r="P910">
        <v>178</v>
      </c>
      <c r="Q910" s="18" t="s">
        <v>47</v>
      </c>
      <c r="R910" s="18" t="s">
        <v>35</v>
      </c>
      <c r="S910" s="18" t="s">
        <v>36</v>
      </c>
      <c r="T910" s="18" t="s">
        <v>44</v>
      </c>
      <c r="U910" s="18">
        <v>2011</v>
      </c>
      <c r="V910" s="16">
        <f t="shared" si="28"/>
        <v>40587</v>
      </c>
      <c r="W910" s="18" t="str">
        <f t="shared" si="29"/>
        <v>Weekday</v>
      </c>
    </row>
    <row r="911" spans="1:23" x14ac:dyDescent="0.25">
      <c r="A911" s="19">
        <v>909</v>
      </c>
      <c r="B911" s="20">
        <v>40584</v>
      </c>
      <c r="C911" s="18">
        <v>1</v>
      </c>
      <c r="D911" s="18">
        <v>0</v>
      </c>
      <c r="E911" s="18">
        <v>2</v>
      </c>
      <c r="F911" s="18">
        <v>9</v>
      </c>
      <c r="G911" s="18" t="b">
        <v>0</v>
      </c>
      <c r="H911" s="18">
        <v>4</v>
      </c>
      <c r="I911" s="18">
        <v>1</v>
      </c>
      <c r="J911" s="18">
        <v>0.12</v>
      </c>
      <c r="K911">
        <v>0.1061</v>
      </c>
      <c r="L911">
        <v>0.42</v>
      </c>
      <c r="M911" s="18">
        <v>0.35820000000000002</v>
      </c>
      <c r="N911" s="18">
        <v>1</v>
      </c>
      <c r="O911" s="18">
        <v>121</v>
      </c>
      <c r="P911">
        <v>122</v>
      </c>
      <c r="Q911" s="18" t="s">
        <v>47</v>
      </c>
      <c r="R911" s="18" t="s">
        <v>35</v>
      </c>
      <c r="S911" s="18" t="s">
        <v>36</v>
      </c>
      <c r="T911" s="18" t="s">
        <v>44</v>
      </c>
      <c r="U911" s="18">
        <v>2011</v>
      </c>
      <c r="V911" s="16">
        <f t="shared" si="28"/>
        <v>40587</v>
      </c>
      <c r="W911" s="18" t="str">
        <f t="shared" si="29"/>
        <v>Weekday</v>
      </c>
    </row>
    <row r="912" spans="1:23" x14ac:dyDescent="0.25">
      <c r="A912" s="19">
        <v>910</v>
      </c>
      <c r="B912" s="20">
        <v>40584</v>
      </c>
      <c r="C912" s="18">
        <v>1</v>
      </c>
      <c r="D912" s="18">
        <v>0</v>
      </c>
      <c r="E912" s="18">
        <v>2</v>
      </c>
      <c r="F912" s="18">
        <v>10</v>
      </c>
      <c r="G912" s="18" t="b">
        <v>0</v>
      </c>
      <c r="H912" s="18">
        <v>4</v>
      </c>
      <c r="I912" s="18">
        <v>1</v>
      </c>
      <c r="J912" s="18">
        <v>0.12</v>
      </c>
      <c r="K912">
        <v>0.1061</v>
      </c>
      <c r="L912">
        <v>0.42</v>
      </c>
      <c r="M912" s="18">
        <v>0.29849999999999999</v>
      </c>
      <c r="N912" s="18">
        <v>1</v>
      </c>
      <c r="O912" s="18">
        <v>34</v>
      </c>
      <c r="P912">
        <v>35</v>
      </c>
      <c r="Q912" s="18" t="s">
        <v>47</v>
      </c>
      <c r="R912" s="18" t="s">
        <v>35</v>
      </c>
      <c r="S912" s="18" t="s">
        <v>36</v>
      </c>
      <c r="T912" s="18" t="s">
        <v>44</v>
      </c>
      <c r="U912" s="18">
        <v>2011</v>
      </c>
      <c r="V912" s="16">
        <f t="shared" si="28"/>
        <v>40587</v>
      </c>
      <c r="W912" s="18" t="str">
        <f t="shared" si="29"/>
        <v>Weekday</v>
      </c>
    </row>
    <row r="913" spans="1:23" x14ac:dyDescent="0.25">
      <c r="A913" s="19">
        <v>911</v>
      </c>
      <c r="B913" s="20">
        <v>40584</v>
      </c>
      <c r="C913" s="18">
        <v>1</v>
      </c>
      <c r="D913" s="18">
        <v>0</v>
      </c>
      <c r="E913" s="18">
        <v>2</v>
      </c>
      <c r="F913" s="18">
        <v>11</v>
      </c>
      <c r="G913" s="18" t="b">
        <v>0</v>
      </c>
      <c r="H913" s="18">
        <v>4</v>
      </c>
      <c r="I913" s="18">
        <v>1</v>
      </c>
      <c r="J913" s="18">
        <v>0.14000000000000001</v>
      </c>
      <c r="K913">
        <v>0.1212</v>
      </c>
      <c r="L913">
        <v>0.39</v>
      </c>
      <c r="M913" s="18">
        <v>0.35820000000000002</v>
      </c>
      <c r="N913" s="18">
        <v>1</v>
      </c>
      <c r="O913" s="18">
        <v>44</v>
      </c>
      <c r="P913">
        <v>45</v>
      </c>
      <c r="Q913" s="18" t="s">
        <v>47</v>
      </c>
      <c r="R913" s="18" t="s">
        <v>35</v>
      </c>
      <c r="S913" s="18" t="s">
        <v>36</v>
      </c>
      <c r="T913" s="18" t="s">
        <v>44</v>
      </c>
      <c r="U913" s="18">
        <v>2011</v>
      </c>
      <c r="V913" s="16">
        <f t="shared" si="28"/>
        <v>40587</v>
      </c>
      <c r="W913" s="18" t="str">
        <f t="shared" si="29"/>
        <v>Weekday</v>
      </c>
    </row>
    <row r="914" spans="1:23" x14ac:dyDescent="0.25">
      <c r="A914" s="19">
        <v>912</v>
      </c>
      <c r="B914" s="20">
        <v>40584</v>
      </c>
      <c r="C914" s="18">
        <v>1</v>
      </c>
      <c r="D914" s="18">
        <v>0</v>
      </c>
      <c r="E914" s="18">
        <v>2</v>
      </c>
      <c r="F914" s="18">
        <v>12</v>
      </c>
      <c r="G914" s="18" t="b">
        <v>0</v>
      </c>
      <c r="H914" s="18">
        <v>4</v>
      </c>
      <c r="I914" s="18">
        <v>1</v>
      </c>
      <c r="J914" s="18">
        <v>0.16</v>
      </c>
      <c r="K914">
        <v>0.13639999999999999</v>
      </c>
      <c r="L914">
        <v>0.34</v>
      </c>
      <c r="M914" s="18">
        <v>0.3881</v>
      </c>
      <c r="N914" s="18">
        <v>4</v>
      </c>
      <c r="O914" s="18">
        <v>65</v>
      </c>
      <c r="P914">
        <v>69</v>
      </c>
      <c r="Q914" s="18" t="s">
        <v>47</v>
      </c>
      <c r="R914" s="18" t="s">
        <v>35</v>
      </c>
      <c r="S914" s="18" t="s">
        <v>36</v>
      </c>
      <c r="T914" s="18" t="s">
        <v>44</v>
      </c>
      <c r="U914" s="18">
        <v>2011</v>
      </c>
      <c r="V914" s="16">
        <f t="shared" si="28"/>
        <v>40587</v>
      </c>
      <c r="W914" s="18" t="str">
        <f t="shared" si="29"/>
        <v>Weekday</v>
      </c>
    </row>
    <row r="915" spans="1:23" x14ac:dyDescent="0.25">
      <c r="A915" s="19">
        <v>913</v>
      </c>
      <c r="B915" s="20">
        <v>40584</v>
      </c>
      <c r="C915" s="18">
        <v>1</v>
      </c>
      <c r="D915" s="18">
        <v>0</v>
      </c>
      <c r="E915" s="18">
        <v>2</v>
      </c>
      <c r="F915" s="18">
        <v>13</v>
      </c>
      <c r="G915" s="18" t="b">
        <v>0</v>
      </c>
      <c r="H915" s="18">
        <v>4</v>
      </c>
      <c r="I915" s="18">
        <v>1</v>
      </c>
      <c r="J915" s="18">
        <v>0.18</v>
      </c>
      <c r="K915">
        <v>0.16669999999999999</v>
      </c>
      <c r="L915">
        <v>0.28999999999999998</v>
      </c>
      <c r="M915" s="18">
        <v>0.29849999999999999</v>
      </c>
      <c r="N915" s="18">
        <v>3</v>
      </c>
      <c r="O915" s="18">
        <v>59</v>
      </c>
      <c r="P915">
        <v>62</v>
      </c>
      <c r="Q915" s="18" t="s">
        <v>47</v>
      </c>
      <c r="R915" s="18" t="s">
        <v>35</v>
      </c>
      <c r="S915" s="18" t="s">
        <v>36</v>
      </c>
      <c r="T915" s="18" t="s">
        <v>44</v>
      </c>
      <c r="U915" s="18">
        <v>2011</v>
      </c>
      <c r="V915" s="16">
        <f t="shared" si="28"/>
        <v>40587</v>
      </c>
      <c r="W915" s="18" t="str">
        <f t="shared" si="29"/>
        <v>Weekday</v>
      </c>
    </row>
    <row r="916" spans="1:23" x14ac:dyDescent="0.25">
      <c r="A916" s="19">
        <v>914</v>
      </c>
      <c r="B916" s="20">
        <v>40584</v>
      </c>
      <c r="C916" s="18">
        <v>1</v>
      </c>
      <c r="D916" s="18">
        <v>0</v>
      </c>
      <c r="E916" s="18">
        <v>2</v>
      </c>
      <c r="F916" s="18">
        <v>14</v>
      </c>
      <c r="G916" s="18" t="b">
        <v>0</v>
      </c>
      <c r="H916" s="18">
        <v>4</v>
      </c>
      <c r="I916" s="18">
        <v>1</v>
      </c>
      <c r="J916" s="18">
        <v>0.2</v>
      </c>
      <c r="K916">
        <v>0.18179999999999999</v>
      </c>
      <c r="L916">
        <v>0.27</v>
      </c>
      <c r="M916" s="18">
        <v>0.28360000000000002</v>
      </c>
      <c r="N916" s="18">
        <v>6</v>
      </c>
      <c r="O916" s="18">
        <v>42</v>
      </c>
      <c r="P916">
        <v>48</v>
      </c>
      <c r="Q916" s="18" t="s">
        <v>47</v>
      </c>
      <c r="R916" s="18" t="s">
        <v>35</v>
      </c>
      <c r="S916" s="18" t="s">
        <v>36</v>
      </c>
      <c r="T916" s="18" t="s">
        <v>44</v>
      </c>
      <c r="U916" s="18">
        <v>2011</v>
      </c>
      <c r="V916" s="16">
        <f t="shared" si="28"/>
        <v>40587</v>
      </c>
      <c r="W916" s="18" t="str">
        <f t="shared" si="29"/>
        <v>Weekday</v>
      </c>
    </row>
    <row r="917" spans="1:23" x14ac:dyDescent="0.25">
      <c r="A917" s="19">
        <v>915</v>
      </c>
      <c r="B917" s="20">
        <v>40584</v>
      </c>
      <c r="C917" s="18">
        <v>1</v>
      </c>
      <c r="D917" s="18">
        <v>0</v>
      </c>
      <c r="E917" s="18">
        <v>2</v>
      </c>
      <c r="F917" s="18">
        <v>15</v>
      </c>
      <c r="G917" s="18" t="b">
        <v>0</v>
      </c>
      <c r="H917" s="18">
        <v>4</v>
      </c>
      <c r="I917" s="18">
        <v>1</v>
      </c>
      <c r="J917" s="18">
        <v>0.2</v>
      </c>
      <c r="K917">
        <v>0.19700000000000001</v>
      </c>
      <c r="L917">
        <v>0.25</v>
      </c>
      <c r="M917" s="18">
        <v>0.25369999999999998</v>
      </c>
      <c r="N917" s="18">
        <v>0</v>
      </c>
      <c r="O917" s="18">
        <v>50</v>
      </c>
      <c r="P917">
        <v>50</v>
      </c>
      <c r="Q917" s="18" t="s">
        <v>47</v>
      </c>
      <c r="R917" s="18" t="s">
        <v>35</v>
      </c>
      <c r="S917" s="18" t="s">
        <v>36</v>
      </c>
      <c r="T917" s="18" t="s">
        <v>44</v>
      </c>
      <c r="U917" s="18">
        <v>2011</v>
      </c>
      <c r="V917" s="16">
        <f t="shared" si="28"/>
        <v>40587</v>
      </c>
      <c r="W917" s="18" t="str">
        <f t="shared" si="29"/>
        <v>Weekday</v>
      </c>
    </row>
    <row r="918" spans="1:23" x14ac:dyDescent="0.25">
      <c r="A918" s="19">
        <v>916</v>
      </c>
      <c r="B918" s="20">
        <v>40584</v>
      </c>
      <c r="C918" s="18">
        <v>1</v>
      </c>
      <c r="D918" s="18">
        <v>0</v>
      </c>
      <c r="E918" s="18">
        <v>2</v>
      </c>
      <c r="F918" s="18">
        <v>16</v>
      </c>
      <c r="G918" s="18" t="b">
        <v>0</v>
      </c>
      <c r="H918" s="18">
        <v>4</v>
      </c>
      <c r="I918" s="18">
        <v>1</v>
      </c>
      <c r="J918" s="18">
        <v>0.2</v>
      </c>
      <c r="K918">
        <v>0.18179999999999999</v>
      </c>
      <c r="L918">
        <v>0.27</v>
      </c>
      <c r="M918" s="18">
        <v>0.29849999999999999</v>
      </c>
      <c r="N918" s="18">
        <v>4</v>
      </c>
      <c r="O918" s="18">
        <v>76</v>
      </c>
      <c r="P918">
        <v>80</v>
      </c>
      <c r="Q918" s="18" t="s">
        <v>47</v>
      </c>
      <c r="R918" s="18" t="s">
        <v>35</v>
      </c>
      <c r="S918" s="18" t="s">
        <v>36</v>
      </c>
      <c r="T918" s="18" t="s">
        <v>44</v>
      </c>
      <c r="U918" s="18">
        <v>2011</v>
      </c>
      <c r="V918" s="16">
        <f t="shared" si="28"/>
        <v>40587</v>
      </c>
      <c r="W918" s="18" t="str">
        <f t="shared" si="29"/>
        <v>Weekday</v>
      </c>
    </row>
    <row r="919" spans="1:23" x14ac:dyDescent="0.25">
      <c r="A919" s="19">
        <v>917</v>
      </c>
      <c r="B919" s="20">
        <v>40584</v>
      </c>
      <c r="C919" s="18">
        <v>1</v>
      </c>
      <c r="D919" s="18">
        <v>0</v>
      </c>
      <c r="E919" s="18">
        <v>2</v>
      </c>
      <c r="F919" s="18">
        <v>17</v>
      </c>
      <c r="G919" s="18" t="b">
        <v>0</v>
      </c>
      <c r="H919" s="18">
        <v>4</v>
      </c>
      <c r="I919" s="18">
        <v>1</v>
      </c>
      <c r="J919" s="18">
        <v>0.18</v>
      </c>
      <c r="K919">
        <v>0.18179999999999999</v>
      </c>
      <c r="L919">
        <v>0.26</v>
      </c>
      <c r="M919" s="18">
        <v>0.19400000000000001</v>
      </c>
      <c r="N919" s="18">
        <v>6</v>
      </c>
      <c r="O919" s="18">
        <v>159</v>
      </c>
      <c r="P919">
        <v>165</v>
      </c>
      <c r="Q919" s="18" t="s">
        <v>47</v>
      </c>
      <c r="R919" s="18" t="s">
        <v>35</v>
      </c>
      <c r="S919" s="18" t="s">
        <v>36</v>
      </c>
      <c r="T919" s="18" t="s">
        <v>44</v>
      </c>
      <c r="U919" s="18">
        <v>2011</v>
      </c>
      <c r="V919" s="16">
        <f t="shared" si="28"/>
        <v>40587</v>
      </c>
      <c r="W919" s="18" t="str">
        <f t="shared" si="29"/>
        <v>Weekday</v>
      </c>
    </row>
    <row r="920" spans="1:23" x14ac:dyDescent="0.25">
      <c r="A920" s="19">
        <v>918</v>
      </c>
      <c r="B920" s="20">
        <v>40584</v>
      </c>
      <c r="C920" s="18">
        <v>1</v>
      </c>
      <c r="D920" s="18">
        <v>0</v>
      </c>
      <c r="E920" s="18">
        <v>2</v>
      </c>
      <c r="F920" s="18">
        <v>18</v>
      </c>
      <c r="G920" s="18" t="b">
        <v>0</v>
      </c>
      <c r="H920" s="18">
        <v>4</v>
      </c>
      <c r="I920" s="18">
        <v>1</v>
      </c>
      <c r="J920" s="18">
        <v>0.16</v>
      </c>
      <c r="K920">
        <v>0.18179999999999999</v>
      </c>
      <c r="L920">
        <v>0.28000000000000003</v>
      </c>
      <c r="M920" s="18">
        <v>0.1343</v>
      </c>
      <c r="N920" s="18">
        <v>3</v>
      </c>
      <c r="O920" s="18">
        <v>157</v>
      </c>
      <c r="P920">
        <v>160</v>
      </c>
      <c r="Q920" s="18" t="s">
        <v>47</v>
      </c>
      <c r="R920" s="18" t="s">
        <v>35</v>
      </c>
      <c r="S920" s="18" t="s">
        <v>36</v>
      </c>
      <c r="T920" s="18" t="s">
        <v>44</v>
      </c>
      <c r="U920" s="18">
        <v>2011</v>
      </c>
      <c r="V920" s="16">
        <f t="shared" si="28"/>
        <v>40587</v>
      </c>
      <c r="W920" s="18" t="str">
        <f t="shared" si="29"/>
        <v>Weekday</v>
      </c>
    </row>
    <row r="921" spans="1:23" x14ac:dyDescent="0.25">
      <c r="A921" s="19">
        <v>919</v>
      </c>
      <c r="B921" s="20">
        <v>40584</v>
      </c>
      <c r="C921" s="18">
        <v>1</v>
      </c>
      <c r="D921" s="18">
        <v>0</v>
      </c>
      <c r="E921" s="18">
        <v>2</v>
      </c>
      <c r="F921" s="18">
        <v>19</v>
      </c>
      <c r="G921" s="18" t="b">
        <v>0</v>
      </c>
      <c r="H921" s="18">
        <v>4</v>
      </c>
      <c r="I921" s="18">
        <v>1</v>
      </c>
      <c r="J921" s="18">
        <v>0.14000000000000001</v>
      </c>
      <c r="K921">
        <v>0.16669999999999999</v>
      </c>
      <c r="L921">
        <v>0.28000000000000003</v>
      </c>
      <c r="M921" s="18">
        <v>0.1045</v>
      </c>
      <c r="N921" s="18">
        <v>2</v>
      </c>
      <c r="O921" s="18">
        <v>110</v>
      </c>
      <c r="P921">
        <v>112</v>
      </c>
      <c r="Q921" s="18" t="s">
        <v>47</v>
      </c>
      <c r="R921" s="18" t="s">
        <v>35</v>
      </c>
      <c r="S921" s="18" t="s">
        <v>36</v>
      </c>
      <c r="T921" s="18" t="s">
        <v>44</v>
      </c>
      <c r="U921" s="18">
        <v>2011</v>
      </c>
      <c r="V921" s="16">
        <f t="shared" si="28"/>
        <v>40587</v>
      </c>
      <c r="W921" s="18" t="str">
        <f t="shared" si="29"/>
        <v>Weekday</v>
      </c>
    </row>
    <row r="922" spans="1:23" x14ac:dyDescent="0.25">
      <c r="A922" s="19">
        <v>920</v>
      </c>
      <c r="B922" s="20">
        <v>40584</v>
      </c>
      <c r="C922" s="18">
        <v>1</v>
      </c>
      <c r="D922" s="18">
        <v>0</v>
      </c>
      <c r="E922" s="18">
        <v>2</v>
      </c>
      <c r="F922" s="18">
        <v>20</v>
      </c>
      <c r="G922" s="18" t="b">
        <v>0</v>
      </c>
      <c r="H922" s="18">
        <v>4</v>
      </c>
      <c r="I922" s="18">
        <v>1</v>
      </c>
      <c r="J922" s="18">
        <v>0.14000000000000001</v>
      </c>
      <c r="K922">
        <v>0.18179999999999999</v>
      </c>
      <c r="L922">
        <v>0.31</v>
      </c>
      <c r="M922" s="18">
        <v>8.9599999999999999E-2</v>
      </c>
      <c r="N922" s="18">
        <v>4</v>
      </c>
      <c r="O922" s="18">
        <v>93</v>
      </c>
      <c r="P922">
        <v>97</v>
      </c>
      <c r="Q922" s="18" t="s">
        <v>47</v>
      </c>
      <c r="R922" s="18" t="s">
        <v>35</v>
      </c>
      <c r="S922" s="18" t="s">
        <v>36</v>
      </c>
      <c r="T922" s="18" t="s">
        <v>44</v>
      </c>
      <c r="U922" s="18">
        <v>2011</v>
      </c>
      <c r="V922" s="16">
        <f t="shared" si="28"/>
        <v>40587</v>
      </c>
      <c r="W922" s="18" t="str">
        <f t="shared" si="29"/>
        <v>Weekday</v>
      </c>
    </row>
    <row r="923" spans="1:23" x14ac:dyDescent="0.25">
      <c r="A923" s="19">
        <v>921</v>
      </c>
      <c r="B923" s="20">
        <v>40584</v>
      </c>
      <c r="C923" s="18">
        <v>1</v>
      </c>
      <c r="D923" s="18">
        <v>0</v>
      </c>
      <c r="E923" s="18">
        <v>2</v>
      </c>
      <c r="F923" s="18">
        <v>21</v>
      </c>
      <c r="G923" s="18" t="b">
        <v>0</v>
      </c>
      <c r="H923" s="18">
        <v>4</v>
      </c>
      <c r="I923" s="18">
        <v>1</v>
      </c>
      <c r="J923" s="18">
        <v>0.14000000000000001</v>
      </c>
      <c r="K923">
        <v>0.21210000000000001</v>
      </c>
      <c r="L923">
        <v>0.39</v>
      </c>
      <c r="M923" s="18">
        <v>0</v>
      </c>
      <c r="N923" s="18">
        <v>2</v>
      </c>
      <c r="O923" s="18">
        <v>70</v>
      </c>
      <c r="P923">
        <v>72</v>
      </c>
      <c r="Q923" s="18" t="s">
        <v>47</v>
      </c>
      <c r="R923" s="18" t="s">
        <v>35</v>
      </c>
      <c r="S923" s="18" t="s">
        <v>36</v>
      </c>
      <c r="T923" s="18" t="s">
        <v>44</v>
      </c>
      <c r="U923" s="18">
        <v>2011</v>
      </c>
      <c r="V923" s="16">
        <f t="shared" si="28"/>
        <v>40587</v>
      </c>
      <c r="W923" s="18" t="str">
        <f t="shared" si="29"/>
        <v>Weekday</v>
      </c>
    </row>
    <row r="924" spans="1:23" x14ac:dyDescent="0.25">
      <c r="A924" s="19">
        <v>922</v>
      </c>
      <c r="B924" s="20">
        <v>40584</v>
      </c>
      <c r="C924" s="18">
        <v>1</v>
      </c>
      <c r="D924" s="18">
        <v>0</v>
      </c>
      <c r="E924" s="18">
        <v>2</v>
      </c>
      <c r="F924" s="18">
        <v>22</v>
      </c>
      <c r="G924" s="18" t="b">
        <v>0</v>
      </c>
      <c r="H924" s="18">
        <v>4</v>
      </c>
      <c r="I924" s="18">
        <v>1</v>
      </c>
      <c r="J924" s="18">
        <v>0.12</v>
      </c>
      <c r="K924">
        <v>0.19700000000000001</v>
      </c>
      <c r="L924">
        <v>0.39</v>
      </c>
      <c r="M924" s="18">
        <v>0</v>
      </c>
      <c r="N924" s="18">
        <v>4</v>
      </c>
      <c r="O924" s="18">
        <v>47</v>
      </c>
      <c r="P924">
        <v>51</v>
      </c>
      <c r="Q924" s="18" t="s">
        <v>47</v>
      </c>
      <c r="R924" s="18" t="s">
        <v>35</v>
      </c>
      <c r="S924" s="18" t="s">
        <v>36</v>
      </c>
      <c r="T924" s="18" t="s">
        <v>44</v>
      </c>
      <c r="U924" s="18">
        <v>2011</v>
      </c>
      <c r="V924" s="16">
        <f t="shared" si="28"/>
        <v>40587</v>
      </c>
      <c r="W924" s="18" t="str">
        <f t="shared" si="29"/>
        <v>Weekday</v>
      </c>
    </row>
    <row r="925" spans="1:23" x14ac:dyDescent="0.25">
      <c r="A925" s="19">
        <v>923</v>
      </c>
      <c r="B925" s="20">
        <v>40584</v>
      </c>
      <c r="C925" s="18">
        <v>1</v>
      </c>
      <c r="D925" s="18">
        <v>0</v>
      </c>
      <c r="E925" s="18">
        <v>2</v>
      </c>
      <c r="F925" s="18">
        <v>23</v>
      </c>
      <c r="G925" s="18" t="b">
        <v>0</v>
      </c>
      <c r="H925" s="18">
        <v>4</v>
      </c>
      <c r="I925" s="18">
        <v>1</v>
      </c>
      <c r="J925" s="18">
        <v>0.12</v>
      </c>
      <c r="K925">
        <v>0.1515</v>
      </c>
      <c r="L925">
        <v>0.42</v>
      </c>
      <c r="M925" s="18">
        <v>0.1045</v>
      </c>
      <c r="N925" s="18">
        <v>1</v>
      </c>
      <c r="O925" s="18">
        <v>33</v>
      </c>
      <c r="P925">
        <v>34</v>
      </c>
      <c r="Q925" s="18" t="s">
        <v>47</v>
      </c>
      <c r="R925" s="18" t="s">
        <v>35</v>
      </c>
      <c r="S925" s="18" t="s">
        <v>36</v>
      </c>
      <c r="T925" s="18" t="s">
        <v>44</v>
      </c>
      <c r="U925" s="18">
        <v>2011</v>
      </c>
      <c r="V925" s="16">
        <f t="shared" si="28"/>
        <v>40587</v>
      </c>
      <c r="W925" s="18" t="str">
        <f t="shared" si="29"/>
        <v>Weekday</v>
      </c>
    </row>
    <row r="926" spans="1:23" x14ac:dyDescent="0.25">
      <c r="A926" s="19">
        <v>924</v>
      </c>
      <c r="B926" s="20">
        <v>40585</v>
      </c>
      <c r="C926" s="18">
        <v>1</v>
      </c>
      <c r="D926" s="18">
        <v>0</v>
      </c>
      <c r="E926" s="18">
        <v>2</v>
      </c>
      <c r="F926" s="18">
        <v>0</v>
      </c>
      <c r="G926" s="18" t="b">
        <v>0</v>
      </c>
      <c r="H926" s="18">
        <v>5</v>
      </c>
      <c r="I926" s="18">
        <v>1</v>
      </c>
      <c r="J926" s="18">
        <v>0.1</v>
      </c>
      <c r="K926">
        <v>0.13639999999999999</v>
      </c>
      <c r="L926">
        <v>0.49</v>
      </c>
      <c r="M926" s="18">
        <v>0.1045</v>
      </c>
      <c r="N926" s="18">
        <v>2</v>
      </c>
      <c r="O926" s="18">
        <v>12</v>
      </c>
      <c r="P926">
        <v>14</v>
      </c>
      <c r="Q926" s="18" t="s">
        <v>47</v>
      </c>
      <c r="R926" s="18" t="s">
        <v>35</v>
      </c>
      <c r="S926" s="18" t="s">
        <v>36</v>
      </c>
      <c r="T926" s="18" t="s">
        <v>45</v>
      </c>
      <c r="U926" s="18">
        <v>2011</v>
      </c>
      <c r="V926" s="16">
        <f t="shared" si="28"/>
        <v>40587</v>
      </c>
      <c r="W926" s="18" t="str">
        <f t="shared" si="29"/>
        <v>Weekday</v>
      </c>
    </row>
    <row r="927" spans="1:23" x14ac:dyDescent="0.25">
      <c r="A927" s="19">
        <v>925</v>
      </c>
      <c r="B927" s="20">
        <v>40585</v>
      </c>
      <c r="C927" s="18">
        <v>1</v>
      </c>
      <c r="D927" s="18">
        <v>0</v>
      </c>
      <c r="E927" s="18">
        <v>2</v>
      </c>
      <c r="F927" s="18">
        <v>1</v>
      </c>
      <c r="G927" s="18" t="b">
        <v>0</v>
      </c>
      <c r="H927" s="18">
        <v>5</v>
      </c>
      <c r="I927" s="18">
        <v>1</v>
      </c>
      <c r="J927" s="18">
        <v>0.1</v>
      </c>
      <c r="K927">
        <v>0.13639999999999999</v>
      </c>
      <c r="L927">
        <v>0.54</v>
      </c>
      <c r="M927" s="18">
        <v>8.9599999999999999E-2</v>
      </c>
      <c r="N927" s="18">
        <v>1</v>
      </c>
      <c r="O927" s="18">
        <v>6</v>
      </c>
      <c r="P927">
        <v>7</v>
      </c>
      <c r="Q927" s="18" t="s">
        <v>47</v>
      </c>
      <c r="R927" s="18" t="s">
        <v>35</v>
      </c>
      <c r="S927" s="18" t="s">
        <v>36</v>
      </c>
      <c r="T927" s="18" t="s">
        <v>45</v>
      </c>
      <c r="U927" s="18">
        <v>2011</v>
      </c>
      <c r="V927" s="16">
        <f t="shared" si="28"/>
        <v>40587</v>
      </c>
      <c r="W927" s="18" t="str">
        <f t="shared" si="29"/>
        <v>Weekday</v>
      </c>
    </row>
    <row r="928" spans="1:23" x14ac:dyDescent="0.25">
      <c r="A928" s="19">
        <v>926</v>
      </c>
      <c r="B928" s="20">
        <v>40585</v>
      </c>
      <c r="C928" s="18">
        <v>1</v>
      </c>
      <c r="D928" s="18">
        <v>0</v>
      </c>
      <c r="E928" s="18">
        <v>2</v>
      </c>
      <c r="F928" s="18">
        <v>2</v>
      </c>
      <c r="G928" s="18" t="b">
        <v>0</v>
      </c>
      <c r="H928" s="18">
        <v>5</v>
      </c>
      <c r="I928" s="18">
        <v>1</v>
      </c>
      <c r="J928" s="18">
        <v>0.1</v>
      </c>
      <c r="K928">
        <v>0.13639999999999999</v>
      </c>
      <c r="L928">
        <v>0.54</v>
      </c>
      <c r="M928" s="18">
        <v>8.9599999999999999E-2</v>
      </c>
      <c r="N928" s="18">
        <v>0</v>
      </c>
      <c r="O928" s="18">
        <v>3</v>
      </c>
      <c r="P928">
        <v>3</v>
      </c>
      <c r="Q928" s="18" t="s">
        <v>47</v>
      </c>
      <c r="R928" s="18" t="s">
        <v>35</v>
      </c>
      <c r="S928" s="18" t="s">
        <v>36</v>
      </c>
      <c r="T928" s="18" t="s">
        <v>45</v>
      </c>
      <c r="U928" s="18">
        <v>2011</v>
      </c>
      <c r="V928" s="16">
        <f t="shared" si="28"/>
        <v>40587</v>
      </c>
      <c r="W928" s="18" t="str">
        <f t="shared" si="29"/>
        <v>Weekday</v>
      </c>
    </row>
    <row r="929" spans="1:23" x14ac:dyDescent="0.25">
      <c r="A929" s="19">
        <v>927</v>
      </c>
      <c r="B929" s="20">
        <v>40585</v>
      </c>
      <c r="C929" s="18">
        <v>1</v>
      </c>
      <c r="D929" s="18">
        <v>0</v>
      </c>
      <c r="E929" s="18">
        <v>2</v>
      </c>
      <c r="F929" s="18">
        <v>5</v>
      </c>
      <c r="G929" s="18" t="b">
        <v>0</v>
      </c>
      <c r="H929" s="18">
        <v>5</v>
      </c>
      <c r="I929" s="18">
        <v>1</v>
      </c>
      <c r="J929" s="18">
        <v>0.08</v>
      </c>
      <c r="K929">
        <v>0.1212</v>
      </c>
      <c r="L929">
        <v>0.63</v>
      </c>
      <c r="M929" s="18">
        <v>8.9599999999999999E-2</v>
      </c>
      <c r="N929" s="18">
        <v>0</v>
      </c>
      <c r="O929" s="18">
        <v>4</v>
      </c>
      <c r="P929">
        <v>4</v>
      </c>
      <c r="Q929" s="18" t="s">
        <v>47</v>
      </c>
      <c r="R929" s="18" t="s">
        <v>35</v>
      </c>
      <c r="S929" s="18" t="s">
        <v>36</v>
      </c>
      <c r="T929" s="18" t="s">
        <v>45</v>
      </c>
      <c r="U929" s="18">
        <v>2011</v>
      </c>
      <c r="V929" s="16">
        <f t="shared" si="28"/>
        <v>40587</v>
      </c>
      <c r="W929" s="18" t="str">
        <f t="shared" si="29"/>
        <v>Weekday</v>
      </c>
    </row>
    <row r="930" spans="1:23" x14ac:dyDescent="0.25">
      <c r="A930" s="19">
        <v>928</v>
      </c>
      <c r="B930" s="20">
        <v>40585</v>
      </c>
      <c r="C930" s="18">
        <v>1</v>
      </c>
      <c r="D930" s="18">
        <v>0</v>
      </c>
      <c r="E930" s="18">
        <v>2</v>
      </c>
      <c r="F930" s="18">
        <v>6</v>
      </c>
      <c r="G930" s="18" t="b">
        <v>0</v>
      </c>
      <c r="H930" s="18">
        <v>5</v>
      </c>
      <c r="I930" s="18">
        <v>1</v>
      </c>
      <c r="J930" s="18">
        <v>0.1</v>
      </c>
      <c r="K930">
        <v>0.18179999999999999</v>
      </c>
      <c r="L930">
        <v>0.68</v>
      </c>
      <c r="M930" s="18">
        <v>0</v>
      </c>
      <c r="N930" s="18">
        <v>1</v>
      </c>
      <c r="O930" s="18">
        <v>23</v>
      </c>
      <c r="P930">
        <v>24</v>
      </c>
      <c r="Q930" s="18" t="s">
        <v>47</v>
      </c>
      <c r="R930" s="18" t="s">
        <v>35</v>
      </c>
      <c r="S930" s="18" t="s">
        <v>36</v>
      </c>
      <c r="T930" s="18" t="s">
        <v>45</v>
      </c>
      <c r="U930" s="18">
        <v>2011</v>
      </c>
      <c r="V930" s="16">
        <f t="shared" si="28"/>
        <v>40587</v>
      </c>
      <c r="W930" s="18" t="str">
        <f t="shared" si="29"/>
        <v>Weekday</v>
      </c>
    </row>
    <row r="931" spans="1:23" x14ac:dyDescent="0.25">
      <c r="A931" s="19">
        <v>929</v>
      </c>
      <c r="B931" s="20">
        <v>40585</v>
      </c>
      <c r="C931" s="18">
        <v>1</v>
      </c>
      <c r="D931" s="18">
        <v>0</v>
      </c>
      <c r="E931" s="18">
        <v>2</v>
      </c>
      <c r="F931" s="18">
        <v>7</v>
      </c>
      <c r="G931" s="18" t="b">
        <v>0</v>
      </c>
      <c r="H931" s="18">
        <v>5</v>
      </c>
      <c r="I931" s="18">
        <v>1</v>
      </c>
      <c r="J931" s="18">
        <v>0.08</v>
      </c>
      <c r="K931">
        <v>0.16669999999999999</v>
      </c>
      <c r="L931">
        <v>0.73</v>
      </c>
      <c r="M931" s="18">
        <v>0</v>
      </c>
      <c r="N931" s="18">
        <v>1</v>
      </c>
      <c r="O931" s="18">
        <v>73</v>
      </c>
      <c r="P931">
        <v>74</v>
      </c>
      <c r="Q931" s="18" t="s">
        <v>47</v>
      </c>
      <c r="R931" s="18" t="s">
        <v>35</v>
      </c>
      <c r="S931" s="18" t="s">
        <v>36</v>
      </c>
      <c r="T931" s="18" t="s">
        <v>45</v>
      </c>
      <c r="U931" s="18">
        <v>2011</v>
      </c>
      <c r="V931" s="16">
        <f t="shared" si="28"/>
        <v>40587</v>
      </c>
      <c r="W931" s="18" t="str">
        <f t="shared" si="29"/>
        <v>Weekday</v>
      </c>
    </row>
    <row r="932" spans="1:23" x14ac:dyDescent="0.25">
      <c r="A932" s="19">
        <v>930</v>
      </c>
      <c r="B932" s="20">
        <v>40585</v>
      </c>
      <c r="C932" s="18">
        <v>1</v>
      </c>
      <c r="D932" s="18">
        <v>0</v>
      </c>
      <c r="E932" s="18">
        <v>2</v>
      </c>
      <c r="F932" s="18">
        <v>8</v>
      </c>
      <c r="G932" s="18" t="b">
        <v>0</v>
      </c>
      <c r="H932" s="18">
        <v>5</v>
      </c>
      <c r="I932" s="18">
        <v>1</v>
      </c>
      <c r="J932" s="18">
        <v>0.1</v>
      </c>
      <c r="K932">
        <v>0.1212</v>
      </c>
      <c r="L932">
        <v>0.74</v>
      </c>
      <c r="M932" s="18">
        <v>0.16420000000000001</v>
      </c>
      <c r="N932" s="18">
        <v>4</v>
      </c>
      <c r="O932" s="18">
        <v>212</v>
      </c>
      <c r="P932">
        <v>216</v>
      </c>
      <c r="Q932" s="18" t="s">
        <v>47</v>
      </c>
      <c r="R932" s="18" t="s">
        <v>35</v>
      </c>
      <c r="S932" s="18" t="s">
        <v>36</v>
      </c>
      <c r="T932" s="18" t="s">
        <v>45</v>
      </c>
      <c r="U932" s="18">
        <v>2011</v>
      </c>
      <c r="V932" s="16">
        <f t="shared" si="28"/>
        <v>40587</v>
      </c>
      <c r="W932" s="18" t="str">
        <f t="shared" si="29"/>
        <v>Weekday</v>
      </c>
    </row>
    <row r="933" spans="1:23" x14ac:dyDescent="0.25">
      <c r="A933" s="19">
        <v>931</v>
      </c>
      <c r="B933" s="20">
        <v>40585</v>
      </c>
      <c r="C933" s="18">
        <v>1</v>
      </c>
      <c r="D933" s="18">
        <v>0</v>
      </c>
      <c r="E933" s="18">
        <v>2</v>
      </c>
      <c r="F933" s="18">
        <v>9</v>
      </c>
      <c r="G933" s="18" t="b">
        <v>0</v>
      </c>
      <c r="H933" s="18">
        <v>5</v>
      </c>
      <c r="I933" s="18">
        <v>1</v>
      </c>
      <c r="J933" s="18">
        <v>0.12</v>
      </c>
      <c r="K933">
        <v>0.1212</v>
      </c>
      <c r="L933">
        <v>0.74</v>
      </c>
      <c r="M933" s="18">
        <v>0.22389999999999999</v>
      </c>
      <c r="N933" s="18">
        <v>8</v>
      </c>
      <c r="O933" s="18">
        <v>132</v>
      </c>
      <c r="P933">
        <v>140</v>
      </c>
      <c r="Q933" s="18" t="s">
        <v>47</v>
      </c>
      <c r="R933" s="18" t="s">
        <v>35</v>
      </c>
      <c r="S933" s="18" t="s">
        <v>36</v>
      </c>
      <c r="T933" s="18" t="s">
        <v>45</v>
      </c>
      <c r="U933" s="18">
        <v>2011</v>
      </c>
      <c r="V933" s="16">
        <f t="shared" si="28"/>
        <v>40587</v>
      </c>
      <c r="W933" s="18" t="str">
        <f t="shared" si="29"/>
        <v>Weekday</v>
      </c>
    </row>
    <row r="934" spans="1:23" x14ac:dyDescent="0.25">
      <c r="A934" s="19">
        <v>932</v>
      </c>
      <c r="B934" s="20">
        <v>40585</v>
      </c>
      <c r="C934" s="18">
        <v>1</v>
      </c>
      <c r="D934" s="18">
        <v>0</v>
      </c>
      <c r="E934" s="18">
        <v>2</v>
      </c>
      <c r="F934" s="18">
        <v>10</v>
      </c>
      <c r="G934" s="18" t="b">
        <v>0</v>
      </c>
      <c r="H934" s="18">
        <v>5</v>
      </c>
      <c r="I934" s="18">
        <v>1</v>
      </c>
      <c r="J934" s="18">
        <v>0.14000000000000001</v>
      </c>
      <c r="K934">
        <v>0.13639999999999999</v>
      </c>
      <c r="L934">
        <v>0.69</v>
      </c>
      <c r="M934" s="18">
        <v>0.19400000000000001</v>
      </c>
      <c r="N934" s="18">
        <v>5</v>
      </c>
      <c r="O934" s="18">
        <v>39</v>
      </c>
      <c r="P934">
        <v>44</v>
      </c>
      <c r="Q934" s="18" t="s">
        <v>47</v>
      </c>
      <c r="R934" s="18" t="s">
        <v>35</v>
      </c>
      <c r="S934" s="18" t="s">
        <v>36</v>
      </c>
      <c r="T934" s="18" t="s">
        <v>45</v>
      </c>
      <c r="U934" s="18">
        <v>2011</v>
      </c>
      <c r="V934" s="16">
        <f t="shared" si="28"/>
        <v>40587</v>
      </c>
      <c r="W934" s="18" t="str">
        <f t="shared" si="29"/>
        <v>Weekday</v>
      </c>
    </row>
    <row r="935" spans="1:23" x14ac:dyDescent="0.25">
      <c r="A935" s="19">
        <v>933</v>
      </c>
      <c r="B935" s="20">
        <v>40585</v>
      </c>
      <c r="C935" s="18">
        <v>1</v>
      </c>
      <c r="D935" s="18">
        <v>0</v>
      </c>
      <c r="E935" s="18">
        <v>2</v>
      </c>
      <c r="F935" s="18">
        <v>11</v>
      </c>
      <c r="G935" s="18" t="b">
        <v>0</v>
      </c>
      <c r="H935" s="18">
        <v>5</v>
      </c>
      <c r="I935" s="18">
        <v>1</v>
      </c>
      <c r="J935" s="18">
        <v>0.22</v>
      </c>
      <c r="K935">
        <v>0.2273</v>
      </c>
      <c r="L935">
        <v>0.47</v>
      </c>
      <c r="M935" s="18">
        <v>0.1343</v>
      </c>
      <c r="N935" s="18">
        <v>12</v>
      </c>
      <c r="O935" s="18">
        <v>52</v>
      </c>
      <c r="P935">
        <v>64</v>
      </c>
      <c r="Q935" s="18" t="s">
        <v>47</v>
      </c>
      <c r="R935" s="18" t="s">
        <v>35</v>
      </c>
      <c r="S935" s="18" t="s">
        <v>36</v>
      </c>
      <c r="T935" s="18" t="s">
        <v>45</v>
      </c>
      <c r="U935" s="18">
        <v>2011</v>
      </c>
      <c r="V935" s="16">
        <f t="shared" si="28"/>
        <v>40587</v>
      </c>
      <c r="W935" s="18" t="str">
        <f t="shared" si="29"/>
        <v>Weekday</v>
      </c>
    </row>
    <row r="936" spans="1:23" x14ac:dyDescent="0.25">
      <c r="A936" s="19">
        <v>934</v>
      </c>
      <c r="B936" s="20">
        <v>40585</v>
      </c>
      <c r="C936" s="18">
        <v>1</v>
      </c>
      <c r="D936" s="18">
        <v>0</v>
      </c>
      <c r="E936" s="18">
        <v>2</v>
      </c>
      <c r="F936" s="18">
        <v>12</v>
      </c>
      <c r="G936" s="18" t="b">
        <v>0</v>
      </c>
      <c r="H936" s="18">
        <v>5</v>
      </c>
      <c r="I936" s="18">
        <v>1</v>
      </c>
      <c r="J936" s="18">
        <v>0.22</v>
      </c>
      <c r="K936">
        <v>0.2273</v>
      </c>
      <c r="L936">
        <v>0.47</v>
      </c>
      <c r="M936" s="18">
        <v>0.1343</v>
      </c>
      <c r="N936" s="18">
        <v>7</v>
      </c>
      <c r="O936" s="18">
        <v>64</v>
      </c>
      <c r="P936">
        <v>71</v>
      </c>
      <c r="Q936" s="18" t="s">
        <v>47</v>
      </c>
      <c r="R936" s="18" t="s">
        <v>35</v>
      </c>
      <c r="S936" s="18" t="s">
        <v>36</v>
      </c>
      <c r="T936" s="18" t="s">
        <v>45</v>
      </c>
      <c r="U936" s="18">
        <v>2011</v>
      </c>
      <c r="V936" s="16">
        <f t="shared" si="28"/>
        <v>40587</v>
      </c>
      <c r="W936" s="18" t="str">
        <f t="shared" si="29"/>
        <v>Weekday</v>
      </c>
    </row>
    <row r="937" spans="1:23" x14ac:dyDescent="0.25">
      <c r="A937" s="19">
        <v>935</v>
      </c>
      <c r="B937" s="20">
        <v>40585</v>
      </c>
      <c r="C937" s="18">
        <v>1</v>
      </c>
      <c r="D937" s="18">
        <v>0</v>
      </c>
      <c r="E937" s="18">
        <v>2</v>
      </c>
      <c r="F937" s="18">
        <v>13</v>
      </c>
      <c r="G937" s="18" t="b">
        <v>0</v>
      </c>
      <c r="H937" s="18">
        <v>5</v>
      </c>
      <c r="I937" s="18">
        <v>1</v>
      </c>
      <c r="J937" s="18">
        <v>0.24</v>
      </c>
      <c r="K937">
        <v>0.2273</v>
      </c>
      <c r="L937">
        <v>0.35</v>
      </c>
      <c r="M937" s="18">
        <v>0.19400000000000001</v>
      </c>
      <c r="N937" s="18">
        <v>21</v>
      </c>
      <c r="O937" s="18">
        <v>89</v>
      </c>
      <c r="P937">
        <v>110</v>
      </c>
      <c r="Q937" s="18" t="s">
        <v>47</v>
      </c>
      <c r="R937" s="18" t="s">
        <v>35</v>
      </c>
      <c r="S937" s="18" t="s">
        <v>36</v>
      </c>
      <c r="T937" s="18" t="s">
        <v>45</v>
      </c>
      <c r="U937" s="18">
        <v>2011</v>
      </c>
      <c r="V937" s="16">
        <f t="shared" si="28"/>
        <v>40587</v>
      </c>
      <c r="W937" s="18" t="str">
        <f t="shared" si="29"/>
        <v>Weekday</v>
      </c>
    </row>
    <row r="938" spans="1:23" x14ac:dyDescent="0.25">
      <c r="A938" s="19">
        <v>936</v>
      </c>
      <c r="B938" s="20">
        <v>40585</v>
      </c>
      <c r="C938" s="18">
        <v>1</v>
      </c>
      <c r="D938" s="18">
        <v>0</v>
      </c>
      <c r="E938" s="18">
        <v>2</v>
      </c>
      <c r="F938" s="18">
        <v>14</v>
      </c>
      <c r="G938" s="18" t="b">
        <v>0</v>
      </c>
      <c r="H938" s="18">
        <v>5</v>
      </c>
      <c r="I938" s="18">
        <v>1</v>
      </c>
      <c r="J938" s="18">
        <v>0.3</v>
      </c>
      <c r="K938">
        <v>0.28789999999999999</v>
      </c>
      <c r="L938">
        <v>0.26</v>
      </c>
      <c r="M938" s="18">
        <v>0.25369999999999998</v>
      </c>
      <c r="N938" s="18">
        <v>17</v>
      </c>
      <c r="O938" s="18">
        <v>67</v>
      </c>
      <c r="P938">
        <v>84</v>
      </c>
      <c r="Q938" s="18" t="s">
        <v>47</v>
      </c>
      <c r="R938" s="18" t="s">
        <v>35</v>
      </c>
      <c r="S938" s="18" t="s">
        <v>36</v>
      </c>
      <c r="T938" s="18" t="s">
        <v>45</v>
      </c>
      <c r="U938" s="18">
        <v>2011</v>
      </c>
      <c r="V938" s="16">
        <f t="shared" si="28"/>
        <v>40587</v>
      </c>
      <c r="W938" s="18" t="str">
        <f t="shared" si="29"/>
        <v>Weekday</v>
      </c>
    </row>
    <row r="939" spans="1:23" x14ac:dyDescent="0.25">
      <c r="A939" s="19">
        <v>937</v>
      </c>
      <c r="B939" s="20">
        <v>40585</v>
      </c>
      <c r="C939" s="18">
        <v>1</v>
      </c>
      <c r="D939" s="18">
        <v>0</v>
      </c>
      <c r="E939" s="18">
        <v>2</v>
      </c>
      <c r="F939" s="18">
        <v>15</v>
      </c>
      <c r="G939" s="18" t="b">
        <v>0</v>
      </c>
      <c r="H939" s="18">
        <v>5</v>
      </c>
      <c r="I939" s="18">
        <v>1</v>
      </c>
      <c r="J939" s="18">
        <v>0.32</v>
      </c>
      <c r="K939">
        <v>0.31819999999999998</v>
      </c>
      <c r="L939">
        <v>0.21</v>
      </c>
      <c r="M939" s="18">
        <v>0.16420000000000001</v>
      </c>
      <c r="N939" s="18">
        <v>12</v>
      </c>
      <c r="O939" s="18">
        <v>62</v>
      </c>
      <c r="P939">
        <v>74</v>
      </c>
      <c r="Q939" s="18" t="s">
        <v>47</v>
      </c>
      <c r="R939" s="18" t="s">
        <v>35</v>
      </c>
      <c r="S939" s="18" t="s">
        <v>36</v>
      </c>
      <c r="T939" s="18" t="s">
        <v>45</v>
      </c>
      <c r="U939" s="18">
        <v>2011</v>
      </c>
      <c r="V939" s="16">
        <f t="shared" si="28"/>
        <v>40587</v>
      </c>
      <c r="W939" s="18" t="str">
        <f t="shared" si="29"/>
        <v>Weekday</v>
      </c>
    </row>
    <row r="940" spans="1:23" x14ac:dyDescent="0.25">
      <c r="A940" s="19">
        <v>938</v>
      </c>
      <c r="B940" s="20">
        <v>40585</v>
      </c>
      <c r="C940" s="18">
        <v>1</v>
      </c>
      <c r="D940" s="18">
        <v>0</v>
      </c>
      <c r="E940" s="18">
        <v>2</v>
      </c>
      <c r="F940" s="18">
        <v>16</v>
      </c>
      <c r="G940" s="18" t="b">
        <v>0</v>
      </c>
      <c r="H940" s="18">
        <v>5</v>
      </c>
      <c r="I940" s="18">
        <v>1</v>
      </c>
      <c r="J940" s="18">
        <v>0.3</v>
      </c>
      <c r="K940">
        <v>0.28789999999999999</v>
      </c>
      <c r="L940">
        <v>0.28000000000000003</v>
      </c>
      <c r="M940" s="18">
        <v>0.19400000000000001</v>
      </c>
      <c r="N940" s="18">
        <v>14</v>
      </c>
      <c r="O940" s="18">
        <v>111</v>
      </c>
      <c r="P940">
        <v>125</v>
      </c>
      <c r="Q940" s="18" t="s">
        <v>47</v>
      </c>
      <c r="R940" s="18" t="s">
        <v>35</v>
      </c>
      <c r="S940" s="18" t="s">
        <v>36</v>
      </c>
      <c r="T940" s="18" t="s">
        <v>45</v>
      </c>
      <c r="U940" s="18">
        <v>2011</v>
      </c>
      <c r="V940" s="16">
        <f t="shared" si="28"/>
        <v>40587</v>
      </c>
      <c r="W940" s="18" t="str">
        <f t="shared" si="29"/>
        <v>Weekday</v>
      </c>
    </row>
    <row r="941" spans="1:23" x14ac:dyDescent="0.25">
      <c r="A941" s="19">
        <v>939</v>
      </c>
      <c r="B941" s="20">
        <v>40585</v>
      </c>
      <c r="C941" s="18">
        <v>1</v>
      </c>
      <c r="D941" s="18">
        <v>0</v>
      </c>
      <c r="E941" s="18">
        <v>2</v>
      </c>
      <c r="F941" s="18">
        <v>17</v>
      </c>
      <c r="G941" s="18" t="b">
        <v>0</v>
      </c>
      <c r="H941" s="18">
        <v>5</v>
      </c>
      <c r="I941" s="18">
        <v>1</v>
      </c>
      <c r="J941" s="18">
        <v>0.3</v>
      </c>
      <c r="K941">
        <v>0.33329999999999999</v>
      </c>
      <c r="L941">
        <v>0.24</v>
      </c>
      <c r="M941" s="18">
        <v>0</v>
      </c>
      <c r="N941" s="18">
        <v>18</v>
      </c>
      <c r="O941" s="18">
        <v>193</v>
      </c>
      <c r="P941">
        <v>211</v>
      </c>
      <c r="Q941" s="18" t="s">
        <v>47</v>
      </c>
      <c r="R941" s="18" t="s">
        <v>35</v>
      </c>
      <c r="S941" s="18" t="s">
        <v>36</v>
      </c>
      <c r="T941" s="18" t="s">
        <v>45</v>
      </c>
      <c r="U941" s="18">
        <v>2011</v>
      </c>
      <c r="V941" s="16">
        <f t="shared" si="28"/>
        <v>40587</v>
      </c>
      <c r="W941" s="18" t="str">
        <f t="shared" si="29"/>
        <v>Weekday</v>
      </c>
    </row>
    <row r="942" spans="1:23" x14ac:dyDescent="0.25">
      <c r="A942" s="19">
        <v>940</v>
      </c>
      <c r="B942" s="20">
        <v>40585</v>
      </c>
      <c r="C942" s="18">
        <v>1</v>
      </c>
      <c r="D942" s="18">
        <v>0</v>
      </c>
      <c r="E942" s="18">
        <v>2</v>
      </c>
      <c r="F942" s="18">
        <v>18</v>
      </c>
      <c r="G942" s="18" t="b">
        <v>0</v>
      </c>
      <c r="H942" s="18">
        <v>5</v>
      </c>
      <c r="I942" s="18">
        <v>1</v>
      </c>
      <c r="J942" s="18">
        <v>0.28000000000000003</v>
      </c>
      <c r="K942">
        <v>0.31819999999999998</v>
      </c>
      <c r="L942">
        <v>0.28000000000000003</v>
      </c>
      <c r="M942" s="18">
        <v>0</v>
      </c>
      <c r="N942" s="18">
        <v>9</v>
      </c>
      <c r="O942" s="18">
        <v>165</v>
      </c>
      <c r="P942">
        <v>174</v>
      </c>
      <c r="Q942" s="18" t="s">
        <v>47</v>
      </c>
      <c r="R942" s="18" t="s">
        <v>35</v>
      </c>
      <c r="S942" s="18" t="s">
        <v>36</v>
      </c>
      <c r="T942" s="18" t="s">
        <v>45</v>
      </c>
      <c r="U942" s="18">
        <v>2011</v>
      </c>
      <c r="V942" s="16">
        <f t="shared" si="28"/>
        <v>40587</v>
      </c>
      <c r="W942" s="18" t="str">
        <f t="shared" si="29"/>
        <v>Weekday</v>
      </c>
    </row>
    <row r="943" spans="1:23" x14ac:dyDescent="0.25">
      <c r="A943" s="19">
        <v>941</v>
      </c>
      <c r="B943" s="20">
        <v>40585</v>
      </c>
      <c r="C943" s="18">
        <v>1</v>
      </c>
      <c r="D943" s="18">
        <v>0</v>
      </c>
      <c r="E943" s="18">
        <v>2</v>
      </c>
      <c r="F943" s="18">
        <v>19</v>
      </c>
      <c r="G943" s="18" t="b">
        <v>0</v>
      </c>
      <c r="H943" s="18">
        <v>5</v>
      </c>
      <c r="I943" s="18">
        <v>1</v>
      </c>
      <c r="J943" s="18">
        <v>0.26</v>
      </c>
      <c r="K943">
        <v>0.30299999999999999</v>
      </c>
      <c r="L943">
        <v>0.33</v>
      </c>
      <c r="M943" s="18">
        <v>0</v>
      </c>
      <c r="N943" s="18">
        <v>7</v>
      </c>
      <c r="O943" s="18">
        <v>94</v>
      </c>
      <c r="P943">
        <v>101</v>
      </c>
      <c r="Q943" s="18" t="s">
        <v>47</v>
      </c>
      <c r="R943" s="18" t="s">
        <v>35</v>
      </c>
      <c r="S943" s="18" t="s">
        <v>36</v>
      </c>
      <c r="T943" s="18" t="s">
        <v>45</v>
      </c>
      <c r="U943" s="18">
        <v>2011</v>
      </c>
      <c r="V943" s="16">
        <f t="shared" si="28"/>
        <v>40587</v>
      </c>
      <c r="W943" s="18" t="str">
        <f t="shared" si="29"/>
        <v>Weekday</v>
      </c>
    </row>
    <row r="944" spans="1:23" x14ac:dyDescent="0.25">
      <c r="A944" s="19">
        <v>942</v>
      </c>
      <c r="B944" s="20">
        <v>40585</v>
      </c>
      <c r="C944" s="18">
        <v>1</v>
      </c>
      <c r="D944" s="18">
        <v>0</v>
      </c>
      <c r="E944" s="18">
        <v>2</v>
      </c>
      <c r="F944" s="18">
        <v>20</v>
      </c>
      <c r="G944" s="18" t="b">
        <v>0</v>
      </c>
      <c r="H944" s="18">
        <v>5</v>
      </c>
      <c r="I944" s="18">
        <v>1</v>
      </c>
      <c r="J944" s="18">
        <v>0.22</v>
      </c>
      <c r="K944">
        <v>0.2273</v>
      </c>
      <c r="L944">
        <v>0.55000000000000004</v>
      </c>
      <c r="M944" s="18">
        <v>0.1343</v>
      </c>
      <c r="N944" s="18">
        <v>2</v>
      </c>
      <c r="O944" s="18">
        <v>61</v>
      </c>
      <c r="P944">
        <v>63</v>
      </c>
      <c r="Q944" s="18" t="s">
        <v>47</v>
      </c>
      <c r="R944" s="18" t="s">
        <v>35</v>
      </c>
      <c r="S944" s="18" t="s">
        <v>36</v>
      </c>
      <c r="T944" s="18" t="s">
        <v>45</v>
      </c>
      <c r="U944" s="18">
        <v>2011</v>
      </c>
      <c r="V944" s="16">
        <f t="shared" si="28"/>
        <v>40587</v>
      </c>
      <c r="W944" s="18" t="str">
        <f t="shared" si="29"/>
        <v>Weekday</v>
      </c>
    </row>
    <row r="945" spans="1:23" x14ac:dyDescent="0.25">
      <c r="A945" s="19">
        <v>943</v>
      </c>
      <c r="B945" s="20">
        <v>40585</v>
      </c>
      <c r="C945" s="18">
        <v>1</v>
      </c>
      <c r="D945" s="18">
        <v>0</v>
      </c>
      <c r="E945" s="18">
        <v>2</v>
      </c>
      <c r="F945" s="18">
        <v>21</v>
      </c>
      <c r="G945" s="18" t="b">
        <v>0</v>
      </c>
      <c r="H945" s="18">
        <v>5</v>
      </c>
      <c r="I945" s="18">
        <v>1</v>
      </c>
      <c r="J945" s="18">
        <v>0.2</v>
      </c>
      <c r="K945">
        <v>0.21210000000000001</v>
      </c>
      <c r="L945">
        <v>0.59</v>
      </c>
      <c r="M945" s="18">
        <v>0.1343</v>
      </c>
      <c r="N945" s="18">
        <v>1</v>
      </c>
      <c r="O945" s="18">
        <v>46</v>
      </c>
      <c r="P945">
        <v>47</v>
      </c>
      <c r="Q945" s="18" t="s">
        <v>47</v>
      </c>
      <c r="R945" s="18" t="s">
        <v>35</v>
      </c>
      <c r="S945" s="18" t="s">
        <v>36</v>
      </c>
      <c r="T945" s="18" t="s">
        <v>45</v>
      </c>
      <c r="U945" s="18">
        <v>2011</v>
      </c>
      <c r="V945" s="16">
        <f t="shared" si="28"/>
        <v>40587</v>
      </c>
      <c r="W945" s="18" t="str">
        <f t="shared" si="29"/>
        <v>Weekday</v>
      </c>
    </row>
    <row r="946" spans="1:23" x14ac:dyDescent="0.25">
      <c r="A946" s="19">
        <v>944</v>
      </c>
      <c r="B946" s="20">
        <v>40585</v>
      </c>
      <c r="C946" s="18">
        <v>1</v>
      </c>
      <c r="D946" s="18">
        <v>0</v>
      </c>
      <c r="E946" s="18">
        <v>2</v>
      </c>
      <c r="F946" s="18">
        <v>22</v>
      </c>
      <c r="G946" s="18" t="b">
        <v>0</v>
      </c>
      <c r="H946" s="18">
        <v>5</v>
      </c>
      <c r="I946" s="18">
        <v>1</v>
      </c>
      <c r="J946" s="18">
        <v>0.2</v>
      </c>
      <c r="K946">
        <v>0.2273</v>
      </c>
      <c r="L946">
        <v>0.64</v>
      </c>
      <c r="M946" s="18">
        <v>8.9599999999999999E-2</v>
      </c>
      <c r="N946" s="18">
        <v>2</v>
      </c>
      <c r="O946" s="18">
        <v>41</v>
      </c>
      <c r="P946">
        <v>43</v>
      </c>
      <c r="Q946" s="18" t="s">
        <v>47</v>
      </c>
      <c r="R946" s="18" t="s">
        <v>35</v>
      </c>
      <c r="S946" s="18" t="s">
        <v>36</v>
      </c>
      <c r="T946" s="18" t="s">
        <v>45</v>
      </c>
      <c r="U946" s="18">
        <v>2011</v>
      </c>
      <c r="V946" s="16">
        <f t="shared" si="28"/>
        <v>40587</v>
      </c>
      <c r="W946" s="18" t="str">
        <f t="shared" si="29"/>
        <v>Weekday</v>
      </c>
    </row>
    <row r="947" spans="1:23" x14ac:dyDescent="0.25">
      <c r="A947" s="19">
        <v>945</v>
      </c>
      <c r="B947" s="20">
        <v>40585</v>
      </c>
      <c r="C947" s="18">
        <v>1</v>
      </c>
      <c r="D947" s="18">
        <v>0</v>
      </c>
      <c r="E947" s="18">
        <v>2</v>
      </c>
      <c r="F947" s="18">
        <v>23</v>
      </c>
      <c r="G947" s="18" t="b">
        <v>0</v>
      </c>
      <c r="H947" s="18">
        <v>5</v>
      </c>
      <c r="I947" s="18">
        <v>1</v>
      </c>
      <c r="J947" s="18">
        <v>0.18</v>
      </c>
      <c r="K947">
        <v>0.2424</v>
      </c>
      <c r="L947">
        <v>0.69</v>
      </c>
      <c r="M947" s="18">
        <v>0</v>
      </c>
      <c r="N947" s="18">
        <v>5</v>
      </c>
      <c r="O947" s="18">
        <v>48</v>
      </c>
      <c r="P947">
        <v>53</v>
      </c>
      <c r="Q947" s="18" t="s">
        <v>47</v>
      </c>
      <c r="R947" s="18" t="s">
        <v>35</v>
      </c>
      <c r="S947" s="18" t="s">
        <v>36</v>
      </c>
      <c r="T947" s="18" t="s">
        <v>45</v>
      </c>
      <c r="U947" s="18">
        <v>2011</v>
      </c>
      <c r="V947" s="16">
        <f t="shared" si="28"/>
        <v>40587</v>
      </c>
      <c r="W947" s="18" t="str">
        <f t="shared" si="29"/>
        <v>Weekday</v>
      </c>
    </row>
    <row r="948" spans="1:23" x14ac:dyDescent="0.25">
      <c r="A948" s="19">
        <v>946</v>
      </c>
      <c r="B948" s="20">
        <v>40586</v>
      </c>
      <c r="C948" s="18">
        <v>1</v>
      </c>
      <c r="D948" s="18">
        <v>0</v>
      </c>
      <c r="E948" s="18">
        <v>2</v>
      </c>
      <c r="F948" s="18">
        <v>0</v>
      </c>
      <c r="G948" s="18" t="b">
        <v>0</v>
      </c>
      <c r="H948" s="18">
        <v>6</v>
      </c>
      <c r="I948" s="18">
        <v>1</v>
      </c>
      <c r="J948" s="18">
        <v>0.16</v>
      </c>
      <c r="K948">
        <v>0.19700000000000001</v>
      </c>
      <c r="L948">
        <v>0.69</v>
      </c>
      <c r="M948" s="18">
        <v>8.9599999999999999E-2</v>
      </c>
      <c r="N948" s="18">
        <v>3</v>
      </c>
      <c r="O948" s="18">
        <v>27</v>
      </c>
      <c r="P948">
        <v>30</v>
      </c>
      <c r="Q948" s="18" t="s">
        <v>47</v>
      </c>
      <c r="R948" s="18" t="s">
        <v>35</v>
      </c>
      <c r="S948" s="18" t="s">
        <v>36</v>
      </c>
      <c r="T948" s="18" t="s">
        <v>37</v>
      </c>
      <c r="U948" s="18">
        <v>2011</v>
      </c>
      <c r="V948" s="16">
        <f t="shared" si="28"/>
        <v>40587</v>
      </c>
      <c r="W948" s="18" t="str">
        <f t="shared" si="29"/>
        <v>Weedend</v>
      </c>
    </row>
    <row r="949" spans="1:23" x14ac:dyDescent="0.25">
      <c r="A949" s="19">
        <v>947</v>
      </c>
      <c r="B949" s="20">
        <v>40586</v>
      </c>
      <c r="C949" s="18">
        <v>1</v>
      </c>
      <c r="D949" s="18">
        <v>0</v>
      </c>
      <c r="E949" s="18">
        <v>2</v>
      </c>
      <c r="F949" s="18">
        <v>1</v>
      </c>
      <c r="G949" s="18" t="b">
        <v>0</v>
      </c>
      <c r="H949" s="18">
        <v>6</v>
      </c>
      <c r="I949" s="18">
        <v>1</v>
      </c>
      <c r="J949" s="18">
        <v>0.14000000000000001</v>
      </c>
      <c r="K949">
        <v>0.21210000000000001</v>
      </c>
      <c r="L949">
        <v>0.86</v>
      </c>
      <c r="M949" s="18">
        <v>0</v>
      </c>
      <c r="N949" s="18">
        <v>2</v>
      </c>
      <c r="O949" s="18">
        <v>22</v>
      </c>
      <c r="P949">
        <v>24</v>
      </c>
      <c r="Q949" s="18" t="s">
        <v>47</v>
      </c>
      <c r="R949" s="18" t="s">
        <v>35</v>
      </c>
      <c r="S949" s="18" t="s">
        <v>36</v>
      </c>
      <c r="T949" s="18" t="s">
        <v>37</v>
      </c>
      <c r="U949" s="18">
        <v>2011</v>
      </c>
      <c r="V949" s="16">
        <f t="shared" si="28"/>
        <v>40587</v>
      </c>
      <c r="W949" s="18" t="str">
        <f t="shared" si="29"/>
        <v>Weedend</v>
      </c>
    </row>
    <row r="950" spans="1:23" x14ac:dyDescent="0.25">
      <c r="A950" s="19">
        <v>948</v>
      </c>
      <c r="B950" s="20">
        <v>40586</v>
      </c>
      <c r="C950" s="18">
        <v>1</v>
      </c>
      <c r="D950" s="18">
        <v>0</v>
      </c>
      <c r="E950" s="18">
        <v>2</v>
      </c>
      <c r="F950" s="18">
        <v>2</v>
      </c>
      <c r="G950" s="18" t="b">
        <v>0</v>
      </c>
      <c r="H950" s="18">
        <v>6</v>
      </c>
      <c r="I950" s="18">
        <v>1</v>
      </c>
      <c r="J950" s="18">
        <v>0.14000000000000001</v>
      </c>
      <c r="K950">
        <v>0.21210000000000001</v>
      </c>
      <c r="L950">
        <v>0.8</v>
      </c>
      <c r="M950" s="18">
        <v>0</v>
      </c>
      <c r="N950" s="18">
        <v>2</v>
      </c>
      <c r="O950" s="18">
        <v>13</v>
      </c>
      <c r="P950">
        <v>15</v>
      </c>
      <c r="Q950" s="18" t="s">
        <v>47</v>
      </c>
      <c r="R950" s="18" t="s">
        <v>35</v>
      </c>
      <c r="S950" s="18" t="s">
        <v>36</v>
      </c>
      <c r="T950" s="18" t="s">
        <v>37</v>
      </c>
      <c r="U950" s="18">
        <v>2011</v>
      </c>
      <c r="V950" s="16">
        <f t="shared" si="28"/>
        <v>40587</v>
      </c>
      <c r="W950" s="18" t="str">
        <f t="shared" si="29"/>
        <v>Weedend</v>
      </c>
    </row>
    <row r="951" spans="1:23" x14ac:dyDescent="0.25">
      <c r="A951" s="19">
        <v>949</v>
      </c>
      <c r="B951" s="20">
        <v>40586</v>
      </c>
      <c r="C951" s="18">
        <v>1</v>
      </c>
      <c r="D951" s="18">
        <v>0</v>
      </c>
      <c r="E951" s="18">
        <v>2</v>
      </c>
      <c r="F951" s="18">
        <v>3</v>
      </c>
      <c r="G951" s="18" t="b">
        <v>0</v>
      </c>
      <c r="H951" s="18">
        <v>6</v>
      </c>
      <c r="I951" s="18">
        <v>1</v>
      </c>
      <c r="J951" s="18">
        <v>0.12</v>
      </c>
      <c r="K951">
        <v>0.19700000000000001</v>
      </c>
      <c r="L951">
        <v>0.8</v>
      </c>
      <c r="M951" s="18">
        <v>0</v>
      </c>
      <c r="N951" s="18">
        <v>3</v>
      </c>
      <c r="O951" s="18">
        <v>7</v>
      </c>
      <c r="P951">
        <v>10</v>
      </c>
      <c r="Q951" s="18" t="s">
        <v>47</v>
      </c>
      <c r="R951" s="18" t="s">
        <v>35</v>
      </c>
      <c r="S951" s="18" t="s">
        <v>36</v>
      </c>
      <c r="T951" s="18" t="s">
        <v>37</v>
      </c>
      <c r="U951" s="18">
        <v>2011</v>
      </c>
      <c r="V951" s="16">
        <f t="shared" si="28"/>
        <v>40587</v>
      </c>
      <c r="W951" s="18" t="str">
        <f t="shared" si="29"/>
        <v>Weedend</v>
      </c>
    </row>
    <row r="952" spans="1:23" x14ac:dyDescent="0.25">
      <c r="A952" s="19">
        <v>950</v>
      </c>
      <c r="B952" s="20">
        <v>40586</v>
      </c>
      <c r="C952" s="18">
        <v>1</v>
      </c>
      <c r="D952" s="18">
        <v>0</v>
      </c>
      <c r="E952" s="18">
        <v>2</v>
      </c>
      <c r="F952" s="18">
        <v>4</v>
      </c>
      <c r="G952" s="18" t="b">
        <v>0</v>
      </c>
      <c r="H952" s="18">
        <v>6</v>
      </c>
      <c r="I952" s="18">
        <v>1</v>
      </c>
      <c r="J952" s="18">
        <v>0.12</v>
      </c>
      <c r="K952">
        <v>0.16669999999999999</v>
      </c>
      <c r="L952">
        <v>0.74</v>
      </c>
      <c r="M952" s="18">
        <v>8.9599999999999999E-2</v>
      </c>
      <c r="N952" s="18">
        <v>0</v>
      </c>
      <c r="O952" s="18">
        <v>4</v>
      </c>
      <c r="P952">
        <v>4</v>
      </c>
      <c r="Q952" s="18" t="s">
        <v>47</v>
      </c>
      <c r="R952" s="18" t="s">
        <v>35</v>
      </c>
      <c r="S952" s="18" t="s">
        <v>36</v>
      </c>
      <c r="T952" s="18" t="s">
        <v>37</v>
      </c>
      <c r="U952" s="18">
        <v>2011</v>
      </c>
      <c r="V952" s="16">
        <f t="shared" si="28"/>
        <v>40587</v>
      </c>
      <c r="W952" s="18" t="str">
        <f t="shared" si="29"/>
        <v>Weedend</v>
      </c>
    </row>
    <row r="953" spans="1:23" x14ac:dyDescent="0.25">
      <c r="A953" s="19">
        <v>951</v>
      </c>
      <c r="B953" s="20">
        <v>40586</v>
      </c>
      <c r="C953" s="18">
        <v>1</v>
      </c>
      <c r="D953" s="18">
        <v>0</v>
      </c>
      <c r="E953" s="18">
        <v>2</v>
      </c>
      <c r="F953" s="18">
        <v>5</v>
      </c>
      <c r="G953" s="18" t="b">
        <v>0</v>
      </c>
      <c r="H953" s="18">
        <v>6</v>
      </c>
      <c r="I953" s="18">
        <v>1</v>
      </c>
      <c r="J953" s="18">
        <v>0.12</v>
      </c>
      <c r="K953">
        <v>0.16669999999999999</v>
      </c>
      <c r="L953">
        <v>0.74</v>
      </c>
      <c r="M953" s="18">
        <v>8.9599999999999999E-2</v>
      </c>
      <c r="N953" s="18">
        <v>0</v>
      </c>
      <c r="O953" s="18">
        <v>1</v>
      </c>
      <c r="P953">
        <v>1</v>
      </c>
      <c r="Q953" s="18" t="s">
        <v>47</v>
      </c>
      <c r="R953" s="18" t="s">
        <v>35</v>
      </c>
      <c r="S953" s="18" t="s">
        <v>36</v>
      </c>
      <c r="T953" s="18" t="s">
        <v>37</v>
      </c>
      <c r="U953" s="18">
        <v>2011</v>
      </c>
      <c r="V953" s="16">
        <f t="shared" si="28"/>
        <v>40587</v>
      </c>
      <c r="W953" s="18" t="str">
        <f t="shared" si="29"/>
        <v>Weedend</v>
      </c>
    </row>
    <row r="954" spans="1:23" x14ac:dyDescent="0.25">
      <c r="A954" s="19">
        <v>952</v>
      </c>
      <c r="B954" s="20">
        <v>40586</v>
      </c>
      <c r="C954" s="18">
        <v>1</v>
      </c>
      <c r="D954" s="18">
        <v>0</v>
      </c>
      <c r="E954" s="18">
        <v>2</v>
      </c>
      <c r="F954" s="18">
        <v>6</v>
      </c>
      <c r="G954" s="18" t="b">
        <v>0</v>
      </c>
      <c r="H954" s="18">
        <v>6</v>
      </c>
      <c r="I954" s="18">
        <v>1</v>
      </c>
      <c r="J954" s="18">
        <v>0.12</v>
      </c>
      <c r="K954">
        <v>0.13639999999999999</v>
      </c>
      <c r="L954">
        <v>0.93</v>
      </c>
      <c r="M954" s="18">
        <v>0.19400000000000001</v>
      </c>
      <c r="N954" s="18">
        <v>1</v>
      </c>
      <c r="O954" s="18">
        <v>1</v>
      </c>
      <c r="P954">
        <v>2</v>
      </c>
      <c r="Q954" s="18" t="s">
        <v>47</v>
      </c>
      <c r="R954" s="18" t="s">
        <v>35</v>
      </c>
      <c r="S954" s="18" t="s">
        <v>36</v>
      </c>
      <c r="T954" s="18" t="s">
        <v>37</v>
      </c>
      <c r="U954" s="18">
        <v>2011</v>
      </c>
      <c r="V954" s="16">
        <f t="shared" si="28"/>
        <v>40587</v>
      </c>
      <c r="W954" s="18" t="str">
        <f t="shared" si="29"/>
        <v>Weedend</v>
      </c>
    </row>
    <row r="955" spans="1:23" x14ac:dyDescent="0.25">
      <c r="A955" s="19">
        <v>953</v>
      </c>
      <c r="B955" s="20">
        <v>40586</v>
      </c>
      <c r="C955" s="18">
        <v>1</v>
      </c>
      <c r="D955" s="18">
        <v>0</v>
      </c>
      <c r="E955" s="18">
        <v>2</v>
      </c>
      <c r="F955" s="18">
        <v>7</v>
      </c>
      <c r="G955" s="18" t="b">
        <v>0</v>
      </c>
      <c r="H955" s="18">
        <v>6</v>
      </c>
      <c r="I955" s="18">
        <v>1</v>
      </c>
      <c r="J955" s="18">
        <v>0.12</v>
      </c>
      <c r="K955">
        <v>0.1515</v>
      </c>
      <c r="L955">
        <v>0.8</v>
      </c>
      <c r="M955" s="18">
        <v>0.1045</v>
      </c>
      <c r="N955" s="18">
        <v>2</v>
      </c>
      <c r="O955" s="18">
        <v>9</v>
      </c>
      <c r="P955">
        <v>11</v>
      </c>
      <c r="Q955" s="18" t="s">
        <v>47</v>
      </c>
      <c r="R955" s="18" t="s">
        <v>35</v>
      </c>
      <c r="S955" s="18" t="s">
        <v>36</v>
      </c>
      <c r="T955" s="18" t="s">
        <v>37</v>
      </c>
      <c r="U955" s="18">
        <v>2011</v>
      </c>
      <c r="V955" s="16">
        <f t="shared" si="28"/>
        <v>40587</v>
      </c>
      <c r="W955" s="18" t="str">
        <f t="shared" si="29"/>
        <v>Weedend</v>
      </c>
    </row>
    <row r="956" spans="1:23" x14ac:dyDescent="0.25">
      <c r="A956" s="19">
        <v>954</v>
      </c>
      <c r="B956" s="20">
        <v>40586</v>
      </c>
      <c r="C956" s="18">
        <v>1</v>
      </c>
      <c r="D956" s="18">
        <v>0</v>
      </c>
      <c r="E956" s="18">
        <v>2</v>
      </c>
      <c r="F956" s="18">
        <v>8</v>
      </c>
      <c r="G956" s="18" t="b">
        <v>0</v>
      </c>
      <c r="H956" s="18">
        <v>6</v>
      </c>
      <c r="I956" s="18">
        <v>1</v>
      </c>
      <c r="J956" s="18">
        <v>0.14000000000000001</v>
      </c>
      <c r="K956">
        <v>0.1515</v>
      </c>
      <c r="L956">
        <v>0.86</v>
      </c>
      <c r="M956" s="18">
        <v>0.1343</v>
      </c>
      <c r="N956" s="18">
        <v>2</v>
      </c>
      <c r="O956" s="18">
        <v>28</v>
      </c>
      <c r="P956">
        <v>30</v>
      </c>
      <c r="Q956" s="18" t="s">
        <v>47</v>
      </c>
      <c r="R956" s="18" t="s">
        <v>35</v>
      </c>
      <c r="S956" s="18" t="s">
        <v>36</v>
      </c>
      <c r="T956" s="18" t="s">
        <v>37</v>
      </c>
      <c r="U956" s="18">
        <v>2011</v>
      </c>
      <c r="V956" s="16">
        <f t="shared" si="28"/>
        <v>40587</v>
      </c>
      <c r="W956" s="18" t="str">
        <f t="shared" si="29"/>
        <v>Weedend</v>
      </c>
    </row>
    <row r="957" spans="1:23" x14ac:dyDescent="0.25">
      <c r="A957" s="19">
        <v>955</v>
      </c>
      <c r="B957" s="20">
        <v>40586</v>
      </c>
      <c r="C957" s="18">
        <v>1</v>
      </c>
      <c r="D957" s="18">
        <v>0</v>
      </c>
      <c r="E957" s="18">
        <v>2</v>
      </c>
      <c r="F957" s="18">
        <v>9</v>
      </c>
      <c r="G957" s="18" t="b">
        <v>0</v>
      </c>
      <c r="H957" s="18">
        <v>6</v>
      </c>
      <c r="I957" s="18">
        <v>1</v>
      </c>
      <c r="J957" s="18">
        <v>0.16</v>
      </c>
      <c r="K957">
        <v>0.18179999999999999</v>
      </c>
      <c r="L957">
        <v>0.64</v>
      </c>
      <c r="M957" s="18">
        <v>0.1343</v>
      </c>
      <c r="N957" s="18">
        <v>5</v>
      </c>
      <c r="O957" s="18">
        <v>38</v>
      </c>
      <c r="P957">
        <v>43</v>
      </c>
      <c r="Q957" s="18" t="s">
        <v>47</v>
      </c>
      <c r="R957" s="18" t="s">
        <v>35</v>
      </c>
      <c r="S957" s="18" t="s">
        <v>36</v>
      </c>
      <c r="T957" s="18" t="s">
        <v>37</v>
      </c>
      <c r="U957" s="18">
        <v>2011</v>
      </c>
      <c r="V957" s="16">
        <f t="shared" si="28"/>
        <v>40587</v>
      </c>
      <c r="W957" s="18" t="str">
        <f t="shared" si="29"/>
        <v>Weedend</v>
      </c>
    </row>
    <row r="958" spans="1:23" x14ac:dyDescent="0.25">
      <c r="A958" s="19">
        <v>956</v>
      </c>
      <c r="B958" s="20">
        <v>40586</v>
      </c>
      <c r="C958" s="18">
        <v>1</v>
      </c>
      <c r="D958" s="18">
        <v>0</v>
      </c>
      <c r="E958" s="18">
        <v>2</v>
      </c>
      <c r="F958" s="18">
        <v>10</v>
      </c>
      <c r="G958" s="18" t="b">
        <v>0</v>
      </c>
      <c r="H958" s="18">
        <v>6</v>
      </c>
      <c r="I958" s="18">
        <v>1</v>
      </c>
      <c r="J958" s="18">
        <v>0.22</v>
      </c>
      <c r="K958">
        <v>0.21210000000000001</v>
      </c>
      <c r="L958">
        <v>0.41</v>
      </c>
      <c r="M958" s="18">
        <v>0.25369999999999998</v>
      </c>
      <c r="N958" s="18">
        <v>13</v>
      </c>
      <c r="O958" s="18">
        <v>71</v>
      </c>
      <c r="P958">
        <v>84</v>
      </c>
      <c r="Q958" s="18" t="s">
        <v>47</v>
      </c>
      <c r="R958" s="18" t="s">
        <v>35</v>
      </c>
      <c r="S958" s="18" t="s">
        <v>36</v>
      </c>
      <c r="T958" s="18" t="s">
        <v>37</v>
      </c>
      <c r="U958" s="18">
        <v>2011</v>
      </c>
      <c r="V958" s="16">
        <f t="shared" si="28"/>
        <v>40587</v>
      </c>
      <c r="W958" s="18" t="str">
        <f t="shared" si="29"/>
        <v>Weedend</v>
      </c>
    </row>
    <row r="959" spans="1:23" x14ac:dyDescent="0.25">
      <c r="A959" s="19">
        <v>957</v>
      </c>
      <c r="B959" s="20">
        <v>40586</v>
      </c>
      <c r="C959" s="18">
        <v>1</v>
      </c>
      <c r="D959" s="18">
        <v>0</v>
      </c>
      <c r="E959" s="18">
        <v>2</v>
      </c>
      <c r="F959" s="18">
        <v>11</v>
      </c>
      <c r="G959" s="18" t="b">
        <v>0</v>
      </c>
      <c r="H959" s="18">
        <v>6</v>
      </c>
      <c r="I959" s="18">
        <v>1</v>
      </c>
      <c r="J959" s="18">
        <v>0.3</v>
      </c>
      <c r="K959">
        <v>0.2727</v>
      </c>
      <c r="L959">
        <v>0.28000000000000003</v>
      </c>
      <c r="M959" s="18">
        <v>0.32840000000000003</v>
      </c>
      <c r="N959" s="18">
        <v>30</v>
      </c>
      <c r="O959" s="18">
        <v>84</v>
      </c>
      <c r="P959">
        <v>114</v>
      </c>
      <c r="Q959" s="18" t="s">
        <v>47</v>
      </c>
      <c r="R959" s="18" t="s">
        <v>35</v>
      </c>
      <c r="S959" s="18" t="s">
        <v>36</v>
      </c>
      <c r="T959" s="18" t="s">
        <v>37</v>
      </c>
      <c r="U959" s="18">
        <v>2011</v>
      </c>
      <c r="V959" s="16">
        <f t="shared" si="28"/>
        <v>40587</v>
      </c>
      <c r="W959" s="18" t="str">
        <f t="shared" si="29"/>
        <v>Weedend</v>
      </c>
    </row>
    <row r="960" spans="1:23" x14ac:dyDescent="0.25">
      <c r="A960" s="19">
        <v>958</v>
      </c>
      <c r="B960" s="20">
        <v>40586</v>
      </c>
      <c r="C960" s="18">
        <v>1</v>
      </c>
      <c r="D960" s="18">
        <v>0</v>
      </c>
      <c r="E960" s="18">
        <v>2</v>
      </c>
      <c r="F960" s="18">
        <v>12</v>
      </c>
      <c r="G960" s="18" t="b">
        <v>0</v>
      </c>
      <c r="H960" s="18">
        <v>6</v>
      </c>
      <c r="I960" s="18">
        <v>1</v>
      </c>
      <c r="J960" s="18">
        <v>0.3</v>
      </c>
      <c r="K960">
        <v>0.2727</v>
      </c>
      <c r="L960">
        <v>0.39</v>
      </c>
      <c r="M960" s="18">
        <v>0.4627</v>
      </c>
      <c r="N960" s="18">
        <v>27</v>
      </c>
      <c r="O960" s="18">
        <v>93</v>
      </c>
      <c r="P960">
        <v>120</v>
      </c>
      <c r="Q960" s="18" t="s">
        <v>47</v>
      </c>
      <c r="R960" s="18" t="s">
        <v>35</v>
      </c>
      <c r="S960" s="18" t="s">
        <v>36</v>
      </c>
      <c r="T960" s="18" t="s">
        <v>37</v>
      </c>
      <c r="U960" s="18">
        <v>2011</v>
      </c>
      <c r="V960" s="16">
        <f t="shared" si="28"/>
        <v>40587</v>
      </c>
      <c r="W960" s="18" t="str">
        <f t="shared" si="29"/>
        <v>Weedend</v>
      </c>
    </row>
    <row r="961" spans="1:23" x14ac:dyDescent="0.25">
      <c r="A961" s="19">
        <v>959</v>
      </c>
      <c r="B961" s="20">
        <v>40586</v>
      </c>
      <c r="C961" s="18">
        <v>1</v>
      </c>
      <c r="D961" s="18">
        <v>0</v>
      </c>
      <c r="E961" s="18">
        <v>2</v>
      </c>
      <c r="F961" s="18">
        <v>13</v>
      </c>
      <c r="G961" s="18" t="b">
        <v>0</v>
      </c>
      <c r="H961" s="18">
        <v>6</v>
      </c>
      <c r="I961" s="18">
        <v>1</v>
      </c>
      <c r="J961" s="18">
        <v>0.3</v>
      </c>
      <c r="K961">
        <v>0.2727</v>
      </c>
      <c r="L961">
        <v>0.39</v>
      </c>
      <c r="M961" s="18">
        <v>0.41789999999999999</v>
      </c>
      <c r="N961" s="18">
        <v>32</v>
      </c>
      <c r="O961" s="18">
        <v>103</v>
      </c>
      <c r="P961">
        <v>135</v>
      </c>
      <c r="Q961" s="18" t="s">
        <v>47</v>
      </c>
      <c r="R961" s="18" t="s">
        <v>35</v>
      </c>
      <c r="S961" s="18" t="s">
        <v>36</v>
      </c>
      <c r="T961" s="18" t="s">
        <v>37</v>
      </c>
      <c r="U961" s="18">
        <v>2011</v>
      </c>
      <c r="V961" s="16">
        <f t="shared" si="28"/>
        <v>40587</v>
      </c>
      <c r="W961" s="18" t="str">
        <f t="shared" si="29"/>
        <v>Weedend</v>
      </c>
    </row>
    <row r="962" spans="1:23" x14ac:dyDescent="0.25">
      <c r="A962" s="19">
        <v>960</v>
      </c>
      <c r="B962" s="20">
        <v>40586</v>
      </c>
      <c r="C962" s="18">
        <v>1</v>
      </c>
      <c r="D962" s="18">
        <v>0</v>
      </c>
      <c r="E962" s="18">
        <v>2</v>
      </c>
      <c r="F962" s="18">
        <v>14</v>
      </c>
      <c r="G962" s="18" t="b">
        <v>0</v>
      </c>
      <c r="H962" s="18">
        <v>6</v>
      </c>
      <c r="I962" s="18">
        <v>1</v>
      </c>
      <c r="J962" s="18">
        <v>0.34</v>
      </c>
      <c r="K962">
        <v>0.31819999999999998</v>
      </c>
      <c r="L962">
        <v>0.31</v>
      </c>
      <c r="M962" s="18">
        <v>0.28360000000000002</v>
      </c>
      <c r="N962" s="18">
        <v>30</v>
      </c>
      <c r="O962" s="18">
        <v>90</v>
      </c>
      <c r="P962">
        <v>120</v>
      </c>
      <c r="Q962" s="18" t="s">
        <v>47</v>
      </c>
      <c r="R962" s="18" t="s">
        <v>35</v>
      </c>
      <c r="S962" s="18" t="s">
        <v>36</v>
      </c>
      <c r="T962" s="18" t="s">
        <v>37</v>
      </c>
      <c r="U962" s="18">
        <v>2011</v>
      </c>
      <c r="V962" s="16">
        <f t="shared" si="28"/>
        <v>40587</v>
      </c>
      <c r="W962" s="18" t="str">
        <f t="shared" si="29"/>
        <v>Weedend</v>
      </c>
    </row>
    <row r="963" spans="1:23" x14ac:dyDescent="0.25">
      <c r="A963" s="19">
        <v>961</v>
      </c>
      <c r="B963" s="20">
        <v>40586</v>
      </c>
      <c r="C963" s="18">
        <v>1</v>
      </c>
      <c r="D963" s="18">
        <v>0</v>
      </c>
      <c r="E963" s="18">
        <v>2</v>
      </c>
      <c r="F963" s="18">
        <v>15</v>
      </c>
      <c r="G963" s="18" t="b">
        <v>0</v>
      </c>
      <c r="H963" s="18">
        <v>6</v>
      </c>
      <c r="I963" s="18">
        <v>1</v>
      </c>
      <c r="J963" s="18">
        <v>0.34</v>
      </c>
      <c r="K963">
        <v>0.30299999999999999</v>
      </c>
      <c r="L963">
        <v>0.28999999999999998</v>
      </c>
      <c r="M963" s="18">
        <v>0.41789999999999999</v>
      </c>
      <c r="N963" s="18">
        <v>47</v>
      </c>
      <c r="O963" s="18">
        <v>127</v>
      </c>
      <c r="P963">
        <v>174</v>
      </c>
      <c r="Q963" s="18" t="s">
        <v>47</v>
      </c>
      <c r="R963" s="18" t="s">
        <v>35</v>
      </c>
      <c r="S963" s="18" t="s">
        <v>36</v>
      </c>
      <c r="T963" s="18" t="s">
        <v>37</v>
      </c>
      <c r="U963" s="18">
        <v>2011</v>
      </c>
      <c r="V963" s="16">
        <f t="shared" ref="V963:V1002" si="30">INDEX(B963:B1961,MATCH(MAX(K963:K1961),K963:K1961,0))</f>
        <v>40587</v>
      </c>
      <c r="W963" s="18" t="str">
        <f t="shared" ref="W963:W1002" si="31">IF(G963=TRUE,"Holiday",IF(OR(H963=0,H963=6),"Weedend","Weekday"))</f>
        <v>Weedend</v>
      </c>
    </row>
    <row r="964" spans="1:23" x14ac:dyDescent="0.25">
      <c r="A964" s="19">
        <v>962</v>
      </c>
      <c r="B964" s="20">
        <v>40586</v>
      </c>
      <c r="C964" s="18">
        <v>1</v>
      </c>
      <c r="D964" s="18">
        <v>0</v>
      </c>
      <c r="E964" s="18">
        <v>2</v>
      </c>
      <c r="F964" s="18">
        <v>16</v>
      </c>
      <c r="G964" s="18" t="b">
        <v>0</v>
      </c>
      <c r="H964" s="18">
        <v>6</v>
      </c>
      <c r="I964" s="18">
        <v>1</v>
      </c>
      <c r="J964" s="18">
        <v>0.34</v>
      </c>
      <c r="K964">
        <v>0.30299999999999999</v>
      </c>
      <c r="L964">
        <v>0.28999999999999998</v>
      </c>
      <c r="M964" s="18">
        <v>0.41789999999999999</v>
      </c>
      <c r="N964" s="18">
        <v>42</v>
      </c>
      <c r="O964" s="18">
        <v>103</v>
      </c>
      <c r="P964">
        <v>145</v>
      </c>
      <c r="Q964" s="18" t="s">
        <v>47</v>
      </c>
      <c r="R964" s="18" t="s">
        <v>35</v>
      </c>
      <c r="S964" s="18" t="s">
        <v>36</v>
      </c>
      <c r="T964" s="18" t="s">
        <v>37</v>
      </c>
      <c r="U964" s="18">
        <v>2011</v>
      </c>
      <c r="V964" s="16">
        <f t="shared" si="30"/>
        <v>40587</v>
      </c>
      <c r="W964" s="18" t="str">
        <f t="shared" si="31"/>
        <v>Weedend</v>
      </c>
    </row>
    <row r="965" spans="1:23" x14ac:dyDescent="0.25">
      <c r="A965" s="19">
        <v>963</v>
      </c>
      <c r="B965" s="20">
        <v>40586</v>
      </c>
      <c r="C965" s="18">
        <v>1</v>
      </c>
      <c r="D965" s="18">
        <v>0</v>
      </c>
      <c r="E965" s="18">
        <v>2</v>
      </c>
      <c r="F965" s="18">
        <v>17</v>
      </c>
      <c r="G965" s="18" t="b">
        <v>0</v>
      </c>
      <c r="H965" s="18">
        <v>6</v>
      </c>
      <c r="I965" s="18">
        <v>1</v>
      </c>
      <c r="J965" s="18">
        <v>0.32</v>
      </c>
      <c r="K965">
        <v>0.28789999999999999</v>
      </c>
      <c r="L965">
        <v>0.31</v>
      </c>
      <c r="M965" s="18">
        <v>0.52239999999999998</v>
      </c>
      <c r="N965" s="18">
        <v>24</v>
      </c>
      <c r="O965" s="18">
        <v>113</v>
      </c>
      <c r="P965">
        <v>137</v>
      </c>
      <c r="Q965" s="18" t="s">
        <v>47</v>
      </c>
      <c r="R965" s="18" t="s">
        <v>35</v>
      </c>
      <c r="S965" s="18" t="s">
        <v>36</v>
      </c>
      <c r="T965" s="18" t="s">
        <v>37</v>
      </c>
      <c r="U965" s="18">
        <v>2011</v>
      </c>
      <c r="V965" s="16">
        <f t="shared" si="30"/>
        <v>40587</v>
      </c>
      <c r="W965" s="18" t="str">
        <f t="shared" si="31"/>
        <v>Weedend</v>
      </c>
    </row>
    <row r="966" spans="1:23" x14ac:dyDescent="0.25">
      <c r="A966" s="19">
        <v>964</v>
      </c>
      <c r="B966" s="20">
        <v>40586</v>
      </c>
      <c r="C966" s="18">
        <v>1</v>
      </c>
      <c r="D966" s="18">
        <v>0</v>
      </c>
      <c r="E966" s="18">
        <v>2</v>
      </c>
      <c r="F966" s="18">
        <v>18</v>
      </c>
      <c r="G966" s="18" t="b">
        <v>0</v>
      </c>
      <c r="H966" s="18">
        <v>6</v>
      </c>
      <c r="I966" s="18">
        <v>1</v>
      </c>
      <c r="J966" s="18">
        <v>0.28000000000000003</v>
      </c>
      <c r="K966">
        <v>0.2576</v>
      </c>
      <c r="L966">
        <v>0.38</v>
      </c>
      <c r="M966" s="18">
        <v>0.32840000000000003</v>
      </c>
      <c r="N966" s="18">
        <v>4</v>
      </c>
      <c r="O966" s="18">
        <v>60</v>
      </c>
      <c r="P966">
        <v>64</v>
      </c>
      <c r="Q966" s="18" t="s">
        <v>47</v>
      </c>
      <c r="R966" s="18" t="s">
        <v>35</v>
      </c>
      <c r="S966" s="18" t="s">
        <v>36</v>
      </c>
      <c r="T966" s="18" t="s">
        <v>37</v>
      </c>
      <c r="U966" s="18">
        <v>2011</v>
      </c>
      <c r="V966" s="16">
        <f t="shared" si="30"/>
        <v>40587</v>
      </c>
      <c r="W966" s="18" t="str">
        <f t="shared" si="31"/>
        <v>Weedend</v>
      </c>
    </row>
    <row r="967" spans="1:23" x14ac:dyDescent="0.25">
      <c r="A967" s="19">
        <v>965</v>
      </c>
      <c r="B967" s="20">
        <v>40586</v>
      </c>
      <c r="C967" s="18">
        <v>1</v>
      </c>
      <c r="D967" s="18">
        <v>0</v>
      </c>
      <c r="E967" s="18">
        <v>2</v>
      </c>
      <c r="F967" s="18">
        <v>19</v>
      </c>
      <c r="G967" s="18" t="b">
        <v>0</v>
      </c>
      <c r="H967" s="18">
        <v>6</v>
      </c>
      <c r="I967" s="18">
        <v>1</v>
      </c>
      <c r="J967" s="18">
        <v>0.28000000000000003</v>
      </c>
      <c r="K967">
        <v>0.2727</v>
      </c>
      <c r="L967">
        <v>0.38</v>
      </c>
      <c r="M967" s="18">
        <v>0.16420000000000001</v>
      </c>
      <c r="N967" s="18">
        <v>2</v>
      </c>
      <c r="O967" s="18">
        <v>39</v>
      </c>
      <c r="P967">
        <v>41</v>
      </c>
      <c r="Q967" s="18" t="s">
        <v>47</v>
      </c>
      <c r="R967" s="18" t="s">
        <v>35</v>
      </c>
      <c r="S967" s="18" t="s">
        <v>36</v>
      </c>
      <c r="T967" s="18" t="s">
        <v>37</v>
      </c>
      <c r="U967" s="18">
        <v>2011</v>
      </c>
      <c r="V967" s="16">
        <f t="shared" si="30"/>
        <v>40587</v>
      </c>
      <c r="W967" s="18" t="str">
        <f t="shared" si="31"/>
        <v>Weedend</v>
      </c>
    </row>
    <row r="968" spans="1:23" x14ac:dyDescent="0.25">
      <c r="A968" s="19">
        <v>966</v>
      </c>
      <c r="B968" s="20">
        <v>40586</v>
      </c>
      <c r="C968" s="18">
        <v>1</v>
      </c>
      <c r="D968" s="18">
        <v>0</v>
      </c>
      <c r="E968" s="18">
        <v>2</v>
      </c>
      <c r="F968" s="18">
        <v>20</v>
      </c>
      <c r="G968" s="18" t="b">
        <v>0</v>
      </c>
      <c r="H968" s="18">
        <v>6</v>
      </c>
      <c r="I968" s="18">
        <v>1</v>
      </c>
      <c r="J968" s="18">
        <v>0.26</v>
      </c>
      <c r="K968">
        <v>0.2576</v>
      </c>
      <c r="L968">
        <v>0.41</v>
      </c>
      <c r="M968" s="18">
        <v>0.22389999999999999</v>
      </c>
      <c r="N968" s="18">
        <v>1</v>
      </c>
      <c r="O968" s="18">
        <v>39</v>
      </c>
      <c r="P968">
        <v>40</v>
      </c>
      <c r="Q968" s="18" t="s">
        <v>47</v>
      </c>
      <c r="R968" s="18" t="s">
        <v>35</v>
      </c>
      <c r="S968" s="18" t="s">
        <v>36</v>
      </c>
      <c r="T968" s="18" t="s">
        <v>37</v>
      </c>
      <c r="U968" s="18">
        <v>2011</v>
      </c>
      <c r="V968" s="16">
        <f t="shared" si="30"/>
        <v>40587</v>
      </c>
      <c r="W968" s="18" t="str">
        <f t="shared" si="31"/>
        <v>Weedend</v>
      </c>
    </row>
    <row r="969" spans="1:23" x14ac:dyDescent="0.25">
      <c r="A969" s="19">
        <v>967</v>
      </c>
      <c r="B969" s="20">
        <v>40586</v>
      </c>
      <c r="C969" s="18">
        <v>1</v>
      </c>
      <c r="D969" s="18">
        <v>0</v>
      </c>
      <c r="E969" s="18">
        <v>2</v>
      </c>
      <c r="F969" s="18">
        <v>21</v>
      </c>
      <c r="G969" s="18" t="b">
        <v>0</v>
      </c>
      <c r="H969" s="18">
        <v>6</v>
      </c>
      <c r="I969" s="18">
        <v>1</v>
      </c>
      <c r="J969" s="18">
        <v>0.26</v>
      </c>
      <c r="K969">
        <v>0.30299999999999999</v>
      </c>
      <c r="L969">
        <v>0.41</v>
      </c>
      <c r="M969" s="18">
        <v>0</v>
      </c>
      <c r="N969" s="18">
        <v>9</v>
      </c>
      <c r="O969" s="18">
        <v>42</v>
      </c>
      <c r="P969">
        <v>51</v>
      </c>
      <c r="Q969" s="18" t="s">
        <v>47</v>
      </c>
      <c r="R969" s="18" t="s">
        <v>35</v>
      </c>
      <c r="S969" s="18" t="s">
        <v>36</v>
      </c>
      <c r="T969" s="18" t="s">
        <v>37</v>
      </c>
      <c r="U969" s="18">
        <v>2011</v>
      </c>
      <c r="V969" s="16">
        <f t="shared" si="30"/>
        <v>40587</v>
      </c>
      <c r="W969" s="18" t="str">
        <f t="shared" si="31"/>
        <v>Weedend</v>
      </c>
    </row>
    <row r="970" spans="1:23" x14ac:dyDescent="0.25">
      <c r="A970" s="19">
        <v>968</v>
      </c>
      <c r="B970" s="20">
        <v>40586</v>
      </c>
      <c r="C970" s="18">
        <v>1</v>
      </c>
      <c r="D970" s="18">
        <v>0</v>
      </c>
      <c r="E970" s="18">
        <v>2</v>
      </c>
      <c r="F970" s="18">
        <v>22</v>
      </c>
      <c r="G970" s="18" t="b">
        <v>0</v>
      </c>
      <c r="H970" s="18">
        <v>6</v>
      </c>
      <c r="I970" s="18">
        <v>1</v>
      </c>
      <c r="J970" s="18">
        <v>0.24</v>
      </c>
      <c r="K970">
        <v>0.2576</v>
      </c>
      <c r="L970">
        <v>0.44</v>
      </c>
      <c r="M970" s="18">
        <v>8.9599999999999999E-2</v>
      </c>
      <c r="N970" s="18">
        <v>6</v>
      </c>
      <c r="O970" s="18">
        <v>39</v>
      </c>
      <c r="P970">
        <v>45</v>
      </c>
      <c r="Q970" s="18" t="s">
        <v>47</v>
      </c>
      <c r="R970" s="18" t="s">
        <v>35</v>
      </c>
      <c r="S970" s="18" t="s">
        <v>36</v>
      </c>
      <c r="T970" s="18" t="s">
        <v>37</v>
      </c>
      <c r="U970" s="18">
        <v>2011</v>
      </c>
      <c r="V970" s="16">
        <f t="shared" si="30"/>
        <v>40587</v>
      </c>
      <c r="W970" s="18" t="str">
        <f t="shared" si="31"/>
        <v>Weedend</v>
      </c>
    </row>
    <row r="971" spans="1:23" x14ac:dyDescent="0.25">
      <c r="A971" s="19">
        <v>969</v>
      </c>
      <c r="B971" s="20">
        <v>40586</v>
      </c>
      <c r="C971" s="18">
        <v>1</v>
      </c>
      <c r="D971" s="18">
        <v>0</v>
      </c>
      <c r="E971" s="18">
        <v>2</v>
      </c>
      <c r="F971" s="18">
        <v>23</v>
      </c>
      <c r="G971" s="18" t="b">
        <v>0</v>
      </c>
      <c r="H971" s="18">
        <v>6</v>
      </c>
      <c r="I971" s="18">
        <v>1</v>
      </c>
      <c r="J971" s="18">
        <v>0.22</v>
      </c>
      <c r="K971">
        <v>0.2273</v>
      </c>
      <c r="L971">
        <v>0.51</v>
      </c>
      <c r="M971" s="18">
        <v>0.1343</v>
      </c>
      <c r="N971" s="18">
        <v>1</v>
      </c>
      <c r="O971" s="18">
        <v>31</v>
      </c>
      <c r="P971">
        <v>32</v>
      </c>
      <c r="Q971" s="18" t="s">
        <v>47</v>
      </c>
      <c r="R971" s="18" t="s">
        <v>35</v>
      </c>
      <c r="S971" s="18" t="s">
        <v>36</v>
      </c>
      <c r="T971" s="18" t="s">
        <v>37</v>
      </c>
      <c r="U971" s="18">
        <v>2011</v>
      </c>
      <c r="V971" s="16">
        <f t="shared" si="30"/>
        <v>40587</v>
      </c>
      <c r="W971" s="18" t="str">
        <f t="shared" si="31"/>
        <v>Weedend</v>
      </c>
    </row>
    <row r="972" spans="1:23" x14ac:dyDescent="0.25">
      <c r="A972" s="19">
        <v>970</v>
      </c>
      <c r="B972" s="20">
        <v>40587</v>
      </c>
      <c r="C972" s="18">
        <v>1</v>
      </c>
      <c r="D972" s="18">
        <v>0</v>
      </c>
      <c r="E972" s="18">
        <v>2</v>
      </c>
      <c r="F972" s="18">
        <v>0</v>
      </c>
      <c r="G972" s="18" t="b">
        <v>0</v>
      </c>
      <c r="H972" s="18">
        <v>0</v>
      </c>
      <c r="I972" s="18">
        <v>1</v>
      </c>
      <c r="J972" s="18">
        <v>0.2</v>
      </c>
      <c r="K972">
        <v>0.2273</v>
      </c>
      <c r="L972">
        <v>0.64</v>
      </c>
      <c r="M972" s="18">
        <v>0.1045</v>
      </c>
      <c r="N972" s="18">
        <v>5</v>
      </c>
      <c r="O972" s="18">
        <v>34</v>
      </c>
      <c r="P972">
        <v>39</v>
      </c>
      <c r="Q972" s="18" t="s">
        <v>47</v>
      </c>
      <c r="R972" s="18" t="s">
        <v>35</v>
      </c>
      <c r="S972" s="18" t="s">
        <v>36</v>
      </c>
      <c r="T972" s="18" t="s">
        <v>40</v>
      </c>
      <c r="U972" s="18">
        <v>2011</v>
      </c>
      <c r="V972" s="16">
        <f t="shared" si="30"/>
        <v>40587</v>
      </c>
      <c r="W972" s="18" t="str">
        <f t="shared" si="31"/>
        <v>Weedend</v>
      </c>
    </row>
    <row r="973" spans="1:23" x14ac:dyDescent="0.25">
      <c r="A973" s="19">
        <v>971</v>
      </c>
      <c r="B973" s="20">
        <v>40587</v>
      </c>
      <c r="C973" s="18">
        <v>1</v>
      </c>
      <c r="D973" s="18">
        <v>0</v>
      </c>
      <c r="E973" s="18">
        <v>2</v>
      </c>
      <c r="F973" s="18">
        <v>1</v>
      </c>
      <c r="G973" s="18" t="b">
        <v>0</v>
      </c>
      <c r="H973" s="18">
        <v>0</v>
      </c>
      <c r="I973" s="18">
        <v>1</v>
      </c>
      <c r="J973" s="18">
        <v>0.2</v>
      </c>
      <c r="K973">
        <v>0.2273</v>
      </c>
      <c r="L973">
        <v>0.59</v>
      </c>
      <c r="M973" s="18">
        <v>8.9599999999999999E-2</v>
      </c>
      <c r="N973" s="18">
        <v>1</v>
      </c>
      <c r="O973" s="18">
        <v>23</v>
      </c>
      <c r="P973">
        <v>24</v>
      </c>
      <c r="Q973" s="18" t="s">
        <v>47</v>
      </c>
      <c r="R973" s="18" t="s">
        <v>35</v>
      </c>
      <c r="S973" s="18" t="s">
        <v>36</v>
      </c>
      <c r="T973" s="18" t="s">
        <v>40</v>
      </c>
      <c r="U973" s="18">
        <v>2011</v>
      </c>
      <c r="V973" s="16">
        <f t="shared" si="30"/>
        <v>40587</v>
      </c>
      <c r="W973" s="18" t="str">
        <f t="shared" si="31"/>
        <v>Weedend</v>
      </c>
    </row>
    <row r="974" spans="1:23" x14ac:dyDescent="0.25">
      <c r="A974" s="19">
        <v>972</v>
      </c>
      <c r="B974" s="20">
        <v>40587</v>
      </c>
      <c r="C974" s="18">
        <v>1</v>
      </c>
      <c r="D974" s="18">
        <v>0</v>
      </c>
      <c r="E974" s="18">
        <v>2</v>
      </c>
      <c r="F974" s="18">
        <v>2</v>
      </c>
      <c r="G974" s="18" t="b">
        <v>0</v>
      </c>
      <c r="H974" s="18">
        <v>0</v>
      </c>
      <c r="I974" s="18">
        <v>2</v>
      </c>
      <c r="J974" s="18">
        <v>0.2</v>
      </c>
      <c r="K974">
        <v>0.2273</v>
      </c>
      <c r="L974">
        <v>0.75</v>
      </c>
      <c r="M974" s="18">
        <v>8.9599999999999999E-2</v>
      </c>
      <c r="N974" s="18">
        <v>1</v>
      </c>
      <c r="O974" s="18">
        <v>19</v>
      </c>
      <c r="P974">
        <v>20</v>
      </c>
      <c r="Q974" s="18" t="s">
        <v>47</v>
      </c>
      <c r="R974" s="18" t="s">
        <v>35</v>
      </c>
      <c r="S974" s="18" t="s">
        <v>38</v>
      </c>
      <c r="T974" s="18" t="s">
        <v>40</v>
      </c>
      <c r="U974" s="18">
        <v>2011</v>
      </c>
      <c r="V974" s="16">
        <f t="shared" si="30"/>
        <v>40587</v>
      </c>
      <c r="W974" s="18" t="str">
        <f t="shared" si="31"/>
        <v>Weedend</v>
      </c>
    </row>
    <row r="975" spans="1:23" x14ac:dyDescent="0.25">
      <c r="A975" s="19">
        <v>973</v>
      </c>
      <c r="B975" s="20">
        <v>40587</v>
      </c>
      <c r="C975" s="18">
        <v>1</v>
      </c>
      <c r="D975" s="18">
        <v>0</v>
      </c>
      <c r="E975" s="18">
        <v>2</v>
      </c>
      <c r="F975" s="18">
        <v>3</v>
      </c>
      <c r="G975" s="18" t="b">
        <v>0</v>
      </c>
      <c r="H975" s="18">
        <v>0</v>
      </c>
      <c r="I975" s="18">
        <v>2</v>
      </c>
      <c r="J975" s="18">
        <v>0.2</v>
      </c>
      <c r="K975">
        <v>0.2273</v>
      </c>
      <c r="L975">
        <v>0.69</v>
      </c>
      <c r="M975" s="18">
        <v>0.1045</v>
      </c>
      <c r="N975" s="18">
        <v>4</v>
      </c>
      <c r="O975" s="18">
        <v>8</v>
      </c>
      <c r="P975">
        <v>12</v>
      </c>
      <c r="Q975" s="18" t="s">
        <v>47</v>
      </c>
      <c r="R975" s="18" t="s">
        <v>35</v>
      </c>
      <c r="S975" s="18" t="s">
        <v>38</v>
      </c>
      <c r="T975" s="18" t="s">
        <v>40</v>
      </c>
      <c r="U975" s="18">
        <v>2011</v>
      </c>
      <c r="V975" s="16">
        <f t="shared" si="30"/>
        <v>40587</v>
      </c>
      <c r="W975" s="18" t="str">
        <f t="shared" si="31"/>
        <v>Weedend</v>
      </c>
    </row>
    <row r="976" spans="1:23" x14ac:dyDescent="0.25">
      <c r="A976" s="19">
        <v>974</v>
      </c>
      <c r="B976" s="20">
        <v>40587</v>
      </c>
      <c r="C976" s="18">
        <v>1</v>
      </c>
      <c r="D976" s="18">
        <v>0</v>
      </c>
      <c r="E976" s="18">
        <v>2</v>
      </c>
      <c r="F976" s="18">
        <v>4</v>
      </c>
      <c r="G976" s="18" t="b">
        <v>0</v>
      </c>
      <c r="H976" s="18">
        <v>0</v>
      </c>
      <c r="I976" s="18">
        <v>2</v>
      </c>
      <c r="J976" s="18">
        <v>0.2</v>
      </c>
      <c r="K976">
        <v>0.21210000000000001</v>
      </c>
      <c r="L976">
        <v>0.69</v>
      </c>
      <c r="M976" s="18">
        <v>0.16420000000000001</v>
      </c>
      <c r="N976" s="18">
        <v>0</v>
      </c>
      <c r="O976" s="18">
        <v>2</v>
      </c>
      <c r="P976">
        <v>2</v>
      </c>
      <c r="Q976" s="18" t="s">
        <v>47</v>
      </c>
      <c r="R976" s="18" t="s">
        <v>35</v>
      </c>
      <c r="S976" s="18" t="s">
        <v>38</v>
      </c>
      <c r="T976" s="18" t="s">
        <v>40</v>
      </c>
      <c r="U976" s="18">
        <v>2011</v>
      </c>
      <c r="V976" s="16">
        <f t="shared" si="30"/>
        <v>40587</v>
      </c>
      <c r="W976" s="18" t="str">
        <f t="shared" si="31"/>
        <v>Weedend</v>
      </c>
    </row>
    <row r="977" spans="1:23" x14ac:dyDescent="0.25">
      <c r="A977" s="19">
        <v>975</v>
      </c>
      <c r="B977" s="20">
        <v>40587</v>
      </c>
      <c r="C977" s="18">
        <v>1</v>
      </c>
      <c r="D977" s="18">
        <v>0</v>
      </c>
      <c r="E977" s="18">
        <v>2</v>
      </c>
      <c r="F977" s="18">
        <v>6</v>
      </c>
      <c r="G977" s="18" t="b">
        <v>0</v>
      </c>
      <c r="H977" s="18">
        <v>0</v>
      </c>
      <c r="I977" s="18">
        <v>2</v>
      </c>
      <c r="J977" s="18">
        <v>0.2</v>
      </c>
      <c r="K977">
        <v>0.21210000000000001</v>
      </c>
      <c r="L977">
        <v>0.69</v>
      </c>
      <c r="M977" s="18">
        <v>0.1343</v>
      </c>
      <c r="N977" s="18">
        <v>2</v>
      </c>
      <c r="O977" s="18">
        <v>3</v>
      </c>
      <c r="P977">
        <v>5</v>
      </c>
      <c r="Q977" s="18" t="s">
        <v>47</v>
      </c>
      <c r="R977" s="18" t="s">
        <v>35</v>
      </c>
      <c r="S977" s="18" t="s">
        <v>38</v>
      </c>
      <c r="T977" s="18" t="s">
        <v>40</v>
      </c>
      <c r="U977" s="18">
        <v>2011</v>
      </c>
      <c r="V977" s="16">
        <f t="shared" si="30"/>
        <v>40587</v>
      </c>
      <c r="W977" s="18" t="str">
        <f t="shared" si="31"/>
        <v>Weedend</v>
      </c>
    </row>
    <row r="978" spans="1:23" x14ac:dyDescent="0.25">
      <c r="A978" s="19">
        <v>976</v>
      </c>
      <c r="B978" s="20">
        <v>40587</v>
      </c>
      <c r="C978" s="18">
        <v>1</v>
      </c>
      <c r="D978" s="18">
        <v>0</v>
      </c>
      <c r="E978" s="18">
        <v>2</v>
      </c>
      <c r="F978" s="18">
        <v>7</v>
      </c>
      <c r="G978" s="18" t="b">
        <v>0</v>
      </c>
      <c r="H978" s="18">
        <v>0</v>
      </c>
      <c r="I978" s="18">
        <v>2</v>
      </c>
      <c r="J978" s="18">
        <v>0.22</v>
      </c>
      <c r="K978">
        <v>0.2727</v>
      </c>
      <c r="L978">
        <v>0.55000000000000004</v>
      </c>
      <c r="M978" s="18">
        <v>0</v>
      </c>
      <c r="N978" s="18">
        <v>0</v>
      </c>
      <c r="O978" s="18">
        <v>3</v>
      </c>
      <c r="P978">
        <v>3</v>
      </c>
      <c r="Q978" s="18" t="s">
        <v>47</v>
      </c>
      <c r="R978" s="18" t="s">
        <v>35</v>
      </c>
      <c r="S978" s="18" t="s">
        <v>38</v>
      </c>
      <c r="T978" s="18" t="s">
        <v>40</v>
      </c>
      <c r="U978" s="18">
        <v>2011</v>
      </c>
      <c r="V978" s="16">
        <f t="shared" si="30"/>
        <v>40587</v>
      </c>
      <c r="W978" s="18" t="str">
        <f t="shared" si="31"/>
        <v>Weedend</v>
      </c>
    </row>
    <row r="979" spans="1:23" x14ac:dyDescent="0.25">
      <c r="A979" s="19">
        <v>977</v>
      </c>
      <c r="B979" s="20">
        <v>40587</v>
      </c>
      <c r="C979" s="18">
        <v>1</v>
      </c>
      <c r="D979" s="18">
        <v>0</v>
      </c>
      <c r="E979" s="18">
        <v>2</v>
      </c>
      <c r="F979" s="18">
        <v>8</v>
      </c>
      <c r="G979" s="18" t="b">
        <v>0</v>
      </c>
      <c r="H979" s="18">
        <v>0</v>
      </c>
      <c r="I979" s="18">
        <v>2</v>
      </c>
      <c r="J979" s="18">
        <v>0.22</v>
      </c>
      <c r="K979">
        <v>0.2273</v>
      </c>
      <c r="L979">
        <v>0.64</v>
      </c>
      <c r="M979" s="18">
        <v>0.19400000000000001</v>
      </c>
      <c r="N979" s="18">
        <v>1</v>
      </c>
      <c r="O979" s="18">
        <v>11</v>
      </c>
      <c r="P979">
        <v>12</v>
      </c>
      <c r="Q979" s="18" t="s">
        <v>47</v>
      </c>
      <c r="R979" s="18" t="s">
        <v>35</v>
      </c>
      <c r="S979" s="18" t="s">
        <v>38</v>
      </c>
      <c r="T979" s="18" t="s">
        <v>40</v>
      </c>
      <c r="U979" s="18">
        <v>2011</v>
      </c>
      <c r="V979" s="16">
        <f t="shared" si="30"/>
        <v>40587</v>
      </c>
      <c r="W979" s="18" t="str">
        <f t="shared" si="31"/>
        <v>Weedend</v>
      </c>
    </row>
    <row r="980" spans="1:23" x14ac:dyDescent="0.25">
      <c r="A980" s="19">
        <v>978</v>
      </c>
      <c r="B980" s="20">
        <v>40587</v>
      </c>
      <c r="C980" s="18">
        <v>1</v>
      </c>
      <c r="D980" s="18">
        <v>0</v>
      </c>
      <c r="E980" s="18">
        <v>2</v>
      </c>
      <c r="F980" s="18">
        <v>9</v>
      </c>
      <c r="G980" s="18" t="b">
        <v>0</v>
      </c>
      <c r="H980" s="18">
        <v>0</v>
      </c>
      <c r="I980" s="18">
        <v>2</v>
      </c>
      <c r="J980" s="18">
        <v>0.24</v>
      </c>
      <c r="K980">
        <v>0.2273</v>
      </c>
      <c r="L980">
        <v>0.6</v>
      </c>
      <c r="M980" s="18">
        <v>0.22389999999999999</v>
      </c>
      <c r="N980" s="18">
        <v>12</v>
      </c>
      <c r="O980" s="18">
        <v>35</v>
      </c>
      <c r="P980">
        <v>47</v>
      </c>
      <c r="Q980" s="18" t="s">
        <v>47</v>
      </c>
      <c r="R980" s="18" t="s">
        <v>35</v>
      </c>
      <c r="S980" s="18" t="s">
        <v>38</v>
      </c>
      <c r="T980" s="18" t="s">
        <v>40</v>
      </c>
      <c r="U980" s="18">
        <v>2011</v>
      </c>
      <c r="V980" s="16">
        <f t="shared" si="30"/>
        <v>40587</v>
      </c>
      <c r="W980" s="18" t="str">
        <f t="shared" si="31"/>
        <v>Weedend</v>
      </c>
    </row>
    <row r="981" spans="1:23" x14ac:dyDescent="0.25">
      <c r="A981" s="19">
        <v>979</v>
      </c>
      <c r="B981" s="20">
        <v>40587</v>
      </c>
      <c r="C981" s="18">
        <v>1</v>
      </c>
      <c r="D981" s="18">
        <v>0</v>
      </c>
      <c r="E981" s="18">
        <v>2</v>
      </c>
      <c r="F981" s="18">
        <v>10</v>
      </c>
      <c r="G981" s="18" t="b">
        <v>0</v>
      </c>
      <c r="H981" s="18">
        <v>0</v>
      </c>
      <c r="I981" s="18">
        <v>1</v>
      </c>
      <c r="J981" s="18">
        <v>0.3</v>
      </c>
      <c r="K981">
        <v>0.2727</v>
      </c>
      <c r="L981">
        <v>0.45</v>
      </c>
      <c r="M981" s="18">
        <v>0.32840000000000003</v>
      </c>
      <c r="N981" s="18">
        <v>19</v>
      </c>
      <c r="O981" s="18">
        <v>86</v>
      </c>
      <c r="P981">
        <v>105</v>
      </c>
      <c r="Q981" s="18" t="s">
        <v>47</v>
      </c>
      <c r="R981" s="18" t="s">
        <v>35</v>
      </c>
      <c r="S981" s="18" t="s">
        <v>36</v>
      </c>
      <c r="T981" s="18" t="s">
        <v>40</v>
      </c>
      <c r="U981" s="18">
        <v>2011</v>
      </c>
      <c r="V981" s="16">
        <f t="shared" si="30"/>
        <v>40587</v>
      </c>
      <c r="W981" s="18" t="str">
        <f t="shared" si="31"/>
        <v>Weedend</v>
      </c>
    </row>
    <row r="982" spans="1:23" x14ac:dyDescent="0.25">
      <c r="A982" s="19">
        <v>980</v>
      </c>
      <c r="B982" s="20">
        <v>40587</v>
      </c>
      <c r="C982" s="18">
        <v>1</v>
      </c>
      <c r="D982" s="18">
        <v>0</v>
      </c>
      <c r="E982" s="18">
        <v>2</v>
      </c>
      <c r="F982" s="18">
        <v>11</v>
      </c>
      <c r="G982" s="18" t="b">
        <v>0</v>
      </c>
      <c r="H982" s="18">
        <v>0</v>
      </c>
      <c r="I982" s="18">
        <v>1</v>
      </c>
      <c r="J982" s="18">
        <v>0.32</v>
      </c>
      <c r="K982">
        <v>0.28789999999999999</v>
      </c>
      <c r="L982">
        <v>0.39</v>
      </c>
      <c r="M982" s="18">
        <v>0.44779999999999998</v>
      </c>
      <c r="N982" s="18">
        <v>26</v>
      </c>
      <c r="O982" s="18">
        <v>86</v>
      </c>
      <c r="P982">
        <v>112</v>
      </c>
      <c r="Q982" s="18" t="s">
        <v>47</v>
      </c>
      <c r="R982" s="18" t="s">
        <v>35</v>
      </c>
      <c r="S982" s="18" t="s">
        <v>36</v>
      </c>
      <c r="T982" s="18" t="s">
        <v>40</v>
      </c>
      <c r="U982" s="18">
        <v>2011</v>
      </c>
      <c r="V982" s="16">
        <f t="shared" si="30"/>
        <v>40587</v>
      </c>
      <c r="W982" s="18" t="str">
        <f t="shared" si="31"/>
        <v>Weedend</v>
      </c>
    </row>
    <row r="983" spans="1:23" x14ac:dyDescent="0.25">
      <c r="A983" s="19">
        <v>981</v>
      </c>
      <c r="B983" s="20">
        <v>40587</v>
      </c>
      <c r="C983" s="18">
        <v>1</v>
      </c>
      <c r="D983" s="18">
        <v>0</v>
      </c>
      <c r="E983" s="18">
        <v>2</v>
      </c>
      <c r="F983" s="18">
        <v>12</v>
      </c>
      <c r="G983" s="18" t="b">
        <v>0</v>
      </c>
      <c r="H983" s="18">
        <v>0</v>
      </c>
      <c r="I983" s="18">
        <v>1</v>
      </c>
      <c r="J983" s="18">
        <v>0.36</v>
      </c>
      <c r="K983">
        <v>0.31819999999999998</v>
      </c>
      <c r="L983">
        <v>0.32</v>
      </c>
      <c r="M983" s="18">
        <v>0.4627</v>
      </c>
      <c r="N983" s="18">
        <v>58</v>
      </c>
      <c r="O983" s="18">
        <v>94</v>
      </c>
      <c r="P983">
        <v>152</v>
      </c>
      <c r="Q983" s="18" t="s">
        <v>47</v>
      </c>
      <c r="R983" s="18" t="s">
        <v>35</v>
      </c>
      <c r="S983" s="18" t="s">
        <v>36</v>
      </c>
      <c r="T983" s="18" t="s">
        <v>40</v>
      </c>
      <c r="U983" s="18">
        <v>2011</v>
      </c>
      <c r="V983" s="16">
        <f t="shared" si="30"/>
        <v>40587</v>
      </c>
      <c r="W983" s="18" t="str">
        <f t="shared" si="31"/>
        <v>Weedend</v>
      </c>
    </row>
    <row r="984" spans="1:23" x14ac:dyDescent="0.25">
      <c r="A984" s="19">
        <v>982</v>
      </c>
      <c r="B984" s="20">
        <v>40587</v>
      </c>
      <c r="C984" s="18">
        <v>1</v>
      </c>
      <c r="D984" s="18">
        <v>0</v>
      </c>
      <c r="E984" s="18">
        <v>2</v>
      </c>
      <c r="F984" s="18">
        <v>13</v>
      </c>
      <c r="G984" s="18" t="b">
        <v>0</v>
      </c>
      <c r="H984" s="18">
        <v>0</v>
      </c>
      <c r="I984" s="18">
        <v>1</v>
      </c>
      <c r="J984" s="18">
        <v>0.38</v>
      </c>
      <c r="K984">
        <v>0.39389999999999997</v>
      </c>
      <c r="L984">
        <v>0.28999999999999998</v>
      </c>
      <c r="M984" s="18">
        <v>0.35820000000000002</v>
      </c>
      <c r="N984" s="18">
        <v>62</v>
      </c>
      <c r="O984" s="18">
        <v>92</v>
      </c>
      <c r="P984">
        <v>154</v>
      </c>
      <c r="Q984" s="18" t="s">
        <v>47</v>
      </c>
      <c r="R984" s="18" t="s">
        <v>35</v>
      </c>
      <c r="S984" s="18" t="s">
        <v>36</v>
      </c>
      <c r="T984" s="18" t="s">
        <v>40</v>
      </c>
      <c r="U984" s="18">
        <v>2011</v>
      </c>
      <c r="V984" s="16">
        <f t="shared" si="30"/>
        <v>40587</v>
      </c>
      <c r="W984" s="18" t="str">
        <f t="shared" si="31"/>
        <v>Weedend</v>
      </c>
    </row>
    <row r="985" spans="1:23" x14ac:dyDescent="0.25">
      <c r="A985" s="19">
        <v>983</v>
      </c>
      <c r="B985" s="20">
        <v>40587</v>
      </c>
      <c r="C985" s="18">
        <v>1</v>
      </c>
      <c r="D985" s="18">
        <v>0</v>
      </c>
      <c r="E985" s="18">
        <v>2</v>
      </c>
      <c r="F985" s="18">
        <v>14</v>
      </c>
      <c r="G985" s="18" t="b">
        <v>0</v>
      </c>
      <c r="H985" s="18">
        <v>0</v>
      </c>
      <c r="I985" s="18">
        <v>2</v>
      </c>
      <c r="J985" s="18">
        <v>0.4</v>
      </c>
      <c r="K985">
        <v>0.40910000000000002</v>
      </c>
      <c r="L985">
        <v>0.3</v>
      </c>
      <c r="M985" s="18">
        <v>0.41789999999999999</v>
      </c>
      <c r="N985" s="18">
        <v>51</v>
      </c>
      <c r="O985" s="18">
        <v>110</v>
      </c>
      <c r="P985">
        <v>161</v>
      </c>
      <c r="Q985" s="18" t="s">
        <v>47</v>
      </c>
      <c r="R985" s="18" t="s">
        <v>35</v>
      </c>
      <c r="S985" s="18" t="s">
        <v>38</v>
      </c>
      <c r="T985" s="18" t="s">
        <v>40</v>
      </c>
      <c r="U985" s="18">
        <v>2011</v>
      </c>
      <c r="V985" s="16">
        <f t="shared" si="30"/>
        <v>40587</v>
      </c>
      <c r="W985" s="18" t="str">
        <f t="shared" si="31"/>
        <v>Weedend</v>
      </c>
    </row>
    <row r="986" spans="1:23" x14ac:dyDescent="0.25">
      <c r="A986" s="19">
        <v>984</v>
      </c>
      <c r="B986" s="20">
        <v>40587</v>
      </c>
      <c r="C986" s="18">
        <v>1</v>
      </c>
      <c r="D986" s="18">
        <v>0</v>
      </c>
      <c r="E986" s="18">
        <v>2</v>
      </c>
      <c r="F986" s="18">
        <v>15</v>
      </c>
      <c r="G986" s="18" t="b">
        <v>0</v>
      </c>
      <c r="H986" s="18">
        <v>0</v>
      </c>
      <c r="I986" s="18">
        <v>2</v>
      </c>
      <c r="J986" s="18">
        <v>0.4</v>
      </c>
      <c r="K986">
        <v>0.40910000000000002</v>
      </c>
      <c r="L986">
        <v>0.3</v>
      </c>
      <c r="M986" s="18">
        <v>0.29849999999999999</v>
      </c>
      <c r="N986" s="18">
        <v>40</v>
      </c>
      <c r="O986" s="18">
        <v>122</v>
      </c>
      <c r="P986">
        <v>162</v>
      </c>
      <c r="Q986" s="18" t="s">
        <v>47</v>
      </c>
      <c r="R986" s="18" t="s">
        <v>35</v>
      </c>
      <c r="S986" s="18" t="s">
        <v>38</v>
      </c>
      <c r="T986" s="18" t="s">
        <v>40</v>
      </c>
      <c r="U986" s="18">
        <v>2011</v>
      </c>
      <c r="V986" s="16">
        <f t="shared" si="30"/>
        <v>40587</v>
      </c>
      <c r="W986" s="18" t="str">
        <f t="shared" si="31"/>
        <v>Weedend</v>
      </c>
    </row>
    <row r="987" spans="1:23" x14ac:dyDescent="0.25">
      <c r="A987" s="19">
        <v>985</v>
      </c>
      <c r="B987" s="20">
        <v>40587</v>
      </c>
      <c r="C987" s="18">
        <v>1</v>
      </c>
      <c r="D987" s="18">
        <v>0</v>
      </c>
      <c r="E987" s="18">
        <v>2</v>
      </c>
      <c r="F987" s="18">
        <v>16</v>
      </c>
      <c r="G987" s="18" t="b">
        <v>0</v>
      </c>
      <c r="H987" s="18">
        <v>0</v>
      </c>
      <c r="I987" s="18">
        <v>2</v>
      </c>
      <c r="J987" s="18">
        <v>0.42</v>
      </c>
      <c r="K987">
        <v>0.42420000000000002</v>
      </c>
      <c r="L987">
        <v>0.28000000000000003</v>
      </c>
      <c r="M987" s="18">
        <v>0.32840000000000003</v>
      </c>
      <c r="N987" s="18">
        <v>28</v>
      </c>
      <c r="O987" s="18">
        <v>106</v>
      </c>
      <c r="P987">
        <v>134</v>
      </c>
      <c r="Q987" s="18" t="s">
        <v>47</v>
      </c>
      <c r="R987" s="18" t="s">
        <v>35</v>
      </c>
      <c r="S987" s="18" t="s">
        <v>38</v>
      </c>
      <c r="T987" s="18" t="s">
        <v>40</v>
      </c>
      <c r="U987" s="18">
        <v>2011</v>
      </c>
      <c r="V987" s="16">
        <f t="shared" si="30"/>
        <v>40587</v>
      </c>
      <c r="W987" s="18" t="str">
        <f t="shared" si="31"/>
        <v>Weedend</v>
      </c>
    </row>
    <row r="988" spans="1:23" x14ac:dyDescent="0.25">
      <c r="A988" s="19">
        <v>986</v>
      </c>
      <c r="B988" s="20">
        <v>40587</v>
      </c>
      <c r="C988" s="18">
        <v>1</v>
      </c>
      <c r="D988" s="18">
        <v>0</v>
      </c>
      <c r="E988" s="18">
        <v>2</v>
      </c>
      <c r="F988" s="18">
        <v>17</v>
      </c>
      <c r="G988" s="18" t="b">
        <v>0</v>
      </c>
      <c r="H988" s="18">
        <v>0</v>
      </c>
      <c r="I988" s="18">
        <v>1</v>
      </c>
      <c r="J988" s="18">
        <v>0.42</v>
      </c>
      <c r="K988">
        <v>0.42420000000000002</v>
      </c>
      <c r="L988">
        <v>0.28000000000000003</v>
      </c>
      <c r="M988" s="18">
        <v>0.32840000000000003</v>
      </c>
      <c r="N988" s="18">
        <v>30</v>
      </c>
      <c r="O988" s="18">
        <v>95</v>
      </c>
      <c r="P988">
        <v>125</v>
      </c>
      <c r="Q988" s="18" t="s">
        <v>47</v>
      </c>
      <c r="R988" s="18" t="s">
        <v>35</v>
      </c>
      <c r="S988" s="18" t="s">
        <v>36</v>
      </c>
      <c r="T988" s="18" t="s">
        <v>40</v>
      </c>
      <c r="U988" s="18">
        <v>2011</v>
      </c>
      <c r="V988" s="16">
        <f t="shared" si="30"/>
        <v>40587</v>
      </c>
      <c r="W988" s="18" t="str">
        <f t="shared" si="31"/>
        <v>Weedend</v>
      </c>
    </row>
    <row r="989" spans="1:23" x14ac:dyDescent="0.25">
      <c r="A989" s="19">
        <v>987</v>
      </c>
      <c r="B989" s="20">
        <v>40587</v>
      </c>
      <c r="C989" s="18">
        <v>1</v>
      </c>
      <c r="D989" s="18">
        <v>0</v>
      </c>
      <c r="E989" s="18">
        <v>2</v>
      </c>
      <c r="F989" s="18">
        <v>18</v>
      </c>
      <c r="G989" s="18" t="b">
        <v>0</v>
      </c>
      <c r="H989" s="18">
        <v>0</v>
      </c>
      <c r="I989" s="18">
        <v>1</v>
      </c>
      <c r="J989" s="18">
        <v>0.4</v>
      </c>
      <c r="K989">
        <v>0.40910000000000002</v>
      </c>
      <c r="L989">
        <v>0.32</v>
      </c>
      <c r="M989" s="18">
        <v>0.29849999999999999</v>
      </c>
      <c r="N989" s="18">
        <v>17</v>
      </c>
      <c r="O989" s="18">
        <v>78</v>
      </c>
      <c r="P989">
        <v>95</v>
      </c>
      <c r="Q989" s="18" t="s">
        <v>47</v>
      </c>
      <c r="R989" s="18" t="s">
        <v>35</v>
      </c>
      <c r="S989" s="18" t="s">
        <v>36</v>
      </c>
      <c r="T989" s="18" t="s">
        <v>40</v>
      </c>
      <c r="U989" s="18">
        <v>2011</v>
      </c>
      <c r="V989" s="16">
        <f t="shared" si="30"/>
        <v>40587</v>
      </c>
      <c r="W989" s="18" t="str">
        <f t="shared" si="31"/>
        <v>Weedend</v>
      </c>
    </row>
    <row r="990" spans="1:23" x14ac:dyDescent="0.25">
      <c r="A990" s="19">
        <v>988</v>
      </c>
      <c r="B990" s="20">
        <v>40587</v>
      </c>
      <c r="C990" s="18">
        <v>1</v>
      </c>
      <c r="D990" s="18">
        <v>0</v>
      </c>
      <c r="E990" s="18">
        <v>2</v>
      </c>
      <c r="F990" s="18">
        <v>19</v>
      </c>
      <c r="G990" s="18" t="b">
        <v>0</v>
      </c>
      <c r="H990" s="18">
        <v>0</v>
      </c>
      <c r="I990" s="18">
        <v>1</v>
      </c>
      <c r="J990" s="18">
        <v>0.4</v>
      </c>
      <c r="K990">
        <v>0.40910000000000002</v>
      </c>
      <c r="L990">
        <v>0.35</v>
      </c>
      <c r="M990" s="18">
        <v>0.28360000000000002</v>
      </c>
      <c r="N990" s="18">
        <v>11</v>
      </c>
      <c r="O990" s="18">
        <v>50</v>
      </c>
      <c r="P990">
        <v>61</v>
      </c>
      <c r="Q990" s="18" t="s">
        <v>47</v>
      </c>
      <c r="R990" s="18" t="s">
        <v>35</v>
      </c>
      <c r="S990" s="18" t="s">
        <v>36</v>
      </c>
      <c r="T990" s="18" t="s">
        <v>40</v>
      </c>
      <c r="U990" s="18">
        <v>2011</v>
      </c>
      <c r="V990" s="16">
        <f t="shared" si="30"/>
        <v>40587</v>
      </c>
      <c r="W990" s="18" t="str">
        <f t="shared" si="31"/>
        <v>Weedend</v>
      </c>
    </row>
    <row r="991" spans="1:23" x14ac:dyDescent="0.25">
      <c r="A991" s="19">
        <v>989</v>
      </c>
      <c r="B991" s="20">
        <v>40587</v>
      </c>
      <c r="C991" s="18">
        <v>1</v>
      </c>
      <c r="D991" s="18">
        <v>0</v>
      </c>
      <c r="E991" s="18">
        <v>2</v>
      </c>
      <c r="F991" s="18">
        <v>20</v>
      </c>
      <c r="G991" s="18" t="b">
        <v>0</v>
      </c>
      <c r="H991" s="18">
        <v>0</v>
      </c>
      <c r="I991" s="18">
        <v>1</v>
      </c>
      <c r="J991" s="18">
        <v>0.4</v>
      </c>
      <c r="K991">
        <v>0.40910000000000002</v>
      </c>
      <c r="L991">
        <v>0.35</v>
      </c>
      <c r="M991" s="18">
        <v>0.32840000000000003</v>
      </c>
      <c r="N991" s="18">
        <v>15</v>
      </c>
      <c r="O991" s="18">
        <v>32</v>
      </c>
      <c r="P991">
        <v>47</v>
      </c>
      <c r="Q991" s="18" t="s">
        <v>47</v>
      </c>
      <c r="R991" s="18" t="s">
        <v>35</v>
      </c>
      <c r="S991" s="18" t="s">
        <v>36</v>
      </c>
      <c r="T991" s="18" t="s">
        <v>40</v>
      </c>
      <c r="U991" s="18">
        <v>2011</v>
      </c>
      <c r="V991" s="16">
        <f t="shared" si="30"/>
        <v>40587</v>
      </c>
      <c r="W991" s="18" t="str">
        <f t="shared" si="31"/>
        <v>Weedend</v>
      </c>
    </row>
    <row r="992" spans="1:23" x14ac:dyDescent="0.25">
      <c r="A992" s="19">
        <v>990</v>
      </c>
      <c r="B992" s="20">
        <v>40587</v>
      </c>
      <c r="C992" s="18">
        <v>1</v>
      </c>
      <c r="D992" s="18">
        <v>0</v>
      </c>
      <c r="E992" s="18">
        <v>2</v>
      </c>
      <c r="F992" s="18">
        <v>21</v>
      </c>
      <c r="G992" s="18" t="b">
        <v>0</v>
      </c>
      <c r="H992" s="18">
        <v>0</v>
      </c>
      <c r="I992" s="18">
        <v>1</v>
      </c>
      <c r="J992" s="18">
        <v>0.4</v>
      </c>
      <c r="K992">
        <v>0.40910000000000002</v>
      </c>
      <c r="L992">
        <v>0.35</v>
      </c>
      <c r="M992" s="18">
        <v>0.35820000000000002</v>
      </c>
      <c r="N992" s="18">
        <v>6</v>
      </c>
      <c r="O992" s="18">
        <v>45</v>
      </c>
      <c r="P992">
        <v>51</v>
      </c>
      <c r="Q992" s="18" t="s">
        <v>47</v>
      </c>
      <c r="R992" s="18" t="s">
        <v>35</v>
      </c>
      <c r="S992" s="18" t="s">
        <v>36</v>
      </c>
      <c r="T992" s="18" t="s">
        <v>40</v>
      </c>
      <c r="U992" s="18">
        <v>2011</v>
      </c>
      <c r="V992" s="16">
        <f t="shared" si="30"/>
        <v>40587</v>
      </c>
      <c r="W992" s="18" t="str">
        <f t="shared" si="31"/>
        <v>Weedend</v>
      </c>
    </row>
    <row r="993" spans="1:23" x14ac:dyDescent="0.25">
      <c r="A993" s="19">
        <v>991</v>
      </c>
      <c r="B993" s="20">
        <v>40587</v>
      </c>
      <c r="C993" s="18">
        <v>1</v>
      </c>
      <c r="D993" s="18">
        <v>0</v>
      </c>
      <c r="E993" s="18">
        <v>2</v>
      </c>
      <c r="F993" s="18">
        <v>22</v>
      </c>
      <c r="G993" s="18" t="b">
        <v>0</v>
      </c>
      <c r="H993" s="18">
        <v>0</v>
      </c>
      <c r="I993" s="18">
        <v>1</v>
      </c>
      <c r="J993" s="18">
        <v>0.4</v>
      </c>
      <c r="K993">
        <v>0.40910000000000002</v>
      </c>
      <c r="L993">
        <v>0.35</v>
      </c>
      <c r="M993" s="18">
        <v>0.29849999999999999</v>
      </c>
      <c r="N993" s="18">
        <v>5</v>
      </c>
      <c r="O993" s="18">
        <v>31</v>
      </c>
      <c r="P993">
        <v>36</v>
      </c>
      <c r="Q993" s="18" t="s">
        <v>47</v>
      </c>
      <c r="R993" s="18" t="s">
        <v>35</v>
      </c>
      <c r="S993" s="18" t="s">
        <v>36</v>
      </c>
      <c r="T993" s="18" t="s">
        <v>40</v>
      </c>
      <c r="U993" s="18">
        <v>2011</v>
      </c>
      <c r="V993" s="16">
        <f t="shared" si="30"/>
        <v>40587</v>
      </c>
      <c r="W993" s="18" t="str">
        <f t="shared" si="31"/>
        <v>Weedend</v>
      </c>
    </row>
    <row r="994" spans="1:23" x14ac:dyDescent="0.25">
      <c r="A994" s="19">
        <v>992</v>
      </c>
      <c r="B994" s="20">
        <v>40587</v>
      </c>
      <c r="C994" s="18">
        <v>1</v>
      </c>
      <c r="D994" s="18">
        <v>0</v>
      </c>
      <c r="E994" s="18">
        <v>2</v>
      </c>
      <c r="F994" s="18">
        <v>23</v>
      </c>
      <c r="G994" s="18" t="b">
        <v>0</v>
      </c>
      <c r="H994" s="18">
        <v>0</v>
      </c>
      <c r="I994" s="18">
        <v>1</v>
      </c>
      <c r="J994" s="18">
        <v>0.4</v>
      </c>
      <c r="K994">
        <v>0.40910000000000002</v>
      </c>
      <c r="L994">
        <v>0.35</v>
      </c>
      <c r="M994" s="18">
        <v>0.35820000000000002</v>
      </c>
      <c r="N994" s="18">
        <v>3</v>
      </c>
      <c r="O994" s="18">
        <v>27</v>
      </c>
      <c r="P994">
        <v>30</v>
      </c>
      <c r="Q994" s="18" t="s">
        <v>47</v>
      </c>
      <c r="R994" s="18" t="s">
        <v>35</v>
      </c>
      <c r="S994" s="18" t="s">
        <v>36</v>
      </c>
      <c r="T994" s="18" t="s">
        <v>40</v>
      </c>
      <c r="U994" s="18">
        <v>2011</v>
      </c>
      <c r="V994" s="16">
        <f t="shared" si="30"/>
        <v>40587</v>
      </c>
      <c r="W994" s="18" t="str">
        <f t="shared" si="31"/>
        <v>Weedend</v>
      </c>
    </row>
    <row r="995" spans="1:23" x14ac:dyDescent="0.25">
      <c r="A995" s="19">
        <v>993</v>
      </c>
      <c r="B995" s="20">
        <v>40588</v>
      </c>
      <c r="C995" s="18">
        <v>1</v>
      </c>
      <c r="D995" s="18">
        <v>0</v>
      </c>
      <c r="E995" s="18">
        <v>2</v>
      </c>
      <c r="F995" s="18">
        <v>0</v>
      </c>
      <c r="G995" s="18" t="b">
        <v>0</v>
      </c>
      <c r="H995" s="18">
        <v>1</v>
      </c>
      <c r="I995" s="18">
        <v>1</v>
      </c>
      <c r="J995" s="18">
        <v>0.38</v>
      </c>
      <c r="K995">
        <v>0.39389999999999997</v>
      </c>
      <c r="L995">
        <v>0.37</v>
      </c>
      <c r="M995" s="18">
        <v>0.35820000000000002</v>
      </c>
      <c r="N995" s="18">
        <v>3</v>
      </c>
      <c r="O995" s="18">
        <v>8</v>
      </c>
      <c r="P995">
        <v>11</v>
      </c>
      <c r="Q995" s="18" t="s">
        <v>47</v>
      </c>
      <c r="R995" s="18" t="s">
        <v>35</v>
      </c>
      <c r="S995" s="18" t="s">
        <v>36</v>
      </c>
      <c r="T995" s="18" t="s">
        <v>41</v>
      </c>
      <c r="U995" s="18">
        <v>2011</v>
      </c>
      <c r="V995" s="16">
        <f t="shared" si="30"/>
        <v>40588</v>
      </c>
      <c r="W995" s="18" t="str">
        <f t="shared" si="31"/>
        <v>Weekday</v>
      </c>
    </row>
    <row r="996" spans="1:23" x14ac:dyDescent="0.25">
      <c r="A996" s="19">
        <v>994</v>
      </c>
      <c r="B996" s="20">
        <v>40588</v>
      </c>
      <c r="C996" s="18">
        <v>1</v>
      </c>
      <c r="D996" s="18">
        <v>0</v>
      </c>
      <c r="E996" s="18">
        <v>2</v>
      </c>
      <c r="F996" s="18">
        <v>1</v>
      </c>
      <c r="G996" s="18" t="b">
        <v>0</v>
      </c>
      <c r="H996" s="18">
        <v>1</v>
      </c>
      <c r="I996" s="18">
        <v>1</v>
      </c>
      <c r="J996" s="18">
        <v>0.38</v>
      </c>
      <c r="K996">
        <v>0.39389999999999997</v>
      </c>
      <c r="L996">
        <v>0.37</v>
      </c>
      <c r="M996" s="18">
        <v>0.35820000000000002</v>
      </c>
      <c r="N996" s="18">
        <v>1</v>
      </c>
      <c r="O996" s="18">
        <v>6</v>
      </c>
      <c r="P996">
        <v>7</v>
      </c>
      <c r="Q996" s="18" t="s">
        <v>47</v>
      </c>
      <c r="R996" s="18" t="s">
        <v>35</v>
      </c>
      <c r="S996" s="18" t="s">
        <v>36</v>
      </c>
      <c r="T996" s="18" t="s">
        <v>41</v>
      </c>
      <c r="U996" s="18">
        <v>2011</v>
      </c>
      <c r="V996" s="16">
        <f t="shared" si="30"/>
        <v>40588</v>
      </c>
      <c r="W996" s="18" t="str">
        <f t="shared" si="31"/>
        <v>Weekday</v>
      </c>
    </row>
    <row r="997" spans="1:23" x14ac:dyDescent="0.25">
      <c r="A997" s="19">
        <v>995</v>
      </c>
      <c r="B997" s="20">
        <v>40588</v>
      </c>
      <c r="C997" s="18">
        <v>1</v>
      </c>
      <c r="D997" s="18">
        <v>0</v>
      </c>
      <c r="E997" s="18">
        <v>2</v>
      </c>
      <c r="F997" s="18">
        <v>2</v>
      </c>
      <c r="G997" s="18" t="b">
        <v>0</v>
      </c>
      <c r="H997" s="18">
        <v>1</v>
      </c>
      <c r="I997" s="18">
        <v>1</v>
      </c>
      <c r="J997" s="18">
        <v>0.36</v>
      </c>
      <c r="K997">
        <v>0.33329999999999999</v>
      </c>
      <c r="L997">
        <v>0.4</v>
      </c>
      <c r="M997" s="18">
        <v>0.29849999999999999</v>
      </c>
      <c r="N997" s="18">
        <v>0</v>
      </c>
      <c r="O997" s="18">
        <v>2</v>
      </c>
      <c r="P997">
        <v>2</v>
      </c>
      <c r="Q997" s="18" t="s">
        <v>47</v>
      </c>
      <c r="R997" s="18" t="s">
        <v>35</v>
      </c>
      <c r="S997" s="18" t="s">
        <v>36</v>
      </c>
      <c r="T997" s="18" t="s">
        <v>41</v>
      </c>
      <c r="U997" s="18">
        <v>2011</v>
      </c>
      <c r="V997" s="16">
        <f t="shared" si="30"/>
        <v>40588</v>
      </c>
      <c r="W997" s="18" t="str">
        <f t="shared" si="31"/>
        <v>Weekday</v>
      </c>
    </row>
    <row r="998" spans="1:23" x14ac:dyDescent="0.25">
      <c r="A998" s="19">
        <v>996</v>
      </c>
      <c r="B998" s="20">
        <v>40588</v>
      </c>
      <c r="C998" s="18">
        <v>1</v>
      </c>
      <c r="D998" s="18">
        <v>0</v>
      </c>
      <c r="E998" s="18">
        <v>2</v>
      </c>
      <c r="F998" s="18">
        <v>3</v>
      </c>
      <c r="G998" s="18" t="b">
        <v>0</v>
      </c>
      <c r="H998" s="18">
        <v>1</v>
      </c>
      <c r="I998" s="18">
        <v>1</v>
      </c>
      <c r="J998" s="18">
        <v>0.34</v>
      </c>
      <c r="K998">
        <v>0.31819999999999998</v>
      </c>
      <c r="L998">
        <v>0.46</v>
      </c>
      <c r="M998" s="18">
        <v>0.22389999999999999</v>
      </c>
      <c r="N998" s="18">
        <v>1</v>
      </c>
      <c r="O998" s="18">
        <v>1</v>
      </c>
      <c r="P998">
        <v>2</v>
      </c>
      <c r="Q998" s="18" t="s">
        <v>47</v>
      </c>
      <c r="R998" s="18" t="s">
        <v>35</v>
      </c>
      <c r="S998" s="18" t="s">
        <v>36</v>
      </c>
      <c r="T998" s="18" t="s">
        <v>41</v>
      </c>
      <c r="U998" s="18">
        <v>2011</v>
      </c>
      <c r="V998" s="16">
        <f t="shared" si="30"/>
        <v>40588</v>
      </c>
      <c r="W998" s="18" t="str">
        <f t="shared" si="31"/>
        <v>Weekday</v>
      </c>
    </row>
    <row r="999" spans="1:23" x14ac:dyDescent="0.25">
      <c r="A999" s="19">
        <v>997</v>
      </c>
      <c r="B999" s="20">
        <v>40588</v>
      </c>
      <c r="C999" s="18">
        <v>1</v>
      </c>
      <c r="D999" s="18">
        <v>0</v>
      </c>
      <c r="E999" s="18">
        <v>2</v>
      </c>
      <c r="F999" s="18">
        <v>4</v>
      </c>
      <c r="G999" s="18" t="b">
        <v>0</v>
      </c>
      <c r="H999" s="18">
        <v>1</v>
      </c>
      <c r="I999" s="18">
        <v>1</v>
      </c>
      <c r="J999" s="18">
        <v>0.32</v>
      </c>
      <c r="K999">
        <v>0.30299999999999999</v>
      </c>
      <c r="L999">
        <v>0.53</v>
      </c>
      <c r="M999" s="18">
        <v>0.28360000000000002</v>
      </c>
      <c r="N999" s="18">
        <v>0</v>
      </c>
      <c r="O999" s="18">
        <v>2</v>
      </c>
      <c r="P999">
        <v>2</v>
      </c>
      <c r="Q999" s="18" t="s">
        <v>47</v>
      </c>
      <c r="R999" s="18" t="s">
        <v>35</v>
      </c>
      <c r="S999" s="18" t="s">
        <v>36</v>
      </c>
      <c r="T999" s="18" t="s">
        <v>41</v>
      </c>
      <c r="U999" s="18">
        <v>2011</v>
      </c>
      <c r="V999" s="16">
        <f t="shared" si="30"/>
        <v>40588</v>
      </c>
      <c r="W999" s="18" t="str">
        <f t="shared" si="31"/>
        <v>Weekday</v>
      </c>
    </row>
    <row r="1000" spans="1:23" x14ac:dyDescent="0.25">
      <c r="A1000" s="19">
        <v>998</v>
      </c>
      <c r="B1000" s="20">
        <v>40588</v>
      </c>
      <c r="C1000" s="18">
        <v>2</v>
      </c>
      <c r="D1000" s="18">
        <v>0</v>
      </c>
      <c r="E1000" s="18">
        <v>2</v>
      </c>
      <c r="F1000" s="18">
        <v>5</v>
      </c>
      <c r="G1000" s="18" t="b">
        <v>0</v>
      </c>
      <c r="H1000" s="18">
        <v>1</v>
      </c>
      <c r="I1000" s="18">
        <v>1</v>
      </c>
      <c r="J1000" s="18">
        <v>0.32</v>
      </c>
      <c r="K1000">
        <v>0.30299999999999999</v>
      </c>
      <c r="L1000">
        <v>0.53</v>
      </c>
      <c r="M1000" s="18">
        <v>0.28360000000000002</v>
      </c>
      <c r="N1000" s="18">
        <v>0</v>
      </c>
      <c r="O1000" s="18">
        <v>3</v>
      </c>
      <c r="P1000">
        <v>3</v>
      </c>
      <c r="Q1000" s="18" t="s">
        <v>47</v>
      </c>
      <c r="R1000" s="18" t="s">
        <v>48</v>
      </c>
      <c r="S1000" s="18" t="s">
        <v>36</v>
      </c>
      <c r="T1000" s="18" t="s">
        <v>41</v>
      </c>
      <c r="U1000" s="18">
        <v>2011</v>
      </c>
      <c r="V1000" s="16">
        <f t="shared" si="30"/>
        <v>40588</v>
      </c>
      <c r="W1000" s="18" t="str">
        <f t="shared" si="31"/>
        <v>Weekday</v>
      </c>
    </row>
    <row r="1001" spans="1:23" x14ac:dyDescent="0.25">
      <c r="A1001" s="19">
        <v>999</v>
      </c>
      <c r="B1001" s="20">
        <v>40588</v>
      </c>
      <c r="C1001" s="18">
        <v>3</v>
      </c>
      <c r="D1001" s="18">
        <v>0</v>
      </c>
      <c r="E1001" s="18">
        <v>2</v>
      </c>
      <c r="F1001" s="18">
        <v>6</v>
      </c>
      <c r="G1001" s="18" t="b">
        <v>0</v>
      </c>
      <c r="H1001" s="18">
        <v>1</v>
      </c>
      <c r="I1001" s="18">
        <v>1</v>
      </c>
      <c r="J1001" s="18">
        <v>0.34</v>
      </c>
      <c r="K1001">
        <v>0.30299999999999999</v>
      </c>
      <c r="L1001">
        <v>0.46</v>
      </c>
      <c r="M1001" s="18">
        <v>0.29849999999999999</v>
      </c>
      <c r="N1001" s="18">
        <v>1</v>
      </c>
      <c r="O1001" s="18">
        <v>25</v>
      </c>
      <c r="P1001">
        <v>26</v>
      </c>
      <c r="Q1001" s="18" t="s">
        <v>47</v>
      </c>
      <c r="R1001" s="18" t="s">
        <v>49</v>
      </c>
      <c r="S1001" s="18" t="s">
        <v>36</v>
      </c>
      <c r="T1001" s="18" t="s">
        <v>41</v>
      </c>
      <c r="U1001" s="18">
        <v>2011</v>
      </c>
      <c r="V1001" s="16">
        <f t="shared" si="30"/>
        <v>40588</v>
      </c>
      <c r="W1001" s="18" t="str">
        <f t="shared" si="31"/>
        <v>Weekday</v>
      </c>
    </row>
    <row r="1002" spans="1:23" x14ac:dyDescent="0.25">
      <c r="A1002" s="21">
        <v>1000</v>
      </c>
      <c r="B1002" s="22">
        <v>40588</v>
      </c>
      <c r="C1002" s="23">
        <v>4</v>
      </c>
      <c r="D1002" s="23">
        <v>0</v>
      </c>
      <c r="E1002" s="23">
        <v>2</v>
      </c>
      <c r="F1002" s="23">
        <v>7</v>
      </c>
      <c r="G1002" s="23" t="b">
        <v>0</v>
      </c>
      <c r="H1002" s="23">
        <v>1</v>
      </c>
      <c r="I1002" s="23">
        <v>1</v>
      </c>
      <c r="J1002" s="23">
        <v>0.34</v>
      </c>
      <c r="K1002">
        <v>0.30299999999999999</v>
      </c>
      <c r="L1002">
        <v>0.46</v>
      </c>
      <c r="M1002" s="23">
        <v>0.29849999999999999</v>
      </c>
      <c r="N1002" s="23">
        <v>2</v>
      </c>
      <c r="O1002" s="23">
        <v>96</v>
      </c>
      <c r="P1002">
        <v>98</v>
      </c>
      <c r="Q1002" s="18" t="s">
        <v>47</v>
      </c>
      <c r="R1002" s="18" t="s">
        <v>50</v>
      </c>
      <c r="S1002" s="18" t="s">
        <v>36</v>
      </c>
      <c r="T1002" s="18" t="s">
        <v>41</v>
      </c>
      <c r="U1002" s="18">
        <v>2011</v>
      </c>
      <c r="V1002" s="16">
        <f t="shared" si="30"/>
        <v>40588</v>
      </c>
      <c r="W1002" s="23" t="str">
        <f t="shared" si="31"/>
        <v>Weekday</v>
      </c>
    </row>
  </sheetData>
  <mergeCells count="2">
    <mergeCell ref="A1:K1"/>
    <mergeCell ref="R1:W1"/>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CF29F-301D-4371-B4C4-A36ECE559DAD}">
  <dimension ref="A1:E217"/>
  <sheetViews>
    <sheetView workbookViewId="0">
      <selection activeCell="J4" sqref="J4"/>
    </sheetView>
  </sheetViews>
  <sheetFormatPr defaultRowHeight="15" x14ac:dyDescent="0.25"/>
  <cols>
    <col min="1" max="1" width="20.7109375" customWidth="1"/>
    <col min="2" max="2" width="15.28515625" customWidth="1"/>
    <col min="3" max="3" width="24.42578125" customWidth="1"/>
    <col min="4" max="5" width="39.28515625" customWidth="1"/>
  </cols>
  <sheetData>
    <row r="1" spans="1:5" x14ac:dyDescent="0.25">
      <c r="A1" t="s">
        <v>51</v>
      </c>
      <c r="B1" t="s">
        <v>52</v>
      </c>
      <c r="C1" t="s">
        <v>53</v>
      </c>
      <c r="D1" t="s">
        <v>54</v>
      </c>
      <c r="E1" t="s">
        <v>55</v>
      </c>
    </row>
    <row r="2" spans="1:5" x14ac:dyDescent="0.25">
      <c r="A2" s="25">
        <v>40589</v>
      </c>
      <c r="B2">
        <v>8.8000000000000007</v>
      </c>
    </row>
    <row r="3" spans="1:5" x14ac:dyDescent="0.25">
      <c r="A3" s="25">
        <v>40589.041666666664</v>
      </c>
      <c r="B3">
        <v>3.4</v>
      </c>
    </row>
    <row r="4" spans="1:5" x14ac:dyDescent="0.25">
      <c r="A4" s="25">
        <v>40589.083333333336</v>
      </c>
      <c r="B4">
        <v>2</v>
      </c>
    </row>
    <row r="5" spans="1:5" x14ac:dyDescent="0.25">
      <c r="A5" s="25">
        <v>40589.125</v>
      </c>
      <c r="B5">
        <v>1.5</v>
      </c>
    </row>
    <row r="6" spans="1:5" x14ac:dyDescent="0.25">
      <c r="A6" s="25">
        <v>40589.166666666664</v>
      </c>
      <c r="B6">
        <v>2</v>
      </c>
    </row>
    <row r="7" spans="1:5" x14ac:dyDescent="0.25">
      <c r="A7" s="25">
        <v>40589.208333333336</v>
      </c>
      <c r="B7">
        <v>4.8</v>
      </c>
    </row>
    <row r="8" spans="1:5" x14ac:dyDescent="0.25">
      <c r="A8" s="25">
        <v>40589.25</v>
      </c>
      <c r="B8">
        <v>32</v>
      </c>
    </row>
    <row r="9" spans="1:5" x14ac:dyDescent="0.25">
      <c r="A9" s="25">
        <v>40589.291666666664</v>
      </c>
      <c r="B9">
        <v>90.6</v>
      </c>
    </row>
    <row r="10" spans="1:5" x14ac:dyDescent="0.25">
      <c r="A10" s="25">
        <v>40589.333333333336</v>
      </c>
      <c r="B10">
        <v>202.4</v>
      </c>
    </row>
    <row r="11" spans="1:5" x14ac:dyDescent="0.25">
      <c r="A11" s="25">
        <v>40589.375</v>
      </c>
      <c r="B11">
        <v>125</v>
      </c>
    </row>
    <row r="12" spans="1:5" x14ac:dyDescent="0.25">
      <c r="A12" s="25">
        <v>40589.416666666664</v>
      </c>
      <c r="B12">
        <v>49.2</v>
      </c>
    </row>
    <row r="13" spans="1:5" x14ac:dyDescent="0.25">
      <c r="A13" s="25">
        <v>40589.458333333336</v>
      </c>
      <c r="B13">
        <v>50.8</v>
      </c>
    </row>
    <row r="14" spans="1:5" x14ac:dyDescent="0.25">
      <c r="A14" s="25">
        <v>40589.5</v>
      </c>
      <c r="B14">
        <v>60.666666666666664</v>
      </c>
    </row>
    <row r="15" spans="1:5" x14ac:dyDescent="0.25">
      <c r="A15" s="25">
        <v>40589.541666666664</v>
      </c>
      <c r="B15">
        <v>61</v>
      </c>
    </row>
    <row r="16" spans="1:5" x14ac:dyDescent="0.25">
      <c r="A16" s="25">
        <v>40589.583333333336</v>
      </c>
      <c r="B16">
        <v>56.666666666666664</v>
      </c>
    </row>
    <row r="17" spans="1:2" x14ac:dyDescent="0.25">
      <c r="A17" s="25">
        <v>40589.625</v>
      </c>
      <c r="B17">
        <v>55.666666666666664</v>
      </c>
    </row>
    <row r="18" spans="1:2" x14ac:dyDescent="0.25">
      <c r="A18" s="25">
        <v>40589.666666666664</v>
      </c>
      <c r="B18">
        <v>80.5</v>
      </c>
    </row>
    <row r="19" spans="1:2" x14ac:dyDescent="0.25">
      <c r="A19" s="25">
        <v>40589.708333333336</v>
      </c>
      <c r="B19">
        <v>174.5</v>
      </c>
    </row>
    <row r="20" spans="1:2" x14ac:dyDescent="0.25">
      <c r="A20" s="25">
        <v>40589.75</v>
      </c>
      <c r="B20">
        <v>159.16666666666666</v>
      </c>
    </row>
    <row r="21" spans="1:2" x14ac:dyDescent="0.25">
      <c r="A21" s="25">
        <v>40589.791666666664</v>
      </c>
      <c r="B21">
        <v>102.83333333333333</v>
      </c>
    </row>
    <row r="22" spans="1:2" x14ac:dyDescent="0.25">
      <c r="A22" s="25">
        <v>40589.833333333336</v>
      </c>
      <c r="B22">
        <v>69.666666666666671</v>
      </c>
    </row>
    <row r="23" spans="1:2" x14ac:dyDescent="0.25">
      <c r="A23" s="25">
        <v>40589.875</v>
      </c>
      <c r="B23">
        <v>45.333333333333336</v>
      </c>
    </row>
    <row r="24" spans="1:2" x14ac:dyDescent="0.25">
      <c r="A24" s="25">
        <v>40589.916666666664</v>
      </c>
      <c r="B24">
        <v>35.833333333333336</v>
      </c>
    </row>
    <row r="25" spans="1:2" x14ac:dyDescent="0.25">
      <c r="A25" s="25">
        <v>40589.958333333336</v>
      </c>
      <c r="B25">
        <v>19.666666666666668</v>
      </c>
    </row>
    <row r="26" spans="1:2" x14ac:dyDescent="0.25">
      <c r="A26" s="25">
        <v>40590</v>
      </c>
      <c r="B26">
        <v>8.6666666666666661</v>
      </c>
    </row>
    <row r="27" spans="1:2" x14ac:dyDescent="0.25">
      <c r="A27" s="25">
        <v>40590.041666666664</v>
      </c>
      <c r="B27">
        <v>5.666666666666667</v>
      </c>
    </row>
    <row r="28" spans="1:2" x14ac:dyDescent="0.25">
      <c r="A28" s="25">
        <v>40590.083333333336</v>
      </c>
      <c r="B28">
        <v>3.8333333333333335</v>
      </c>
    </row>
    <row r="29" spans="1:2" x14ac:dyDescent="0.25">
      <c r="A29" s="25">
        <v>40590.125</v>
      </c>
      <c r="B29">
        <v>1.5</v>
      </c>
    </row>
    <row r="30" spans="1:2" x14ac:dyDescent="0.25">
      <c r="A30" s="25">
        <v>40590.166666666664</v>
      </c>
      <c r="B30">
        <v>1.6666666666666667</v>
      </c>
    </row>
    <row r="31" spans="1:2" x14ac:dyDescent="0.25">
      <c r="A31" s="25">
        <v>40590.208333333336</v>
      </c>
      <c r="B31">
        <v>4.333333333333333</v>
      </c>
    </row>
    <row r="32" spans="1:2" x14ac:dyDescent="0.25">
      <c r="A32" s="25">
        <v>40590.25</v>
      </c>
      <c r="B32">
        <v>25</v>
      </c>
    </row>
    <row r="33" spans="1:2" x14ac:dyDescent="0.25">
      <c r="A33" s="25">
        <v>40590.291666666664</v>
      </c>
      <c r="B33">
        <v>68.333333333333329</v>
      </c>
    </row>
    <row r="34" spans="1:2" x14ac:dyDescent="0.25">
      <c r="A34" s="25">
        <v>40590.333333333336</v>
      </c>
      <c r="B34">
        <v>157.66666666666666</v>
      </c>
    </row>
    <row r="35" spans="1:2" x14ac:dyDescent="0.25">
      <c r="A35" s="25">
        <v>40590.375</v>
      </c>
      <c r="B35">
        <v>101.5</v>
      </c>
    </row>
    <row r="36" spans="1:2" x14ac:dyDescent="0.25">
      <c r="A36" s="25">
        <v>40590.416666666664</v>
      </c>
      <c r="B36">
        <v>48.5</v>
      </c>
    </row>
    <row r="37" spans="1:2" x14ac:dyDescent="0.25">
      <c r="A37" s="25">
        <v>40590.458333333336</v>
      </c>
      <c r="B37">
        <v>44.5</v>
      </c>
    </row>
    <row r="38" spans="1:2" x14ac:dyDescent="0.25">
      <c r="A38" s="25">
        <v>40590.5</v>
      </c>
      <c r="B38">
        <v>62.833333333333336</v>
      </c>
    </row>
    <row r="39" spans="1:2" x14ac:dyDescent="0.25">
      <c r="A39" s="25">
        <v>40590.541666666664</v>
      </c>
      <c r="B39">
        <v>64.833333333333329</v>
      </c>
    </row>
    <row r="40" spans="1:2" x14ac:dyDescent="0.25">
      <c r="A40" s="25">
        <v>40590.583333333336</v>
      </c>
      <c r="B40">
        <v>56.333333333333336</v>
      </c>
    </row>
    <row r="41" spans="1:2" x14ac:dyDescent="0.25">
      <c r="A41" s="25">
        <v>40590.625</v>
      </c>
      <c r="B41">
        <v>62.666666666666664</v>
      </c>
    </row>
    <row r="42" spans="1:2" x14ac:dyDescent="0.25">
      <c r="A42" s="25">
        <v>40590.666666666664</v>
      </c>
      <c r="B42">
        <v>79.833333333333329</v>
      </c>
    </row>
    <row r="43" spans="1:2" x14ac:dyDescent="0.25">
      <c r="A43" s="25">
        <v>40590.708333333336</v>
      </c>
      <c r="B43">
        <v>151.33333333333334</v>
      </c>
    </row>
    <row r="44" spans="1:2" x14ac:dyDescent="0.25">
      <c r="A44" s="25">
        <v>40590.75</v>
      </c>
      <c r="B44">
        <v>163.80000000000001</v>
      </c>
    </row>
    <row r="45" spans="1:2" x14ac:dyDescent="0.25">
      <c r="A45" s="25">
        <v>40590.791666666664</v>
      </c>
      <c r="B45">
        <v>101.2</v>
      </c>
    </row>
    <row r="46" spans="1:2" x14ac:dyDescent="0.25">
      <c r="A46" s="25">
        <v>40590.833333333336</v>
      </c>
      <c r="B46">
        <v>76</v>
      </c>
    </row>
    <row r="47" spans="1:2" x14ac:dyDescent="0.25">
      <c r="A47" s="25">
        <v>40590.875</v>
      </c>
      <c r="B47">
        <v>61</v>
      </c>
    </row>
    <row r="48" spans="1:2" x14ac:dyDescent="0.25">
      <c r="A48" s="25">
        <v>40590.916666666664</v>
      </c>
      <c r="B48">
        <v>44</v>
      </c>
    </row>
    <row r="49" spans="1:2" x14ac:dyDescent="0.25">
      <c r="A49" s="25">
        <v>40590.958333333336</v>
      </c>
      <c r="B49">
        <v>27.2</v>
      </c>
    </row>
    <row r="50" spans="1:2" x14ac:dyDescent="0.25">
      <c r="A50" s="25">
        <v>40591</v>
      </c>
      <c r="B50">
        <v>11.8</v>
      </c>
    </row>
    <row r="51" spans="1:2" x14ac:dyDescent="0.25">
      <c r="A51" s="25">
        <v>40591.041666666664</v>
      </c>
      <c r="B51">
        <v>4.5999999999999996</v>
      </c>
    </row>
    <row r="52" spans="1:2" x14ac:dyDescent="0.25">
      <c r="A52" s="25">
        <v>40591.083333333336</v>
      </c>
      <c r="B52">
        <v>2.2000000000000002</v>
      </c>
    </row>
    <row r="53" spans="1:2" x14ac:dyDescent="0.25">
      <c r="A53" s="25">
        <v>40591.125</v>
      </c>
      <c r="B53">
        <v>1.6666666666666667</v>
      </c>
    </row>
    <row r="54" spans="1:2" x14ac:dyDescent="0.25">
      <c r="A54" s="25">
        <v>40591.166666666664</v>
      </c>
      <c r="B54">
        <v>1.75</v>
      </c>
    </row>
    <row r="55" spans="1:2" x14ac:dyDescent="0.25">
      <c r="A55" s="25">
        <v>40591.208333333336</v>
      </c>
      <c r="B55">
        <v>4.2</v>
      </c>
    </row>
    <row r="56" spans="1:2" x14ac:dyDescent="0.25">
      <c r="A56" s="25">
        <v>40591.25</v>
      </c>
      <c r="B56">
        <v>32.799999999999997</v>
      </c>
    </row>
    <row r="57" spans="1:2" x14ac:dyDescent="0.25">
      <c r="A57" s="25">
        <v>40591.291666666664</v>
      </c>
      <c r="B57">
        <v>90.8</v>
      </c>
    </row>
    <row r="58" spans="1:2" x14ac:dyDescent="0.25">
      <c r="A58" s="25">
        <v>40591.333333333336</v>
      </c>
      <c r="B58">
        <v>207.2</v>
      </c>
    </row>
    <row r="59" spans="1:2" x14ac:dyDescent="0.25">
      <c r="A59" s="25">
        <v>40591.375</v>
      </c>
      <c r="B59">
        <v>131.80000000000001</v>
      </c>
    </row>
    <row r="60" spans="1:2" x14ac:dyDescent="0.25">
      <c r="A60" s="25">
        <v>40591.416666666664</v>
      </c>
      <c r="B60">
        <v>45.4</v>
      </c>
    </row>
    <row r="61" spans="1:2" x14ac:dyDescent="0.25">
      <c r="A61" s="25">
        <v>40591.458333333336</v>
      </c>
      <c r="B61">
        <v>54.6</v>
      </c>
    </row>
    <row r="62" spans="1:2" x14ac:dyDescent="0.25">
      <c r="A62" s="25">
        <v>40591.5</v>
      </c>
      <c r="B62">
        <v>71.599999999999994</v>
      </c>
    </row>
    <row r="63" spans="1:2" x14ac:dyDescent="0.25">
      <c r="A63" s="25">
        <v>40591.541666666664</v>
      </c>
      <c r="B63">
        <v>72.2</v>
      </c>
    </row>
    <row r="64" spans="1:2" x14ac:dyDescent="0.25">
      <c r="A64" s="25">
        <v>40591.583333333336</v>
      </c>
      <c r="B64">
        <v>57.6</v>
      </c>
    </row>
    <row r="65" spans="1:2" x14ac:dyDescent="0.25">
      <c r="A65" s="25">
        <v>40591.625</v>
      </c>
      <c r="B65">
        <v>60.4</v>
      </c>
    </row>
    <row r="66" spans="1:2" x14ac:dyDescent="0.25">
      <c r="A66" s="25">
        <v>40591.666666666664</v>
      </c>
      <c r="B66">
        <v>72.833333333333329</v>
      </c>
    </row>
    <row r="67" spans="1:2" x14ac:dyDescent="0.25">
      <c r="A67" s="25">
        <v>40591.708333333336</v>
      </c>
      <c r="B67">
        <v>162.16666666666666</v>
      </c>
    </row>
    <row r="68" spans="1:2" x14ac:dyDescent="0.25">
      <c r="A68" s="25">
        <v>40591.75</v>
      </c>
      <c r="B68">
        <v>150.5</v>
      </c>
    </row>
    <row r="69" spans="1:2" x14ac:dyDescent="0.25">
      <c r="A69" s="25">
        <v>40591.791666666664</v>
      </c>
      <c r="B69">
        <v>108.33333333333333</v>
      </c>
    </row>
    <row r="70" spans="1:2" x14ac:dyDescent="0.25">
      <c r="A70" s="25">
        <v>40591.833333333336</v>
      </c>
      <c r="B70">
        <v>87.333333333333329</v>
      </c>
    </row>
    <row r="71" spans="1:2" x14ac:dyDescent="0.25">
      <c r="A71" s="25">
        <v>40591.875</v>
      </c>
      <c r="B71">
        <v>51.5</v>
      </c>
    </row>
    <row r="72" spans="1:2" x14ac:dyDescent="0.25">
      <c r="A72" s="25">
        <v>40591.916666666664</v>
      </c>
      <c r="B72">
        <v>42.833333333333336</v>
      </c>
    </row>
    <row r="73" spans="1:2" x14ac:dyDescent="0.25">
      <c r="A73" s="25">
        <v>40591.958333333336</v>
      </c>
      <c r="B73">
        <v>26.166666666666668</v>
      </c>
    </row>
    <row r="74" spans="1:2" x14ac:dyDescent="0.25">
      <c r="A74" s="25">
        <v>40592</v>
      </c>
      <c r="B74">
        <v>14.666666666666666</v>
      </c>
    </row>
    <row r="75" spans="1:2" x14ac:dyDescent="0.25">
      <c r="A75" s="25">
        <v>40592.041666666664</v>
      </c>
      <c r="B75">
        <v>5.833333333333333</v>
      </c>
    </row>
    <row r="76" spans="1:2" x14ac:dyDescent="0.25">
      <c r="A76" s="25">
        <v>40592.083333333336</v>
      </c>
      <c r="B76">
        <v>1.6666666666666667</v>
      </c>
    </row>
    <row r="77" spans="1:2" x14ac:dyDescent="0.25">
      <c r="A77" s="25">
        <v>40592.125</v>
      </c>
      <c r="B77">
        <v>1</v>
      </c>
    </row>
    <row r="78" spans="1:2" x14ac:dyDescent="0.25">
      <c r="A78" s="25">
        <v>40592.166666666664</v>
      </c>
      <c r="B78">
        <v>1</v>
      </c>
    </row>
    <row r="79" spans="1:2" x14ac:dyDescent="0.25">
      <c r="A79" s="25">
        <v>40592.208333333336</v>
      </c>
      <c r="B79">
        <v>5.5</v>
      </c>
    </row>
    <row r="80" spans="1:2" x14ac:dyDescent="0.25">
      <c r="A80" s="25">
        <v>40592.25</v>
      </c>
      <c r="B80">
        <v>24.333333333333332</v>
      </c>
    </row>
    <row r="81" spans="1:2" x14ac:dyDescent="0.25">
      <c r="A81" s="25">
        <v>40592.291666666664</v>
      </c>
      <c r="B81">
        <v>73.833333333333329</v>
      </c>
    </row>
    <row r="82" spans="1:2" x14ac:dyDescent="0.25">
      <c r="A82" s="25">
        <v>40592.333333333336</v>
      </c>
      <c r="B82">
        <v>196.33333333333334</v>
      </c>
    </row>
    <row r="83" spans="1:2" x14ac:dyDescent="0.25">
      <c r="A83" s="25">
        <v>40592.375</v>
      </c>
      <c r="B83">
        <v>130.83333333333334</v>
      </c>
    </row>
    <row r="84" spans="1:2" x14ac:dyDescent="0.25">
      <c r="A84" s="25">
        <v>40592.416666666664</v>
      </c>
      <c r="B84">
        <v>52.333333333333336</v>
      </c>
    </row>
    <row r="85" spans="1:2" x14ac:dyDescent="0.25">
      <c r="A85" s="25">
        <v>40592.458333333336</v>
      </c>
      <c r="B85">
        <v>56.166666666666664</v>
      </c>
    </row>
    <row r="86" spans="1:2" x14ac:dyDescent="0.25">
      <c r="A86" s="25">
        <v>40592.5</v>
      </c>
      <c r="B86">
        <v>64</v>
      </c>
    </row>
    <row r="87" spans="1:2" x14ac:dyDescent="0.25">
      <c r="A87" s="25">
        <v>40592.541666666664</v>
      </c>
      <c r="B87">
        <v>74.333333333333329</v>
      </c>
    </row>
    <row r="88" spans="1:2" x14ac:dyDescent="0.25">
      <c r="A88" s="25">
        <v>40592.583333333336</v>
      </c>
      <c r="B88">
        <v>64.833333333333329</v>
      </c>
    </row>
    <row r="89" spans="1:2" x14ac:dyDescent="0.25">
      <c r="A89" s="25">
        <v>40592.625</v>
      </c>
      <c r="B89">
        <v>68.333333333333329</v>
      </c>
    </row>
    <row r="90" spans="1:2" x14ac:dyDescent="0.25">
      <c r="A90" s="25">
        <v>40592.666666666664</v>
      </c>
      <c r="B90">
        <v>96.333333333333329</v>
      </c>
    </row>
    <row r="91" spans="1:2" x14ac:dyDescent="0.25">
      <c r="A91" s="25">
        <v>40592.708333333336</v>
      </c>
      <c r="B91">
        <v>178.66666666666666</v>
      </c>
    </row>
    <row r="92" spans="1:2" x14ac:dyDescent="0.25">
      <c r="A92" s="25">
        <v>40592.75</v>
      </c>
      <c r="B92">
        <v>136.66666666666666</v>
      </c>
    </row>
    <row r="93" spans="1:2" x14ac:dyDescent="0.25">
      <c r="A93" s="25">
        <v>40592.791666666664</v>
      </c>
      <c r="B93">
        <v>96</v>
      </c>
    </row>
    <row r="94" spans="1:2" x14ac:dyDescent="0.25">
      <c r="A94" s="25">
        <v>40592.833333333336</v>
      </c>
      <c r="B94">
        <v>61.333333333333336</v>
      </c>
    </row>
    <row r="95" spans="1:2" x14ac:dyDescent="0.25">
      <c r="A95" s="25">
        <v>40592.875</v>
      </c>
      <c r="B95">
        <v>46.666666666666664</v>
      </c>
    </row>
    <row r="96" spans="1:2" x14ac:dyDescent="0.25">
      <c r="A96" s="25">
        <v>40592.916666666664</v>
      </c>
      <c r="B96">
        <v>36.833333333333336</v>
      </c>
    </row>
    <row r="97" spans="1:2" x14ac:dyDescent="0.25">
      <c r="A97" s="25">
        <v>40592.958333333336</v>
      </c>
      <c r="B97">
        <v>29.333333333333332</v>
      </c>
    </row>
    <row r="98" spans="1:2" x14ac:dyDescent="0.25">
      <c r="A98" s="25">
        <v>40593</v>
      </c>
      <c r="B98">
        <v>25.571428571428573</v>
      </c>
    </row>
    <row r="99" spans="1:2" x14ac:dyDescent="0.25">
      <c r="A99" s="25">
        <v>40593.041666666664</v>
      </c>
      <c r="B99">
        <v>21.428571428571427</v>
      </c>
    </row>
    <row r="100" spans="1:2" x14ac:dyDescent="0.25">
      <c r="A100" s="25">
        <v>40593.083333333336</v>
      </c>
      <c r="B100">
        <v>16.857142857142858</v>
      </c>
    </row>
    <row r="101" spans="1:2" x14ac:dyDescent="0.25">
      <c r="A101" s="25">
        <v>40593.125</v>
      </c>
      <c r="B101">
        <v>9.1428571428571423</v>
      </c>
    </row>
    <row r="102" spans="1:2" x14ac:dyDescent="0.25">
      <c r="A102" s="25">
        <v>40593.166666666664</v>
      </c>
      <c r="B102">
        <v>3.5714285714285716</v>
      </c>
    </row>
    <row r="103" spans="1:2" x14ac:dyDescent="0.25">
      <c r="A103" s="25">
        <v>40593.208333333336</v>
      </c>
      <c r="B103">
        <v>3.4</v>
      </c>
    </row>
    <row r="104" spans="1:2" x14ac:dyDescent="0.25">
      <c r="A104" s="25">
        <v>40593.25</v>
      </c>
      <c r="B104">
        <v>2.4285714285714284</v>
      </c>
    </row>
    <row r="105" spans="1:2" x14ac:dyDescent="0.25">
      <c r="A105" s="25">
        <v>40593.291666666664</v>
      </c>
      <c r="B105">
        <v>7.1428571428571432</v>
      </c>
    </row>
    <row r="106" spans="1:2" x14ac:dyDescent="0.25">
      <c r="A106" s="25">
        <v>40593.333333333336</v>
      </c>
      <c r="B106">
        <v>21</v>
      </c>
    </row>
    <row r="107" spans="1:2" x14ac:dyDescent="0.25">
      <c r="A107" s="25">
        <v>40593.375</v>
      </c>
      <c r="B107">
        <v>29.142857142857142</v>
      </c>
    </row>
    <row r="108" spans="1:2" x14ac:dyDescent="0.25">
      <c r="A108" s="25">
        <v>40593.416666666664</v>
      </c>
      <c r="B108">
        <v>54.571428571428569</v>
      </c>
    </row>
    <row r="109" spans="1:2" x14ac:dyDescent="0.25">
      <c r="A109" s="25">
        <v>40593.458333333336</v>
      </c>
      <c r="B109">
        <v>68.285714285714292</v>
      </c>
    </row>
    <row r="110" spans="1:2" x14ac:dyDescent="0.25">
      <c r="A110" s="25">
        <v>40593.5</v>
      </c>
      <c r="B110">
        <v>84.428571428571431</v>
      </c>
    </row>
    <row r="111" spans="1:2" x14ac:dyDescent="0.25">
      <c r="A111" s="25">
        <v>40593.541666666664</v>
      </c>
      <c r="B111">
        <v>93.285714285714292</v>
      </c>
    </row>
    <row r="112" spans="1:2" x14ac:dyDescent="0.25">
      <c r="A112" s="25">
        <v>40593.583333333336</v>
      </c>
      <c r="B112">
        <v>95.428571428571431</v>
      </c>
    </row>
    <row r="113" spans="1:2" x14ac:dyDescent="0.25">
      <c r="A113" s="25">
        <v>40593.625</v>
      </c>
      <c r="B113">
        <v>110</v>
      </c>
    </row>
    <row r="114" spans="1:2" x14ac:dyDescent="0.25">
      <c r="A114" s="25">
        <v>40593.666666666664</v>
      </c>
      <c r="B114">
        <v>100.42857142857143</v>
      </c>
    </row>
    <row r="115" spans="1:2" x14ac:dyDescent="0.25">
      <c r="A115" s="25">
        <v>40593.708333333336</v>
      </c>
      <c r="B115">
        <v>84.571428571428569</v>
      </c>
    </row>
    <row r="116" spans="1:2" x14ac:dyDescent="0.25">
      <c r="A116" s="25">
        <v>40593.75</v>
      </c>
      <c r="B116">
        <v>63.285714285714285</v>
      </c>
    </row>
    <row r="117" spans="1:2" x14ac:dyDescent="0.25">
      <c r="A117" s="25">
        <v>40593.791666666664</v>
      </c>
      <c r="B117">
        <v>54.714285714285715</v>
      </c>
    </row>
    <row r="118" spans="1:2" x14ac:dyDescent="0.25">
      <c r="A118" s="25">
        <v>40593.833333333336</v>
      </c>
      <c r="B118">
        <v>43.142857142857146</v>
      </c>
    </row>
    <row r="119" spans="1:2" x14ac:dyDescent="0.25">
      <c r="A119" s="25">
        <v>40593.875</v>
      </c>
      <c r="B119">
        <v>44.285714285714285</v>
      </c>
    </row>
    <row r="120" spans="1:2" x14ac:dyDescent="0.25">
      <c r="A120" s="25">
        <v>40593.916666666664</v>
      </c>
      <c r="B120">
        <v>34.285714285714285</v>
      </c>
    </row>
    <row r="121" spans="1:2" x14ac:dyDescent="0.25">
      <c r="A121" s="25">
        <v>40593.958333333336</v>
      </c>
      <c r="B121">
        <v>37.428571428571431</v>
      </c>
    </row>
    <row r="122" spans="1:2" x14ac:dyDescent="0.25">
      <c r="A122" s="25">
        <v>40594</v>
      </c>
      <c r="B122">
        <v>30.571428571428573</v>
      </c>
    </row>
    <row r="123" spans="1:2" x14ac:dyDescent="0.25">
      <c r="A123" s="25">
        <v>40594.041666666664</v>
      </c>
      <c r="B123">
        <v>23.142857142857142</v>
      </c>
    </row>
    <row r="124" spans="1:2" x14ac:dyDescent="0.25">
      <c r="A124" s="25">
        <v>40594.083333333336</v>
      </c>
      <c r="B124">
        <v>15</v>
      </c>
    </row>
    <row r="125" spans="1:2" x14ac:dyDescent="0.25">
      <c r="A125" s="25">
        <v>40594.125</v>
      </c>
      <c r="B125">
        <v>9</v>
      </c>
    </row>
    <row r="126" spans="1:2" x14ac:dyDescent="0.25">
      <c r="A126" s="25">
        <v>40594.166666666664</v>
      </c>
      <c r="B126">
        <v>1.6666666666666667</v>
      </c>
    </row>
    <row r="127" spans="1:2" x14ac:dyDescent="0.25">
      <c r="A127" s="25">
        <v>40594.208333333336</v>
      </c>
      <c r="B127">
        <v>2</v>
      </c>
    </row>
    <row r="128" spans="1:2" x14ac:dyDescent="0.25">
      <c r="A128" s="25">
        <v>40594.25</v>
      </c>
      <c r="B128">
        <v>1.8333333333333333</v>
      </c>
    </row>
    <row r="129" spans="1:2" x14ac:dyDescent="0.25">
      <c r="A129" s="25">
        <v>40594.291666666664</v>
      </c>
      <c r="B129">
        <v>3.7142857142857144</v>
      </c>
    </row>
    <row r="130" spans="1:2" x14ac:dyDescent="0.25">
      <c r="A130" s="25">
        <v>40594.333333333336</v>
      </c>
      <c r="B130">
        <v>14.571428571428571</v>
      </c>
    </row>
    <row r="131" spans="1:2" x14ac:dyDescent="0.25">
      <c r="A131" s="25">
        <v>40594.375</v>
      </c>
      <c r="B131">
        <v>32.714285714285715</v>
      </c>
    </row>
    <row r="132" spans="1:2" x14ac:dyDescent="0.25">
      <c r="A132" s="25">
        <v>40594.416666666664</v>
      </c>
      <c r="B132">
        <v>71</v>
      </c>
    </row>
    <row r="133" spans="1:2" x14ac:dyDescent="0.25">
      <c r="A133" s="25">
        <v>40594.458333333336</v>
      </c>
      <c r="B133">
        <v>85.571428571428569</v>
      </c>
    </row>
    <row r="134" spans="1:2" x14ac:dyDescent="0.25">
      <c r="A134" s="25">
        <v>40594.5</v>
      </c>
      <c r="B134">
        <v>117</v>
      </c>
    </row>
    <row r="135" spans="1:2" x14ac:dyDescent="0.25">
      <c r="A135" s="25">
        <v>40594.541666666664</v>
      </c>
      <c r="B135">
        <v>110.71428571428571</v>
      </c>
    </row>
    <row r="136" spans="1:2" x14ac:dyDescent="0.25">
      <c r="A136" s="25">
        <v>40594.583333333336</v>
      </c>
      <c r="B136">
        <v>110.85714285714286</v>
      </c>
    </row>
    <row r="137" spans="1:2" x14ac:dyDescent="0.25">
      <c r="A137" s="25">
        <v>40594.625</v>
      </c>
      <c r="B137">
        <v>114.14285714285714</v>
      </c>
    </row>
    <row r="138" spans="1:2" x14ac:dyDescent="0.25">
      <c r="A138" s="25">
        <v>40594.666666666664</v>
      </c>
      <c r="B138">
        <v>106.57142857142857</v>
      </c>
    </row>
    <row r="139" spans="1:2" x14ac:dyDescent="0.25">
      <c r="A139" s="25">
        <v>40594.708333333336</v>
      </c>
      <c r="B139">
        <v>87.142857142857139</v>
      </c>
    </row>
    <row r="140" spans="1:2" x14ac:dyDescent="0.25">
      <c r="A140" s="25">
        <v>40594.75</v>
      </c>
      <c r="B140">
        <v>65</v>
      </c>
    </row>
    <row r="141" spans="1:2" x14ac:dyDescent="0.25">
      <c r="A141" s="25">
        <v>40594.791666666664</v>
      </c>
      <c r="B141">
        <v>45.571428571428569</v>
      </c>
    </row>
    <row r="142" spans="1:2" x14ac:dyDescent="0.25">
      <c r="A142" s="25">
        <v>40594.833333333336</v>
      </c>
      <c r="B142">
        <v>36.857142857142854</v>
      </c>
    </row>
    <row r="143" spans="1:2" x14ac:dyDescent="0.25">
      <c r="A143" s="25">
        <v>40594.875</v>
      </c>
      <c r="B143">
        <v>30</v>
      </c>
    </row>
    <row r="144" spans="1:2" x14ac:dyDescent="0.25">
      <c r="A144" s="25">
        <v>40594.916666666664</v>
      </c>
      <c r="B144">
        <v>27.428571428571427</v>
      </c>
    </row>
    <row r="145" spans="1:2" x14ac:dyDescent="0.25">
      <c r="A145" s="25">
        <v>40594.958333333336</v>
      </c>
      <c r="B145">
        <v>19.142857142857142</v>
      </c>
    </row>
    <row r="146" spans="1:2" x14ac:dyDescent="0.25">
      <c r="A146" s="25">
        <v>40595</v>
      </c>
      <c r="B146">
        <v>9.5714285714285712</v>
      </c>
    </row>
    <row r="147" spans="1:2" x14ac:dyDescent="0.25">
      <c r="A147" s="25">
        <v>40595.041666666664</v>
      </c>
      <c r="B147">
        <v>5.5714285714285712</v>
      </c>
    </row>
    <row r="148" spans="1:2" x14ac:dyDescent="0.25">
      <c r="A148" s="25">
        <v>40595.083333333336</v>
      </c>
      <c r="B148">
        <v>3.4</v>
      </c>
    </row>
    <row r="149" spans="1:2" x14ac:dyDescent="0.25">
      <c r="A149" s="25">
        <v>40595.125</v>
      </c>
      <c r="B149">
        <v>1.5</v>
      </c>
    </row>
    <row r="150" spans="1:2" x14ac:dyDescent="0.25">
      <c r="A150" s="25">
        <v>40595.166666666664</v>
      </c>
      <c r="B150">
        <v>2</v>
      </c>
    </row>
    <row r="151" spans="1:2" x14ac:dyDescent="0.25">
      <c r="A151" s="25">
        <v>40595.208333333336</v>
      </c>
      <c r="B151">
        <v>4.7142857142857144</v>
      </c>
    </row>
    <row r="152" spans="1:2" x14ac:dyDescent="0.25">
      <c r="A152" s="25">
        <v>40595.25</v>
      </c>
      <c r="B152">
        <v>24.857142857142858</v>
      </c>
    </row>
    <row r="153" spans="1:2" x14ac:dyDescent="0.25">
      <c r="A153" s="25">
        <v>40595.291666666664</v>
      </c>
      <c r="B153">
        <v>71.857142857142861</v>
      </c>
    </row>
    <row r="154" spans="1:2" x14ac:dyDescent="0.25">
      <c r="A154" s="25">
        <v>40595.333333333336</v>
      </c>
      <c r="B154">
        <v>161.16666666666666</v>
      </c>
    </row>
    <row r="155" spans="1:2" x14ac:dyDescent="0.25">
      <c r="A155" s="25">
        <v>40595.375</v>
      </c>
      <c r="B155">
        <v>93.5</v>
      </c>
    </row>
    <row r="156" spans="1:2" x14ac:dyDescent="0.25">
      <c r="A156" s="25">
        <v>40595.416666666664</v>
      </c>
      <c r="B156">
        <v>49.333333333333336</v>
      </c>
    </row>
    <row r="157" spans="1:2" x14ac:dyDescent="0.25">
      <c r="A157" s="25">
        <v>40595.458333333336</v>
      </c>
      <c r="B157">
        <v>47.666666666666664</v>
      </c>
    </row>
    <row r="158" spans="1:2" x14ac:dyDescent="0.25">
      <c r="A158" s="25">
        <v>40595.5</v>
      </c>
      <c r="B158">
        <v>65</v>
      </c>
    </row>
    <row r="159" spans="1:2" x14ac:dyDescent="0.25">
      <c r="A159" s="25">
        <v>40595.541666666664</v>
      </c>
      <c r="B159">
        <v>64.333333333333329</v>
      </c>
    </row>
    <row r="160" spans="1:2" x14ac:dyDescent="0.25">
      <c r="A160" s="25">
        <v>40595.583333333336</v>
      </c>
      <c r="B160">
        <v>66.833333333333329</v>
      </c>
    </row>
    <row r="161" spans="1:5" x14ac:dyDescent="0.25">
      <c r="A161" s="25">
        <v>40595.625</v>
      </c>
      <c r="B161">
        <v>60.166666666666664</v>
      </c>
    </row>
    <row r="162" spans="1:5" x14ac:dyDescent="0.25">
      <c r="A162" s="25">
        <v>40595.666666666664</v>
      </c>
      <c r="B162">
        <v>83.666666666666671</v>
      </c>
    </row>
    <row r="163" spans="1:5" x14ac:dyDescent="0.25">
      <c r="A163" s="25">
        <v>40595.708333333336</v>
      </c>
      <c r="B163">
        <v>161.16666666666666</v>
      </c>
    </row>
    <row r="164" spans="1:5" x14ac:dyDescent="0.25">
      <c r="A164" s="25">
        <v>40595.75</v>
      </c>
      <c r="B164">
        <v>148</v>
      </c>
    </row>
    <row r="165" spans="1:5" x14ac:dyDescent="0.25">
      <c r="A165" s="25">
        <v>40595.791666666664</v>
      </c>
      <c r="B165">
        <v>101.66666666666667</v>
      </c>
    </row>
    <row r="166" spans="1:5" x14ac:dyDescent="0.25">
      <c r="A166" s="25">
        <v>40595.833333333336</v>
      </c>
      <c r="B166">
        <v>67.666666666666671</v>
      </c>
    </row>
    <row r="167" spans="1:5" x14ac:dyDescent="0.25">
      <c r="A167" s="25">
        <v>40595.875</v>
      </c>
      <c r="B167">
        <v>51.666666666666664</v>
      </c>
    </row>
    <row r="168" spans="1:5" x14ac:dyDescent="0.25">
      <c r="A168" s="25">
        <v>40595.916666666664</v>
      </c>
      <c r="B168">
        <v>27.166666666666668</v>
      </c>
    </row>
    <row r="169" spans="1:5" x14ac:dyDescent="0.25">
      <c r="A169" s="25">
        <v>40595.958333333336</v>
      </c>
      <c r="B169">
        <v>16.666666666666668</v>
      </c>
      <c r="C169">
        <v>16.666666666666668</v>
      </c>
      <c r="D169" s="26">
        <v>16.666666666666668</v>
      </c>
      <c r="E169" s="26">
        <v>16.666666666666668</v>
      </c>
    </row>
    <row r="170" spans="1:5" x14ac:dyDescent="0.25">
      <c r="A170" s="25">
        <v>40596</v>
      </c>
      <c r="C170">
        <f t="shared" ref="C170:C217" si="0">_xlfn.FORECAST.ETS(A170,$B$2:$B$169,$A$2:$A$169,1,1)</f>
        <v>8.7439384395860387</v>
      </c>
      <c r="D170" s="26">
        <f t="shared" ref="D170:D217" si="1">C170-_xlfn.FORECAST.ETS.CONFINT(A170,$B$2:$B$169,$A$2:$A$169,0.95,1,1)</f>
        <v>-46.839411999581252</v>
      </c>
      <c r="E170" s="26">
        <f t="shared" ref="E170:E217" si="2">C170+_xlfn.FORECAST.ETS.CONFINT(A170,$B$2:$B$169,$A$2:$A$169,0.95,1,1)</f>
        <v>64.327288878753336</v>
      </c>
    </row>
    <row r="171" spans="1:5" x14ac:dyDescent="0.25">
      <c r="A171" s="25">
        <v>40596.041666666664</v>
      </c>
      <c r="C171">
        <f t="shared" si="0"/>
        <v>3.6103949831258149</v>
      </c>
      <c r="D171" s="26">
        <f t="shared" si="1"/>
        <v>-51.973205580555664</v>
      </c>
      <c r="E171" s="26">
        <f t="shared" si="2"/>
        <v>59.193995546807294</v>
      </c>
    </row>
    <row r="172" spans="1:5" x14ac:dyDescent="0.25">
      <c r="A172" s="25">
        <v>40596.083333333328</v>
      </c>
      <c r="C172">
        <f t="shared" si="0"/>
        <v>-0.32854459036398254</v>
      </c>
      <c r="D172" s="26">
        <f t="shared" si="1"/>
        <v>-55.91258981706936</v>
      </c>
      <c r="E172" s="26">
        <f t="shared" si="2"/>
        <v>55.255500636341395</v>
      </c>
    </row>
    <row r="173" spans="1:5" x14ac:dyDescent="0.25">
      <c r="A173" s="25">
        <v>40596.124999999993</v>
      </c>
      <c r="C173">
        <f t="shared" si="0"/>
        <v>-3.7065158297474881</v>
      </c>
      <c r="D173" s="26">
        <f t="shared" si="1"/>
        <v>-59.291255835306394</v>
      </c>
      <c r="E173" s="26">
        <f t="shared" si="2"/>
        <v>51.878224175811418</v>
      </c>
    </row>
    <row r="174" spans="1:5" x14ac:dyDescent="0.25">
      <c r="A174" s="25">
        <v>40596.166666666657</v>
      </c>
      <c r="C174">
        <f t="shared" si="0"/>
        <v>-5.8371611204088225</v>
      </c>
      <c r="D174" s="26">
        <f t="shared" si="1"/>
        <v>-61.422901592260395</v>
      </c>
      <c r="E174" s="26">
        <f t="shared" si="2"/>
        <v>49.74857935144275</v>
      </c>
    </row>
    <row r="175" spans="1:5" x14ac:dyDescent="0.25">
      <c r="A175" s="25">
        <v>40596.208333333321</v>
      </c>
      <c r="C175">
        <f t="shared" si="0"/>
        <v>-3.8352729512836845</v>
      </c>
      <c r="D175" s="26">
        <f t="shared" si="1"/>
        <v>-59.42237513998834</v>
      </c>
      <c r="E175" s="26">
        <f t="shared" si="2"/>
        <v>51.751829237420971</v>
      </c>
    </row>
    <row r="176" spans="1:5" x14ac:dyDescent="0.25">
      <c r="A176" s="25">
        <v>40596.249999999985</v>
      </c>
      <c r="C176">
        <f t="shared" si="0"/>
        <v>8.9894355586173234</v>
      </c>
      <c r="D176" s="26">
        <f t="shared" si="1"/>
        <v>-46.5994451488015</v>
      </c>
      <c r="E176" s="26">
        <f t="shared" si="2"/>
        <v>64.578316266036154</v>
      </c>
    </row>
    <row r="177" spans="1:5" x14ac:dyDescent="0.25">
      <c r="A177" s="25">
        <v>40596.29166666665</v>
      </c>
      <c r="C177">
        <f t="shared" si="0"/>
        <v>40.100479647186226</v>
      </c>
      <c r="D177" s="26">
        <f t="shared" si="1"/>
        <v>-15.490651916401958</v>
      </c>
      <c r="E177" s="26">
        <f t="shared" si="2"/>
        <v>95.691611210774411</v>
      </c>
    </row>
    <row r="178" spans="1:5" x14ac:dyDescent="0.25">
      <c r="A178" s="25">
        <v>40596.333333333314</v>
      </c>
      <c r="C178">
        <f t="shared" si="0"/>
        <v>103.71738187138388</v>
      </c>
      <c r="D178" s="26">
        <f t="shared" si="1"/>
        <v>48.123471598722048</v>
      </c>
      <c r="E178" s="26">
        <f t="shared" si="2"/>
        <v>159.31129214404569</v>
      </c>
    </row>
    <row r="179" spans="1:5" x14ac:dyDescent="0.25">
      <c r="A179" s="25">
        <v>40596.374999999978</v>
      </c>
      <c r="C179">
        <f t="shared" si="0"/>
        <v>67.074551075278009</v>
      </c>
      <c r="D179" s="26">
        <f t="shared" si="1"/>
        <v>11.477278750323563</v>
      </c>
      <c r="E179" s="26">
        <f t="shared" si="2"/>
        <v>122.67182340023246</v>
      </c>
    </row>
    <row r="180" spans="1:5" x14ac:dyDescent="0.25">
      <c r="A180" s="25">
        <v>40596.416666666642</v>
      </c>
      <c r="C180">
        <f t="shared" si="0"/>
        <v>48.245474847372734</v>
      </c>
      <c r="D180" s="26">
        <f t="shared" si="1"/>
        <v>-7.3557983327350769</v>
      </c>
      <c r="E180" s="26">
        <f t="shared" si="2"/>
        <v>103.84674802748054</v>
      </c>
    </row>
    <row r="181" spans="1:5" x14ac:dyDescent="0.25">
      <c r="A181" s="25">
        <v>40596.458333333307</v>
      </c>
      <c r="C181">
        <f t="shared" si="0"/>
        <v>53.325354967068236</v>
      </c>
      <c r="D181" s="26">
        <f t="shared" si="1"/>
        <v>-2.2806132939373214</v>
      </c>
      <c r="E181" s="26">
        <f t="shared" si="2"/>
        <v>108.93132322807379</v>
      </c>
    </row>
    <row r="182" spans="1:5" x14ac:dyDescent="0.25">
      <c r="A182" s="25">
        <v>40596.499999999971</v>
      </c>
      <c r="C182">
        <f t="shared" si="0"/>
        <v>73.459303312837108</v>
      </c>
      <c r="D182" s="26">
        <f t="shared" si="1"/>
        <v>17.847890365693054</v>
      </c>
      <c r="E182" s="26">
        <f t="shared" si="2"/>
        <v>129.07071625998117</v>
      </c>
    </row>
    <row r="183" spans="1:5" x14ac:dyDescent="0.25">
      <c r="A183" s="25">
        <v>40596.541666666635</v>
      </c>
      <c r="C183">
        <f t="shared" si="0"/>
        <v>73.450704861420377</v>
      </c>
      <c r="D183" s="26">
        <f t="shared" si="1"/>
        <v>17.833042293957675</v>
      </c>
      <c r="E183" s="26">
        <f t="shared" si="2"/>
        <v>129.06836742888308</v>
      </c>
    </row>
    <row r="184" spans="1:5" x14ac:dyDescent="0.25">
      <c r="A184" s="25">
        <v>40596.583333333299</v>
      </c>
      <c r="C184">
        <f t="shared" si="0"/>
        <v>73.80417595336057</v>
      </c>
      <c r="D184" s="26">
        <f t="shared" si="1"/>
        <v>18.17940356072306</v>
      </c>
      <c r="E184" s="26">
        <f t="shared" si="2"/>
        <v>129.42894834599809</v>
      </c>
    </row>
    <row r="185" spans="1:5" x14ac:dyDescent="0.25">
      <c r="A185" s="25">
        <v>40596.624999999964</v>
      </c>
      <c r="C185">
        <f t="shared" si="0"/>
        <v>73.605038245595154</v>
      </c>
      <c r="D185" s="26">
        <f t="shared" si="1"/>
        <v>17.972240618752458</v>
      </c>
      <c r="E185" s="26">
        <f t="shared" si="2"/>
        <v>129.23783587243784</v>
      </c>
    </row>
    <row r="186" spans="1:5" x14ac:dyDescent="0.25">
      <c r="A186" s="25">
        <v>40596.666666666628</v>
      </c>
      <c r="C186">
        <f t="shared" si="0"/>
        <v>85.094270003288713</v>
      </c>
      <c r="D186" s="26">
        <f t="shared" si="1"/>
        <v>29.452476604303506</v>
      </c>
      <c r="E186" s="26">
        <f t="shared" si="2"/>
        <v>140.73606340227391</v>
      </c>
    </row>
    <row r="187" spans="1:5" x14ac:dyDescent="0.25">
      <c r="A187" s="25">
        <v>40596.708333333292</v>
      </c>
      <c r="C187">
        <f t="shared" si="0"/>
        <v>127.52792971049712</v>
      </c>
      <c r="D187" s="26">
        <f t="shared" si="1"/>
        <v>71.876114957078926</v>
      </c>
      <c r="E187" s="26">
        <f t="shared" si="2"/>
        <v>183.17974446391531</v>
      </c>
    </row>
    <row r="188" spans="1:5" x14ac:dyDescent="0.25">
      <c r="A188" s="25">
        <v>40596.749999999956</v>
      </c>
      <c r="C188">
        <f t="shared" si="0"/>
        <v>109.83440964718903</v>
      </c>
      <c r="D188" s="26">
        <f t="shared" si="1"/>
        <v>54.17149300704888</v>
      </c>
      <c r="E188" s="26">
        <f t="shared" si="2"/>
        <v>165.4973262873292</v>
      </c>
    </row>
    <row r="189" spans="1:5" x14ac:dyDescent="0.25">
      <c r="A189" s="25">
        <v>40596.791666666621</v>
      </c>
      <c r="C189">
        <f t="shared" si="0"/>
        <v>75.061452514085858</v>
      </c>
      <c r="D189" s="26">
        <f t="shared" si="1"/>
        <v>19.38629860959901</v>
      </c>
      <c r="E189" s="26">
        <f t="shared" si="2"/>
        <v>130.73660641857271</v>
      </c>
    </row>
    <row r="190" spans="1:5" x14ac:dyDescent="0.25">
      <c r="A190" s="25">
        <v>40596.833333333285</v>
      </c>
      <c r="C190">
        <f t="shared" si="0"/>
        <v>50.772396870409011</v>
      </c>
      <c r="D190" s="26">
        <f t="shared" si="1"/>
        <v>-4.916184405915331</v>
      </c>
      <c r="E190" s="26">
        <f t="shared" si="2"/>
        <v>106.46097814673335</v>
      </c>
    </row>
    <row r="191" spans="1:5" x14ac:dyDescent="0.25">
      <c r="A191" s="25">
        <v>40596.874999999949</v>
      </c>
      <c r="C191">
        <f t="shared" si="0"/>
        <v>38.560992128125278</v>
      </c>
      <c r="D191" s="26">
        <f t="shared" si="1"/>
        <v>-17.142261230626929</v>
      </c>
      <c r="E191" s="26">
        <f t="shared" si="2"/>
        <v>94.264245486877485</v>
      </c>
    </row>
    <row r="192" spans="1:5" x14ac:dyDescent="0.25">
      <c r="A192" s="25">
        <v>40596.916666666613</v>
      </c>
      <c r="C192">
        <f t="shared" si="0"/>
        <v>23.105570959411946</v>
      </c>
      <c r="D192" s="26">
        <f t="shared" si="1"/>
        <v>-32.613653656914693</v>
      </c>
      <c r="E192" s="26">
        <f t="shared" si="2"/>
        <v>78.824795575738577</v>
      </c>
    </row>
    <row r="193" spans="1:5" x14ac:dyDescent="0.25">
      <c r="A193" s="25">
        <v>40596.958333333278</v>
      </c>
      <c r="C193">
        <f t="shared" si="0"/>
        <v>14.685504739223436</v>
      </c>
      <c r="D193" s="26">
        <f t="shared" si="1"/>
        <v>-41.051044623590883</v>
      </c>
      <c r="E193" s="26">
        <f t="shared" si="2"/>
        <v>70.422054102037748</v>
      </c>
    </row>
    <row r="194" spans="1:5" x14ac:dyDescent="0.25">
      <c r="A194" s="25">
        <v>40596.999999999942</v>
      </c>
      <c r="C194">
        <f t="shared" si="0"/>
        <v>6.7627765121427998</v>
      </c>
      <c r="D194" s="26">
        <f t="shared" si="1"/>
        <v>-56.176526664499598</v>
      </c>
      <c r="E194" s="26">
        <f t="shared" si="2"/>
        <v>69.702079688785204</v>
      </c>
    </row>
    <row r="195" spans="1:5" x14ac:dyDescent="0.25">
      <c r="A195" s="25">
        <v>40597.041666666606</v>
      </c>
      <c r="C195">
        <f t="shared" si="0"/>
        <v>1.6292330556825831</v>
      </c>
      <c r="D195" s="26">
        <f t="shared" si="1"/>
        <v>-61.32795983210486</v>
      </c>
      <c r="E195" s="26">
        <f t="shared" si="2"/>
        <v>64.586425943470033</v>
      </c>
    </row>
    <row r="196" spans="1:5" x14ac:dyDescent="0.25">
      <c r="A196" s="25">
        <v>40597.08333333327</v>
      </c>
      <c r="C196">
        <f t="shared" si="0"/>
        <v>-2.3097065178072143</v>
      </c>
      <c r="D196" s="26">
        <f t="shared" si="1"/>
        <v>-65.286133149090205</v>
      </c>
      <c r="E196" s="26">
        <f t="shared" si="2"/>
        <v>60.666720113475776</v>
      </c>
    </row>
    <row r="197" spans="1:5" x14ac:dyDescent="0.25">
      <c r="A197" s="25">
        <v>40597.124999999935</v>
      </c>
      <c r="C197">
        <f t="shared" si="0"/>
        <v>-5.6876777571907198</v>
      </c>
      <c r="D197" s="26">
        <f t="shared" si="1"/>
        <v>-68.684729975408786</v>
      </c>
      <c r="E197" s="26">
        <f t="shared" si="2"/>
        <v>57.309374461027346</v>
      </c>
    </row>
    <row r="198" spans="1:5" x14ac:dyDescent="0.25">
      <c r="A198" s="25">
        <v>40597.166666666599</v>
      </c>
      <c r="C198">
        <f t="shared" si="0"/>
        <v>-7.8183230478520542</v>
      </c>
      <c r="D198" s="26">
        <f t="shared" si="1"/>
        <v>-70.83744035479576</v>
      </c>
      <c r="E198" s="26">
        <f t="shared" si="2"/>
        <v>55.200794259091651</v>
      </c>
    </row>
    <row r="199" spans="1:5" x14ac:dyDescent="0.25">
      <c r="A199" s="25">
        <v>40597.208333333263</v>
      </c>
      <c r="C199">
        <f t="shared" si="0"/>
        <v>-5.8164348787269233</v>
      </c>
      <c r="D199" s="26">
        <f t="shared" si="1"/>
        <v>-68.859104271348443</v>
      </c>
      <c r="E199" s="26">
        <f t="shared" si="2"/>
        <v>57.226234513894596</v>
      </c>
    </row>
    <row r="200" spans="1:5" x14ac:dyDescent="0.25">
      <c r="A200" s="25">
        <v>40597.249999999927</v>
      </c>
      <c r="C200">
        <f t="shared" si="0"/>
        <v>7.0082736311740916</v>
      </c>
      <c r="D200" s="26">
        <f t="shared" si="1"/>
        <v>-56.05948216531614</v>
      </c>
      <c r="E200" s="26">
        <f t="shared" si="2"/>
        <v>70.076029427664324</v>
      </c>
    </row>
    <row r="201" spans="1:5" x14ac:dyDescent="0.25">
      <c r="A201" s="25">
        <v>40597.291666666591</v>
      </c>
      <c r="C201">
        <f t="shared" si="0"/>
        <v>38.119317719742995</v>
      </c>
      <c r="D201" s="26">
        <f t="shared" si="1"/>
        <v>-24.975105935117888</v>
      </c>
      <c r="E201" s="26">
        <f t="shared" si="2"/>
        <v>101.21374137460387</v>
      </c>
    </row>
    <row r="202" spans="1:5" x14ac:dyDescent="0.25">
      <c r="A202" s="25">
        <v>40597.333333333256</v>
      </c>
      <c r="C202">
        <f t="shared" si="0"/>
        <v>101.73621994394064</v>
      </c>
      <c r="D202" s="26">
        <f t="shared" si="1"/>
        <v>38.613500036088965</v>
      </c>
      <c r="E202" s="26">
        <f t="shared" si="2"/>
        <v>164.85893985179231</v>
      </c>
    </row>
    <row r="203" spans="1:5" x14ac:dyDescent="0.25">
      <c r="A203" s="25">
        <v>40597.37499999992</v>
      </c>
      <c r="C203">
        <f t="shared" si="0"/>
        <v>65.093389147834785</v>
      </c>
      <c r="D203" s="26">
        <f t="shared" si="1"/>
        <v>1.9406978599609346</v>
      </c>
      <c r="E203" s="26">
        <f t="shared" si="2"/>
        <v>128.24608043570862</v>
      </c>
    </row>
    <row r="204" spans="1:5" x14ac:dyDescent="0.25">
      <c r="A204" s="25">
        <v>40597.416666666584</v>
      </c>
      <c r="C204">
        <f t="shared" si="0"/>
        <v>46.264312919929502</v>
      </c>
      <c r="D204" s="26">
        <f t="shared" si="1"/>
        <v>-16.920071387951275</v>
      </c>
      <c r="E204" s="26">
        <f t="shared" si="2"/>
        <v>109.44869722781027</v>
      </c>
    </row>
    <row r="205" spans="1:5" x14ac:dyDescent="0.25">
      <c r="A205" s="25">
        <v>40597.458333333248</v>
      </c>
      <c r="C205">
        <f t="shared" si="0"/>
        <v>51.344193039625011</v>
      </c>
      <c r="D205" s="26">
        <f t="shared" si="1"/>
        <v>-11.873652209768004</v>
      </c>
      <c r="E205" s="26">
        <f t="shared" si="2"/>
        <v>114.56203828901803</v>
      </c>
    </row>
    <row r="206" spans="1:5" x14ac:dyDescent="0.25">
      <c r="A206" s="25">
        <v>40597.499999999913</v>
      </c>
      <c r="C206">
        <f t="shared" si="0"/>
        <v>71.478141385393869</v>
      </c>
      <c r="D206" s="26">
        <f t="shared" si="1"/>
        <v>8.2250212350812077</v>
      </c>
      <c r="E206" s="26">
        <f t="shared" si="2"/>
        <v>134.73126153570652</v>
      </c>
    </row>
    <row r="207" spans="1:5" x14ac:dyDescent="0.25">
      <c r="A207" s="25">
        <v>40597.541666666577</v>
      </c>
      <c r="C207">
        <f t="shared" si="0"/>
        <v>71.469542933977138</v>
      </c>
      <c r="D207" s="26">
        <f t="shared" si="1"/>
        <v>8.1792881414364373</v>
      </c>
      <c r="E207" s="26">
        <f t="shared" si="2"/>
        <v>134.75979772651783</v>
      </c>
    </row>
    <row r="208" spans="1:5" x14ac:dyDescent="0.25">
      <c r="A208" s="25">
        <v>40597.583333333241</v>
      </c>
      <c r="C208">
        <f t="shared" si="0"/>
        <v>71.823014025917331</v>
      </c>
      <c r="D208" s="26">
        <f t="shared" si="1"/>
        <v>8.4937193365053005</v>
      </c>
      <c r="E208" s="26">
        <f t="shared" si="2"/>
        <v>135.15230871532935</v>
      </c>
    </row>
    <row r="209" spans="1:5" x14ac:dyDescent="0.25">
      <c r="A209" s="25">
        <v>40597.624999999905</v>
      </c>
      <c r="C209">
        <f t="shared" si="0"/>
        <v>71.623876318151929</v>
      </c>
      <c r="D209" s="26">
        <f t="shared" si="1"/>
        <v>8.2535912451889857</v>
      </c>
      <c r="E209" s="26">
        <f t="shared" si="2"/>
        <v>134.99416139111486</v>
      </c>
    </row>
    <row r="210" spans="1:5" x14ac:dyDescent="0.25">
      <c r="A210" s="25">
        <v>40597.66666666657</v>
      </c>
      <c r="C210">
        <f t="shared" si="0"/>
        <v>83.113108075845474</v>
      </c>
      <c r="D210" s="26">
        <f t="shared" si="1"/>
        <v>19.699837194798747</v>
      </c>
      <c r="E210" s="26">
        <f t="shared" si="2"/>
        <v>146.52637895689219</v>
      </c>
    </row>
    <row r="211" spans="1:5" x14ac:dyDescent="0.25">
      <c r="A211" s="25">
        <v>40597.708333333234</v>
      </c>
      <c r="C211">
        <f t="shared" si="0"/>
        <v>125.54676778305389</v>
      </c>
      <c r="D211" s="26">
        <f t="shared" si="1"/>
        <v>62.088471038740444</v>
      </c>
      <c r="E211" s="26">
        <f t="shared" si="2"/>
        <v>189.00506452736735</v>
      </c>
    </row>
    <row r="212" spans="1:5" x14ac:dyDescent="0.25">
      <c r="A212" s="25">
        <v>40597.749999999898</v>
      </c>
      <c r="C212">
        <f t="shared" si="0"/>
        <v>107.8532477197458</v>
      </c>
      <c r="D212" s="26">
        <f t="shared" si="1"/>
        <v>44.347840746675509</v>
      </c>
      <c r="E212" s="26">
        <f t="shared" si="2"/>
        <v>171.35865469281609</v>
      </c>
    </row>
    <row r="213" spans="1:5" x14ac:dyDescent="0.25">
      <c r="A213" s="25">
        <v>40597.791666666562</v>
      </c>
      <c r="C213">
        <f t="shared" si="0"/>
        <v>73.080290586642633</v>
      </c>
      <c r="D213" s="26">
        <f t="shared" si="1"/>
        <v>9.5256450426029673</v>
      </c>
      <c r="E213" s="26">
        <f t="shared" si="2"/>
        <v>136.63493613068229</v>
      </c>
    </row>
    <row r="214" spans="1:5" x14ac:dyDescent="0.25">
      <c r="A214" s="25">
        <v>40597.833333333227</v>
      </c>
      <c r="C214">
        <f t="shared" si="0"/>
        <v>48.791234942965772</v>
      </c>
      <c r="D214" s="26">
        <f t="shared" si="1"/>
        <v>-14.814821144066919</v>
      </c>
      <c r="E214" s="26">
        <f t="shared" si="2"/>
        <v>112.39729102999846</v>
      </c>
    </row>
    <row r="215" spans="1:5" x14ac:dyDescent="0.25">
      <c r="A215" s="25">
        <v>40597.874999999891</v>
      </c>
      <c r="C215">
        <f t="shared" si="0"/>
        <v>36.579830200682039</v>
      </c>
      <c r="D215" s="26">
        <f t="shared" si="1"/>
        <v>-27.079851670873502</v>
      </c>
      <c r="E215" s="26">
        <f t="shared" si="2"/>
        <v>100.23951207223757</v>
      </c>
    </row>
    <row r="216" spans="1:5" x14ac:dyDescent="0.25">
      <c r="A216" s="25">
        <v>40597.916666666555</v>
      </c>
      <c r="C216">
        <f t="shared" si="0"/>
        <v>21.124409031968714</v>
      </c>
      <c r="D216" s="26">
        <f t="shared" si="1"/>
        <v>-42.591156761398793</v>
      </c>
      <c r="E216" s="26">
        <f t="shared" si="2"/>
        <v>84.839974825336213</v>
      </c>
    </row>
    <row r="217" spans="1:5" x14ac:dyDescent="0.25">
      <c r="A217" s="25">
        <v>40597.958333333219</v>
      </c>
      <c r="C217">
        <f t="shared" si="0"/>
        <v>12.704342811780204</v>
      </c>
      <c r="D217" s="26">
        <f t="shared" si="1"/>
        <v>-51.069407549228771</v>
      </c>
      <c r="E217" s="26">
        <f t="shared" si="2"/>
        <v>76.478093172789173</v>
      </c>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EE31-E1A6-4A9A-866D-387A310FEF6A}">
  <dimension ref="A1:F97"/>
  <sheetViews>
    <sheetView topLeftCell="A55" workbookViewId="0">
      <selection activeCell="L55" sqref="L55"/>
    </sheetView>
  </sheetViews>
  <sheetFormatPr defaultRowHeight="15" x14ac:dyDescent="0.25"/>
  <cols>
    <col min="1" max="1" width="13.42578125" bestFit="1" customWidth="1"/>
    <col min="2" max="3" width="20.42578125" bestFit="1" customWidth="1"/>
    <col min="4" max="4" width="13.42578125" bestFit="1" customWidth="1"/>
    <col min="5" max="5" width="13.85546875" style="30" bestFit="1" customWidth="1"/>
    <col min="6" max="6" width="16.7109375" bestFit="1" customWidth="1"/>
    <col min="7" max="15" width="12" bestFit="1" customWidth="1"/>
    <col min="16" max="16" width="11" bestFit="1" customWidth="1"/>
    <col min="17" max="17" width="6.5703125" bestFit="1" customWidth="1"/>
    <col min="18" max="21" width="12" bestFit="1" customWidth="1"/>
    <col min="22" max="22" width="7" bestFit="1" customWidth="1"/>
    <col min="23" max="26" width="12" bestFit="1" customWidth="1"/>
    <col min="27" max="27" width="7" bestFit="1" customWidth="1"/>
    <col min="28" max="28" width="12" bestFit="1" customWidth="1"/>
  </cols>
  <sheetData>
    <row r="1" spans="1:5" x14ac:dyDescent="0.25">
      <c r="A1" s="27" t="s">
        <v>58</v>
      </c>
      <c r="B1" t="s">
        <v>67</v>
      </c>
      <c r="D1" s="27" t="s">
        <v>58</v>
      </c>
      <c r="E1" s="29" t="s">
        <v>60</v>
      </c>
    </row>
    <row r="2" spans="1:5" x14ac:dyDescent="0.25">
      <c r="A2" s="28" t="s">
        <v>72</v>
      </c>
      <c r="B2" s="60">
        <v>1000</v>
      </c>
      <c r="D2" s="28" t="s">
        <v>40</v>
      </c>
      <c r="E2" s="60">
        <v>49.518292682926827</v>
      </c>
    </row>
    <row r="3" spans="1:5" x14ac:dyDescent="0.25">
      <c r="A3" s="28" t="s">
        <v>71</v>
      </c>
      <c r="B3" s="60">
        <v>15869</v>
      </c>
      <c r="D3" s="28" t="s">
        <v>41</v>
      </c>
      <c r="E3" s="60">
        <v>56.711409395973156</v>
      </c>
    </row>
    <row r="4" spans="1:5" x14ac:dyDescent="0.25">
      <c r="A4" s="28" t="s">
        <v>70</v>
      </c>
      <c r="B4" s="60">
        <v>41435</v>
      </c>
      <c r="D4" s="28" t="s">
        <v>42</v>
      </c>
      <c r="E4" s="60">
        <v>66.00787401574803</v>
      </c>
    </row>
    <row r="5" spans="1:5" x14ac:dyDescent="0.25">
      <c r="A5" s="28" t="s">
        <v>59</v>
      </c>
      <c r="B5" s="60">
        <v>58304</v>
      </c>
      <c r="D5" s="28" t="s">
        <v>43</v>
      </c>
      <c r="E5" s="60">
        <v>61.44274809160305</v>
      </c>
    </row>
    <row r="6" spans="1:5" x14ac:dyDescent="0.25">
      <c r="D6" s="28" t="s">
        <v>44</v>
      </c>
      <c r="E6" s="60">
        <v>67.664000000000001</v>
      </c>
    </row>
    <row r="7" spans="1:5" x14ac:dyDescent="0.25">
      <c r="A7" s="27" t="s">
        <v>58</v>
      </c>
      <c r="B7" t="s">
        <v>60</v>
      </c>
      <c r="D7" s="28" t="s">
        <v>45</v>
      </c>
      <c r="E7" s="60">
        <v>65.905797101449281</v>
      </c>
    </row>
    <row r="8" spans="1:5" x14ac:dyDescent="0.25">
      <c r="A8" s="28">
        <v>0</v>
      </c>
      <c r="B8" s="60">
        <v>16.348837209302324</v>
      </c>
      <c r="D8" s="28" t="s">
        <v>37</v>
      </c>
      <c r="E8" s="60">
        <v>46.674698795180724</v>
      </c>
    </row>
    <row r="9" spans="1:5" x14ac:dyDescent="0.25">
      <c r="A9" s="28">
        <v>1</v>
      </c>
      <c r="B9" s="60">
        <v>10.697674418604651</v>
      </c>
      <c r="D9" s="28" t="s">
        <v>59</v>
      </c>
      <c r="E9" s="60">
        <v>58.304000000000002</v>
      </c>
    </row>
    <row r="10" spans="1:5" x14ac:dyDescent="0.25">
      <c r="A10" s="28">
        <v>2</v>
      </c>
      <c r="B10" s="60">
        <v>7.1707317073170733</v>
      </c>
    </row>
    <row r="11" spans="1:5" x14ac:dyDescent="0.25">
      <c r="A11" s="28">
        <v>3</v>
      </c>
      <c r="B11" s="60">
        <v>4.870967741935484</v>
      </c>
    </row>
    <row r="12" spans="1:5" x14ac:dyDescent="0.25">
      <c r="A12" s="28">
        <v>4</v>
      </c>
      <c r="B12" s="60">
        <v>2.15625</v>
      </c>
      <c r="C12" t="s">
        <v>63</v>
      </c>
    </row>
    <row r="13" spans="1:5" x14ac:dyDescent="0.25">
      <c r="A13" s="28">
        <v>5</v>
      </c>
      <c r="B13" s="60">
        <v>4.2051282051282053</v>
      </c>
      <c r="C13" s="60">
        <v>53.383000000000003</v>
      </c>
    </row>
    <row r="14" spans="1:5" x14ac:dyDescent="0.25">
      <c r="A14" s="28">
        <v>6</v>
      </c>
      <c r="B14" s="60">
        <v>19.571428571428573</v>
      </c>
    </row>
    <row r="15" spans="1:5" x14ac:dyDescent="0.25">
      <c r="A15" s="28">
        <v>7</v>
      </c>
      <c r="B15" s="60">
        <v>54.395348837209305</v>
      </c>
      <c r="C15" s="32"/>
      <c r="D15" s="33"/>
      <c r="E15" s="34"/>
    </row>
    <row r="16" spans="1:5" x14ac:dyDescent="0.25">
      <c r="A16" s="28">
        <v>8</v>
      </c>
      <c r="B16" s="60">
        <v>128.28571428571428</v>
      </c>
      <c r="C16" s="35"/>
      <c r="D16" s="36"/>
      <c r="E16" s="37"/>
    </row>
    <row r="17" spans="1:5" x14ac:dyDescent="0.25">
      <c r="A17" s="28">
        <v>9</v>
      </c>
      <c r="B17" s="60">
        <v>87.428571428571431</v>
      </c>
      <c r="C17" s="35"/>
      <c r="D17" s="36"/>
      <c r="E17" s="37"/>
    </row>
    <row r="18" spans="1:5" x14ac:dyDescent="0.25">
      <c r="A18" s="28">
        <v>10</v>
      </c>
      <c r="B18" s="60">
        <v>53.642857142857146</v>
      </c>
      <c r="C18" s="35"/>
      <c r="D18" s="36"/>
      <c r="E18" s="37"/>
    </row>
    <row r="19" spans="1:5" x14ac:dyDescent="0.25">
      <c r="A19" s="28">
        <v>11</v>
      </c>
      <c r="B19" s="60">
        <v>59.38095238095238</v>
      </c>
      <c r="C19" s="35"/>
      <c r="D19" s="36"/>
      <c r="E19" s="37"/>
    </row>
    <row r="20" spans="1:5" x14ac:dyDescent="0.25">
      <c r="A20" s="28">
        <v>12</v>
      </c>
      <c r="B20" s="60">
        <v>76.348837209302332</v>
      </c>
      <c r="C20" s="35"/>
      <c r="D20" s="36"/>
      <c r="E20" s="37"/>
    </row>
    <row r="21" spans="1:5" x14ac:dyDescent="0.25">
      <c r="A21" s="28">
        <v>13</v>
      </c>
      <c r="B21" s="60">
        <v>78.511627906976742</v>
      </c>
      <c r="C21" s="35"/>
      <c r="D21" s="36"/>
      <c r="E21" s="37"/>
    </row>
    <row r="22" spans="1:5" x14ac:dyDescent="0.25">
      <c r="A22" s="28">
        <v>14</v>
      </c>
      <c r="B22" s="60">
        <v>74.418604651162795</v>
      </c>
      <c r="C22" s="35"/>
      <c r="D22" s="36"/>
      <c r="E22" s="37"/>
    </row>
    <row r="23" spans="1:5" x14ac:dyDescent="0.25">
      <c r="A23" s="28">
        <v>15</v>
      </c>
      <c r="B23" s="60">
        <v>77.95348837209302</v>
      </c>
      <c r="C23" s="35"/>
      <c r="D23" s="36"/>
      <c r="E23" s="37"/>
    </row>
    <row r="24" spans="1:5" x14ac:dyDescent="0.25">
      <c r="A24" s="28">
        <v>16</v>
      </c>
      <c r="B24" s="60">
        <v>89.272727272727266</v>
      </c>
      <c r="C24" s="35"/>
      <c r="D24" s="36"/>
      <c r="E24" s="37"/>
    </row>
    <row r="25" spans="1:5" x14ac:dyDescent="0.25">
      <c r="A25" s="28">
        <v>17</v>
      </c>
      <c r="B25" s="60">
        <v>140.20454545454547</v>
      </c>
      <c r="C25" s="35"/>
      <c r="D25" s="36"/>
      <c r="E25" s="37"/>
    </row>
    <row r="26" spans="1:5" x14ac:dyDescent="0.25">
      <c r="A26" s="28">
        <v>18</v>
      </c>
      <c r="B26" s="60">
        <v>122.86046511627907</v>
      </c>
      <c r="C26" s="35"/>
      <c r="D26" s="36"/>
      <c r="E26" s="37"/>
    </row>
    <row r="27" spans="1:5" x14ac:dyDescent="0.25">
      <c r="A27" s="28">
        <v>19</v>
      </c>
      <c r="B27" s="60">
        <v>85.139534883720927</v>
      </c>
      <c r="C27" s="35"/>
      <c r="D27" s="36"/>
      <c r="E27" s="37"/>
    </row>
    <row r="28" spans="1:5" x14ac:dyDescent="0.25">
      <c r="A28" s="28">
        <v>20</v>
      </c>
      <c r="B28" s="60">
        <v>61.767441860465119</v>
      </c>
      <c r="C28" s="35"/>
      <c r="D28" s="36"/>
      <c r="E28" s="37"/>
    </row>
    <row r="29" spans="1:5" x14ac:dyDescent="0.25">
      <c r="A29" s="28">
        <v>21</v>
      </c>
      <c r="B29" s="60">
        <v>46.418604651162788</v>
      </c>
      <c r="C29" s="35"/>
      <c r="D29" s="36"/>
      <c r="E29" s="37"/>
    </row>
    <row r="30" spans="1:5" x14ac:dyDescent="0.25">
      <c r="A30" s="28">
        <v>22</v>
      </c>
      <c r="B30" s="60">
        <v>35.069767441860463</v>
      </c>
      <c r="C30" s="35"/>
      <c r="D30" s="36"/>
      <c r="E30" s="37"/>
    </row>
    <row r="31" spans="1:5" x14ac:dyDescent="0.25">
      <c r="A31" s="28">
        <v>23</v>
      </c>
      <c r="B31" s="60">
        <v>25.186046511627907</v>
      </c>
      <c r="C31" s="35"/>
      <c r="D31" s="36"/>
      <c r="E31" s="37"/>
    </row>
    <row r="32" spans="1:5" x14ac:dyDescent="0.25">
      <c r="A32" s="28" t="s">
        <v>59</v>
      </c>
      <c r="B32" s="60">
        <v>58.304000000000002</v>
      </c>
      <c r="C32" s="38"/>
      <c r="D32" s="39"/>
      <c r="E32" s="40"/>
    </row>
    <row r="34" spans="1:6" x14ac:dyDescent="0.25">
      <c r="A34" s="27" t="s">
        <v>58</v>
      </c>
      <c r="B34" t="s">
        <v>61</v>
      </c>
    </row>
    <row r="35" spans="1:6" x14ac:dyDescent="0.25">
      <c r="A35" s="28" t="s">
        <v>36</v>
      </c>
      <c r="B35" s="60">
        <v>12.051155115511552</v>
      </c>
    </row>
    <row r="36" spans="1:6" x14ac:dyDescent="0.25">
      <c r="A36" s="28" t="s">
        <v>38</v>
      </c>
      <c r="B36" s="60">
        <v>11.407766990291263</v>
      </c>
    </row>
    <row r="37" spans="1:6" x14ac:dyDescent="0.25">
      <c r="A37" s="28" t="s">
        <v>46</v>
      </c>
      <c r="B37" s="60">
        <v>16</v>
      </c>
    </row>
    <row r="38" spans="1:6" x14ac:dyDescent="0.25">
      <c r="A38" s="28" t="s">
        <v>39</v>
      </c>
      <c r="B38" s="60">
        <v>10.821428571428571</v>
      </c>
    </row>
    <row r="39" spans="1:6" x14ac:dyDescent="0.25">
      <c r="A39" s="28" t="s">
        <v>59</v>
      </c>
      <c r="B39" s="60">
        <v>11.753</v>
      </c>
    </row>
    <row r="44" spans="1:6" x14ac:dyDescent="0.25">
      <c r="D44" s="27" t="s">
        <v>58</v>
      </c>
      <c r="E44" t="s">
        <v>63</v>
      </c>
      <c r="F44" t="s">
        <v>64</v>
      </c>
    </row>
    <row r="45" spans="1:6" x14ac:dyDescent="0.25">
      <c r="D45" s="28" t="s">
        <v>34</v>
      </c>
      <c r="E45" s="60">
        <v>51.040697674418603</v>
      </c>
      <c r="F45" s="60">
        <v>4.4665697674418601</v>
      </c>
    </row>
    <row r="46" spans="1:6" x14ac:dyDescent="0.25">
      <c r="D46" s="28" t="s">
        <v>47</v>
      </c>
      <c r="E46" s="60">
        <v>58.54807692307692</v>
      </c>
      <c r="F46" s="60">
        <v>5.9230769230769234</v>
      </c>
    </row>
    <row r="47" spans="1:6" x14ac:dyDescent="0.25">
      <c r="D47" s="28" t="s">
        <v>59</v>
      </c>
      <c r="E47" s="60">
        <v>53.383000000000003</v>
      </c>
      <c r="F47" s="60">
        <v>4.9210000000000003</v>
      </c>
    </row>
    <row r="48" spans="1:6" x14ac:dyDescent="0.25">
      <c r="E48"/>
    </row>
    <row r="49" spans="1:5" x14ac:dyDescent="0.25">
      <c r="E49"/>
    </row>
    <row r="51" spans="1:5" x14ac:dyDescent="0.25">
      <c r="A51" s="27" t="s">
        <v>58</v>
      </c>
      <c r="B51" t="s">
        <v>63</v>
      </c>
      <c r="E51"/>
    </row>
    <row r="52" spans="1:5" x14ac:dyDescent="0.25">
      <c r="A52" s="59">
        <v>40544</v>
      </c>
      <c r="B52" s="60">
        <v>27.25</v>
      </c>
      <c r="E52"/>
    </row>
    <row r="53" spans="1:5" x14ac:dyDescent="0.25">
      <c r="A53" s="59">
        <v>40545</v>
      </c>
      <c r="B53" s="60">
        <v>29.130434782608695</v>
      </c>
      <c r="E53"/>
    </row>
    <row r="54" spans="1:5" x14ac:dyDescent="0.25">
      <c r="A54" s="59">
        <v>40546</v>
      </c>
      <c r="B54" s="60">
        <v>55.863636363636367</v>
      </c>
      <c r="E54"/>
    </row>
    <row r="55" spans="1:5" x14ac:dyDescent="0.25">
      <c r="A55" s="59">
        <v>40547</v>
      </c>
      <c r="B55" s="60">
        <v>63.217391304347828</v>
      </c>
      <c r="E55"/>
    </row>
    <row r="56" spans="1:5" x14ac:dyDescent="0.25">
      <c r="A56" s="59">
        <v>40548</v>
      </c>
      <c r="B56" s="60">
        <v>66</v>
      </c>
      <c r="E56"/>
    </row>
    <row r="57" spans="1:5" x14ac:dyDescent="0.25">
      <c r="A57" s="59">
        <v>40549</v>
      </c>
      <c r="B57" s="60">
        <v>66</v>
      </c>
      <c r="E57"/>
    </row>
    <row r="58" spans="1:5" x14ac:dyDescent="0.25">
      <c r="A58" s="59">
        <v>40550</v>
      </c>
      <c r="B58" s="60">
        <v>59.217391304347828</v>
      </c>
      <c r="E58"/>
    </row>
    <row r="59" spans="1:5" x14ac:dyDescent="0.25">
      <c r="A59" s="59">
        <v>40551</v>
      </c>
      <c r="B59" s="60">
        <v>37.125</v>
      </c>
      <c r="E59"/>
    </row>
    <row r="60" spans="1:5" x14ac:dyDescent="0.25">
      <c r="A60" s="59">
        <v>40552</v>
      </c>
      <c r="B60" s="60">
        <v>32</v>
      </c>
      <c r="E60"/>
    </row>
    <row r="61" spans="1:5" x14ac:dyDescent="0.25">
      <c r="A61" s="59">
        <v>40553</v>
      </c>
      <c r="B61" s="60">
        <v>53.333333333333336</v>
      </c>
      <c r="E61"/>
    </row>
    <row r="62" spans="1:5" x14ac:dyDescent="0.25">
      <c r="A62" s="59">
        <v>40554</v>
      </c>
      <c r="B62" s="60">
        <v>55.454545454545453</v>
      </c>
      <c r="E62"/>
    </row>
    <row r="63" spans="1:5" x14ac:dyDescent="0.25">
      <c r="A63" s="59">
        <v>40555</v>
      </c>
      <c r="B63" s="60">
        <v>51.68181818181818</v>
      </c>
      <c r="E63"/>
    </row>
    <row r="64" spans="1:5" x14ac:dyDescent="0.25">
      <c r="A64" s="59">
        <v>40556</v>
      </c>
      <c r="B64" s="60">
        <v>57</v>
      </c>
      <c r="E64"/>
    </row>
    <row r="65" spans="1:5" x14ac:dyDescent="0.25">
      <c r="A65" s="59">
        <v>40557</v>
      </c>
      <c r="B65" s="60">
        <v>59.434782608695649</v>
      </c>
      <c r="E65"/>
    </row>
    <row r="66" spans="1:5" x14ac:dyDescent="0.25">
      <c r="A66" s="59">
        <v>40558</v>
      </c>
      <c r="B66" s="60">
        <v>42.75</v>
      </c>
      <c r="E66"/>
    </row>
    <row r="67" spans="1:5" x14ac:dyDescent="0.25">
      <c r="A67" s="59">
        <v>40559</v>
      </c>
      <c r="B67" s="60">
        <v>39.708333333333336</v>
      </c>
      <c r="E67"/>
    </row>
    <row r="68" spans="1:5" x14ac:dyDescent="0.25">
      <c r="A68" s="59">
        <v>40560</v>
      </c>
      <c r="B68" s="60">
        <v>36.791666666666664</v>
      </c>
      <c r="E68"/>
    </row>
    <row r="69" spans="1:5" x14ac:dyDescent="0.25">
      <c r="A69" s="59">
        <v>40561</v>
      </c>
      <c r="B69" s="60">
        <v>56.166666666666664</v>
      </c>
      <c r="E69"/>
    </row>
    <row r="70" spans="1:5" x14ac:dyDescent="0.25">
      <c r="A70" s="59">
        <v>40562</v>
      </c>
      <c r="B70" s="60">
        <v>68.347826086956516</v>
      </c>
      <c r="E70"/>
    </row>
    <row r="71" spans="1:5" x14ac:dyDescent="0.25">
      <c r="A71" s="59">
        <v>40563</v>
      </c>
      <c r="B71" s="60">
        <v>76.833333333333329</v>
      </c>
      <c r="E71"/>
    </row>
    <row r="72" spans="1:5" x14ac:dyDescent="0.25">
      <c r="A72" s="59">
        <v>40564</v>
      </c>
      <c r="B72" s="60">
        <v>61.166666666666664</v>
      </c>
      <c r="E72"/>
    </row>
    <row r="73" spans="1:5" x14ac:dyDescent="0.25">
      <c r="A73" s="59">
        <v>40565</v>
      </c>
      <c r="B73" s="60">
        <v>38.608695652173914</v>
      </c>
      <c r="E73"/>
    </row>
    <row r="74" spans="1:5" x14ac:dyDescent="0.25">
      <c r="A74" s="59">
        <v>40566</v>
      </c>
      <c r="B74" s="60">
        <v>36.347826086956523</v>
      </c>
      <c r="E74"/>
    </row>
    <row r="75" spans="1:5" x14ac:dyDescent="0.25">
      <c r="A75" s="59">
        <v>40567</v>
      </c>
      <c r="B75" s="60">
        <v>57.826086956521742</v>
      </c>
      <c r="E75"/>
    </row>
    <row r="76" spans="1:5" x14ac:dyDescent="0.25">
      <c r="A76" s="59">
        <v>40568</v>
      </c>
      <c r="B76" s="60">
        <v>78.217391304347828</v>
      </c>
      <c r="E76"/>
    </row>
    <row r="77" spans="1:5" x14ac:dyDescent="0.25">
      <c r="A77" s="59">
        <v>40569</v>
      </c>
      <c r="B77" s="60">
        <v>29.5</v>
      </c>
      <c r="E77"/>
    </row>
    <row r="78" spans="1:5" x14ac:dyDescent="0.25">
      <c r="A78" s="59">
        <v>40570</v>
      </c>
      <c r="B78" s="60">
        <v>52</v>
      </c>
      <c r="E78"/>
    </row>
    <row r="79" spans="1:5" x14ac:dyDescent="0.25">
      <c r="A79" s="59">
        <v>40571</v>
      </c>
      <c r="B79" s="60">
        <v>49.086956521739133</v>
      </c>
      <c r="E79"/>
    </row>
    <row r="80" spans="1:5" x14ac:dyDescent="0.25">
      <c r="A80" s="59">
        <v>40572</v>
      </c>
      <c r="B80" s="60">
        <v>42.391304347826086</v>
      </c>
    </row>
    <row r="81" spans="1:2" x14ac:dyDescent="0.25">
      <c r="A81" s="59">
        <v>40573</v>
      </c>
      <c r="B81" s="60">
        <v>41.565217391304351</v>
      </c>
    </row>
    <row r="82" spans="1:2" x14ac:dyDescent="0.25">
      <c r="A82" s="59">
        <v>40574</v>
      </c>
      <c r="B82" s="60">
        <v>60.791666666666664</v>
      </c>
    </row>
    <row r="83" spans="1:2" x14ac:dyDescent="0.25">
      <c r="A83" s="59">
        <v>40575</v>
      </c>
      <c r="B83" s="60">
        <v>57.086956521739133</v>
      </c>
    </row>
    <row r="84" spans="1:2" x14ac:dyDescent="0.25">
      <c r="A84" s="59">
        <v>40576</v>
      </c>
      <c r="B84" s="60">
        <v>60.583333333333336</v>
      </c>
    </row>
    <row r="85" spans="1:2" x14ac:dyDescent="0.25">
      <c r="A85" s="59">
        <v>40577</v>
      </c>
      <c r="B85" s="60">
        <v>64.739130434782609</v>
      </c>
    </row>
    <row r="86" spans="1:2" x14ac:dyDescent="0.25">
      <c r="A86" s="59">
        <v>40578</v>
      </c>
      <c r="B86" s="60">
        <v>70.434782608695656</v>
      </c>
    </row>
    <row r="87" spans="1:2" x14ac:dyDescent="0.25">
      <c r="A87" s="59">
        <v>40579</v>
      </c>
      <c r="B87" s="60">
        <v>37.708333333333336</v>
      </c>
    </row>
    <row r="88" spans="1:2" x14ac:dyDescent="0.25">
      <c r="A88" s="59">
        <v>40580</v>
      </c>
      <c r="B88" s="60">
        <v>52.875</v>
      </c>
    </row>
    <row r="89" spans="1:2" x14ac:dyDescent="0.25">
      <c r="A89" s="59">
        <v>40581</v>
      </c>
      <c r="B89" s="60">
        <v>66.333333333333329</v>
      </c>
    </row>
    <row r="90" spans="1:2" x14ac:dyDescent="0.25">
      <c r="A90" s="59">
        <v>40582</v>
      </c>
      <c r="B90" s="60">
        <v>61.083333333333336</v>
      </c>
    </row>
    <row r="91" spans="1:2" x14ac:dyDescent="0.25">
      <c r="A91" s="59">
        <v>40583</v>
      </c>
      <c r="B91" s="60">
        <v>67.478260869565219</v>
      </c>
    </row>
    <row r="92" spans="1:2" x14ac:dyDescent="0.25">
      <c r="A92" s="59">
        <v>40584</v>
      </c>
      <c r="B92" s="60">
        <v>64.826086956521735</v>
      </c>
    </row>
    <row r="93" spans="1:2" x14ac:dyDescent="0.25">
      <c r="A93" s="59">
        <v>40585</v>
      </c>
      <c r="B93" s="60">
        <v>72.590909090909093</v>
      </c>
    </row>
    <row r="94" spans="1:2" x14ac:dyDescent="0.25">
      <c r="A94" s="59">
        <v>40586</v>
      </c>
      <c r="B94" s="60">
        <v>49.333333333333336</v>
      </c>
    </row>
    <row r="95" spans="1:2" x14ac:dyDescent="0.25">
      <c r="A95" s="59">
        <v>40587</v>
      </c>
      <c r="B95" s="60">
        <v>51.826086956521742</v>
      </c>
    </row>
    <row r="96" spans="1:2" x14ac:dyDescent="0.25">
      <c r="A96" s="59">
        <v>40588</v>
      </c>
      <c r="B96" s="60">
        <v>17.875</v>
      </c>
    </row>
    <row r="97" spans="1:2" x14ac:dyDescent="0.25">
      <c r="A97" s="59" t="s">
        <v>59</v>
      </c>
      <c r="B97" s="60">
        <v>53.383000000000003</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DB2AF-4C8F-4C95-BE1C-F72171372848}">
  <dimension ref="A3:R52"/>
  <sheetViews>
    <sheetView tabSelected="1" zoomScaleNormal="100" workbookViewId="0">
      <selection activeCell="I52" sqref="I52:M52"/>
    </sheetView>
  </sheetViews>
  <sheetFormatPr defaultRowHeight="15" x14ac:dyDescent="0.25"/>
  <cols>
    <col min="10" max="10" width="11.140625" customWidth="1"/>
    <col min="11" max="11" width="13.85546875" customWidth="1"/>
    <col min="12" max="12" width="11.85546875" customWidth="1"/>
    <col min="13" max="13" width="10.28515625" customWidth="1"/>
    <col min="14" max="14" width="27.7109375" customWidth="1"/>
  </cols>
  <sheetData>
    <row r="3" spans="1:18" x14ac:dyDescent="0.25">
      <c r="A3" s="41"/>
      <c r="B3" s="41"/>
      <c r="C3" s="41"/>
      <c r="D3" s="41"/>
      <c r="E3" s="41"/>
      <c r="F3" s="41"/>
      <c r="G3" s="41"/>
      <c r="H3" s="41"/>
      <c r="I3" s="41"/>
      <c r="J3" s="41"/>
      <c r="K3" s="41"/>
      <c r="L3" s="41"/>
      <c r="M3" s="41"/>
      <c r="N3" s="41"/>
      <c r="O3" s="41"/>
      <c r="P3" s="41"/>
      <c r="Q3" s="41"/>
      <c r="R3" s="41"/>
    </row>
    <row r="4" spans="1:18" x14ac:dyDescent="0.25">
      <c r="A4" s="41"/>
      <c r="B4" s="41"/>
      <c r="C4" s="41"/>
      <c r="D4" s="41"/>
      <c r="E4" s="41"/>
      <c r="F4" s="41"/>
      <c r="G4" s="41"/>
      <c r="H4" s="41"/>
      <c r="I4" s="41"/>
      <c r="J4" s="41"/>
      <c r="K4" s="41"/>
      <c r="L4" s="41"/>
      <c r="M4" s="41"/>
      <c r="N4" s="41"/>
      <c r="O4" s="41"/>
      <c r="P4" s="41"/>
      <c r="Q4" s="41"/>
      <c r="R4" s="41"/>
    </row>
    <row r="5" spans="1:18" x14ac:dyDescent="0.25">
      <c r="A5" s="41"/>
      <c r="B5" s="41"/>
      <c r="C5" s="41"/>
      <c r="D5" s="41"/>
      <c r="E5" s="41"/>
      <c r="F5" s="41"/>
      <c r="G5" s="41"/>
      <c r="H5" s="41"/>
      <c r="I5" s="41"/>
      <c r="J5" s="41"/>
      <c r="K5" s="41"/>
      <c r="L5" s="41"/>
      <c r="M5" s="41"/>
      <c r="N5" s="41"/>
      <c r="O5" s="41"/>
      <c r="P5" s="41"/>
      <c r="Q5" s="41"/>
      <c r="R5" s="41"/>
    </row>
    <row r="6" spans="1:18" ht="22.5" customHeight="1" x14ac:dyDescent="0.25">
      <c r="A6" s="41"/>
      <c r="B6" s="41"/>
      <c r="C6" s="41"/>
      <c r="D6" s="41"/>
      <c r="E6" s="41"/>
      <c r="F6" s="41"/>
      <c r="G6" s="41"/>
      <c r="H6" s="41"/>
      <c r="I6" s="41"/>
      <c r="J6" s="41"/>
      <c r="K6" s="41"/>
      <c r="L6" s="41"/>
      <c r="M6" s="41"/>
      <c r="N6" s="41"/>
      <c r="O6" s="41"/>
      <c r="P6" s="41"/>
      <c r="Q6" s="41"/>
      <c r="R6" s="41"/>
    </row>
    <row r="7" spans="1:18" ht="21" customHeight="1" x14ac:dyDescent="0.25">
      <c r="A7" s="41"/>
      <c r="B7" s="41"/>
      <c r="C7" s="41"/>
      <c r="D7" s="41"/>
      <c r="E7" s="42">
        <f>IFERROR(GETPIVOTDATA("Sum of cnt",KPI_AND_PIVOT_TABLE!$A$1),0)</f>
        <v>58304</v>
      </c>
      <c r="F7" s="43"/>
      <c r="G7" s="43"/>
      <c r="H7" s="44">
        <f>IFERROR(GETPIVOTDATA("Average of registered",KPI_AND_PIVOT_TABLE!$C$12),0)</f>
        <v>53.383000000000003</v>
      </c>
      <c r="I7" s="44"/>
      <c r="J7" s="44"/>
      <c r="K7" s="45">
        <f>IFERROR(GETPIVOTDATA("Average of cnt",KPI_AND_PIVOT_TABLE!$A$7),0)</f>
        <v>58.304000000000002</v>
      </c>
      <c r="L7" s="43"/>
      <c r="M7" s="43"/>
      <c r="N7" s="45">
        <f>IFERROR(MAX(KPI_AND_PIVOT_TABLE!$B$8:$B$31),0)</f>
        <v>140.20454545454547</v>
      </c>
      <c r="O7" s="41"/>
      <c r="P7" s="41"/>
      <c r="Q7" s="41"/>
      <c r="R7" s="41"/>
    </row>
    <row r="8" spans="1:18" ht="3" customHeight="1" x14ac:dyDescent="0.25">
      <c r="A8" s="41"/>
      <c r="B8" s="41"/>
      <c r="C8" s="41"/>
      <c r="D8" s="41"/>
      <c r="E8" s="43"/>
      <c r="F8" s="43"/>
      <c r="G8" s="43"/>
      <c r="H8" s="44"/>
      <c r="I8" s="44"/>
      <c r="J8" s="44"/>
      <c r="K8" s="43"/>
      <c r="L8" s="43"/>
      <c r="M8" s="43"/>
      <c r="N8" s="43"/>
      <c r="O8" s="41"/>
      <c r="P8" s="41"/>
      <c r="Q8" s="41"/>
      <c r="R8" s="41"/>
    </row>
    <row r="9" spans="1:18" ht="15.75" customHeight="1" x14ac:dyDescent="0.25">
      <c r="A9" s="2"/>
      <c r="B9" s="2"/>
      <c r="C9" s="2"/>
      <c r="D9" s="2"/>
      <c r="E9" s="47" t="s">
        <v>68</v>
      </c>
      <c r="F9" s="47"/>
      <c r="G9" s="47"/>
      <c r="H9" s="48" t="s">
        <v>66</v>
      </c>
      <c r="I9" s="48"/>
      <c r="J9" s="48"/>
      <c r="K9" s="49" t="s">
        <v>69</v>
      </c>
      <c r="L9" s="49"/>
      <c r="M9" s="49"/>
      <c r="N9" s="31" t="str">
        <f>IFERROR(TEXT(_xlfn.XLOOKUP(N7,KPI_AND_PIVOT_TABLE!$B$8:$B$31,KPI_AND_PIVOT_TABLE!$A$8:$A$31),"00")&amp;":00 is the demand peak","No demand in selection")</f>
        <v>17:00 is the demand peak</v>
      </c>
      <c r="O9" s="2"/>
      <c r="P9" s="2"/>
      <c r="Q9" s="2"/>
      <c r="R9" s="2"/>
    </row>
    <row r="16" spans="1:18" ht="19.5" x14ac:dyDescent="0.25">
      <c r="A16" s="46" t="s">
        <v>56</v>
      </c>
      <c r="B16" s="46"/>
      <c r="C16" s="46"/>
      <c r="D16" s="46"/>
      <c r="E16" s="46"/>
      <c r="F16" s="46"/>
      <c r="G16" s="46"/>
      <c r="H16" s="46"/>
      <c r="I16" s="46"/>
      <c r="J16" s="46"/>
      <c r="K16" s="46" t="s">
        <v>57</v>
      </c>
      <c r="L16" s="46"/>
      <c r="M16" s="46"/>
      <c r="N16" s="46"/>
      <c r="O16" s="46"/>
      <c r="P16" s="46"/>
      <c r="Q16" s="46"/>
    </row>
    <row r="35" spans="1:17" x14ac:dyDescent="0.25">
      <c r="A35" s="41"/>
      <c r="B35" s="41"/>
      <c r="C35" s="41"/>
      <c r="D35" s="41"/>
      <c r="E35" s="41"/>
      <c r="F35" s="41"/>
      <c r="G35" s="41"/>
      <c r="H35" s="41"/>
      <c r="I35" s="41"/>
    </row>
    <row r="36" spans="1:17" x14ac:dyDescent="0.25">
      <c r="A36" s="41" t="s">
        <v>62</v>
      </c>
      <c r="B36" s="41"/>
      <c r="C36" s="41"/>
      <c r="D36" s="41"/>
      <c r="E36" s="41"/>
      <c r="F36" s="41"/>
      <c r="G36" s="41"/>
      <c r="H36" s="41"/>
      <c r="I36" s="41"/>
      <c r="L36" s="41" t="s">
        <v>65</v>
      </c>
      <c r="M36" s="41"/>
      <c r="N36" s="41"/>
      <c r="O36" s="41"/>
      <c r="P36" s="41"/>
      <c r="Q36" s="41"/>
    </row>
    <row r="52" spans="1:17" ht="21.75" x14ac:dyDescent="0.35">
      <c r="A52" s="41"/>
      <c r="B52" s="41"/>
      <c r="C52" s="41"/>
      <c r="D52" s="41"/>
      <c r="E52" s="41"/>
      <c r="F52" s="41"/>
      <c r="G52" s="41"/>
      <c r="H52" s="41"/>
      <c r="I52" s="61" t="s">
        <v>73</v>
      </c>
      <c r="J52" s="61"/>
      <c r="K52" s="61"/>
      <c r="L52" s="61"/>
      <c r="M52" s="61"/>
      <c r="N52" s="41"/>
      <c r="O52" s="41"/>
      <c r="P52" s="41"/>
      <c r="Q52" s="41"/>
    </row>
  </sheetData>
  <mergeCells count="18">
    <mergeCell ref="I52:M52"/>
    <mergeCell ref="A52:H52"/>
    <mergeCell ref="N52:Q52"/>
    <mergeCell ref="A16:J16"/>
    <mergeCell ref="K16:Q16"/>
    <mergeCell ref="A36:I36"/>
    <mergeCell ref="L36:Q36"/>
    <mergeCell ref="E9:G9"/>
    <mergeCell ref="H9:J9"/>
    <mergeCell ref="K9:M9"/>
    <mergeCell ref="A35:I35"/>
    <mergeCell ref="A3:R6"/>
    <mergeCell ref="A7:D8"/>
    <mergeCell ref="E7:G8"/>
    <mergeCell ref="H7:J8"/>
    <mergeCell ref="K7:M8"/>
    <mergeCell ref="N7:N8"/>
    <mergeCell ref="O7:R8"/>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15AF748-EB6D-4EEA-B725-7A6E517EB1E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dataset_1</vt:lpstr>
      <vt:lpstr>dataset_2</vt:lpstr>
      <vt:lpstr>dataset_3</vt:lpstr>
      <vt:lpstr>dataset_a</vt:lpstr>
      <vt:lpstr>dataset_b</vt:lpstr>
      <vt:lpstr>FORECAST_SHEET</vt:lpstr>
      <vt:lpstr>KPI_AND_PIVOT_TABLE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Nirmala Bisht</dc:creator>
  <cp:lastModifiedBy>Nirmala Bisht</cp:lastModifiedBy>
  <dcterms:created xsi:type="dcterms:W3CDTF">2026-10-07T12:02:10Z</dcterms:created>
  <dcterms:modified xsi:type="dcterms:W3CDTF">2026-10-09T14:52:20Z</dcterms:modified>
</cp:coreProperties>
</file>